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دليل الملف" sheetId="2" state="visible" r:id="rId4"/>
    <sheet name="Assumptions" sheetId="3" state="visible" r:id="rId5"/>
    <sheet name="Capital" sheetId="4" state="visible" r:id="rId6"/>
    <sheet name="Products" sheetId="5" state="visible" r:id="rId7"/>
    <sheet name="Staff" sheetId="6" state="visible" r:id="rId8"/>
    <sheet name="Opex" sheetId="7" state="visible" r:id="rId9"/>
    <sheet name="Originations" sheetId="8" state="visible" r:id="rId10"/>
    <sheet name="Cohort Principal" sheetId="9" state="visible" r:id="rId11"/>
    <sheet name="Cohort Interest" sheetId="10" state="visible" r:id="rId12"/>
    <sheet name="Cohort Fees" sheetId="11" state="visible" r:id="rId13"/>
    <sheet name="Monthly Model" sheetId="12" state="visible" r:id="rId14"/>
    <sheet name="Income Statement" sheetId="13" state="visible" r:id="rId15"/>
    <sheet name="Balance Sheet" sheetId="14" state="visible" r:id="rId16"/>
    <sheet name="Cash Flow" sheetId="15" state="visible" r:id="rId17"/>
    <sheet name="Investments" sheetId="16" state="visible" r:id="rId18"/>
    <sheet name="Feasibility" sheetId="17" state="visible" r:id="rId19"/>
    <sheet name="Ratios" sheetId="18" state="visible" r:id="rId20"/>
    <sheet name="Scenarios" sheetId="19" state="visible" r:id="rId21"/>
    <sheet name="Sensitivity" sheetId="20" state="visible" r:id="rId22"/>
    <sheet name="Break Even" sheetId="21" state="visible" r:id="rId23"/>
    <sheet name="Compliance" sheetId="22" state="visible" r:id="rId24"/>
    <sheet name="Checks" sheetId="23" state="visible" r:id="rId25"/>
    <sheet name="Sources" sheetId="24" state="visible" r:id="rId26"/>
    <sheet name="Formula Map" sheetId="25" state="visible" r:id="rId27"/>
    <sheet name="Regulatory Capital Plan" sheetId="26" state="visible" r:id="rId28"/>
    <sheet name="Funding &amp; Liquidity" sheetId="27" state="visible" r:id="rId29"/>
    <sheet name="Scenario - Slower 2028" sheetId="28" state="visible" r:id="rId30"/>
    <sheet name="Scenario - Standby Capital" sheetId="29" state="visible" r:id="rId31"/>
    <sheet name="رد الملاحظات" sheetId="30" state="visible" r:id="rId32"/>
    <sheet name="Basel III" sheetId="31" state="visible" r:id="rId33"/>
    <sheet name="Regulatory Data Requirements" sheetId="32" state="visible" r:id="rId34"/>
    <sheet name="جاهزية التقديم" sheetId="33" state="visible" r:id="rId3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<sst xmlns="http://schemas.openxmlformats.org/spreadsheetml/2006/main" count="1942" uniqueCount="1526">
  <si>
    <t xml:space="preserve">شركة فليكسي للتأجير التمويلي</t>
  </si>
  <si>
    <t xml:space="preserve">دراسة الجدوى والنموذج المالي المتكامل - Year 1 to Year 5</t>
  </si>
  <si>
    <t xml:space="preserve">نطاق النموذج</t>
  </si>
  <si>
    <t xml:space="preserve">قوائم مالية سنوية لخمس سنوات</t>
  </si>
  <si>
    <t xml:space="preserve">خطة منح شهرية وربع سنوية</t>
  </si>
  <si>
    <t xml:space="preserve">تمويل وسيولة وCAR وLCR وNSFR</t>
  </si>
  <si>
    <t xml:space="preserve">NPV وIRR وARR والاسترداد وWACC وPI والتعادل</t>
  </si>
  <si>
    <t xml:space="preserve">حساسية وسيناريوهات ومؤشرات مالية</t>
  </si>
  <si>
    <t xml:space="preserve">هيكل وظيفي ووظائف رقابية</t>
  </si>
  <si>
    <t xml:space="preserve">جميع المبالغ بالجنيه المصري. الافتراضات الصفراء قابلة للتعديل، والمعادلات مترابطة بين القوائم والجداول الرقابية. أي مدخل غير مؤكد موصوف صراحة كافتراض.</t>
  </si>
  <si>
    <t xml:space="preserve">Version</t>
  </si>
  <si>
    <t xml:space="preserve">Final Submission Version</t>
  </si>
  <si>
    <t xml:space="preserve">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</si>
  <si>
    <t xml:space="preserve">دليل الملف - كل الأوراق ومحتواها</t>
  </si>
  <si>
    <t xml:space="preserve">الترتيب</t>
  </si>
  <si>
    <t xml:space="preserve">اسم الورقة</t>
  </si>
  <si>
    <t xml:space="preserve">ماذا تعرض ومنهجيتها</t>
  </si>
  <si>
    <t xml:space="preserve">Navigation</t>
  </si>
  <si>
    <t xml:space="preserve">Cover</t>
  </si>
  <si>
    <t xml:space="preserve">صفحة تعريفية بالشركة ونطاق النموذج - لا حسابات، مقدمة فقط.</t>
  </si>
  <si>
    <t xml:space="preserve">Assumptions</t>
  </si>
  <si>
    <t xml:space="preserve">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</si>
  <si>
    <t xml:space="preserve">Capital</t>
  </si>
  <si>
    <t xml:space="preserve">جدول تحصيل رأس المال من المساهمين الأربعة على دفعات ربع سنوية تبدأ قبل Year 1 وتستكمل خلال Year 2 حتى بلوغ 75 مليون جنيه.</t>
  </si>
  <si>
    <t xml:space="preserve">Products</t>
  </si>
  <si>
    <t xml:space="preserve">القطاعات والمنتجات التي تستهدفها فليكسي في نشاط التأجير التمويلي.</t>
  </si>
  <si>
    <t xml:space="preserve">Staff</t>
  </si>
  <si>
    <t xml:space="preserve">الهيكل الوظيفي وتكلفة العاملين سنويا حتى نهاية Year 5، شاملا وظيفة مسؤول مكافحة غسل الأموال وتمويل الإرهاب.</t>
  </si>
  <si>
    <t xml:space="preserve">Opex</t>
  </si>
  <si>
    <t xml:space="preserve">تفصيل المصروفات الإدارية والعمومية بندا ببند (تقنية، تسويق، إيجارات).</t>
  </si>
  <si>
    <t xml:space="preserve">Originations</t>
  </si>
  <si>
    <t xml:space="preserve">خطة المنح الشهرية والربع سنوية على 60 شهرا، موزعة من الحجم السنوي في Assumptions وفق التوزيع الموسمي المعتمد، مع تجميع سنوي واختبارات ربط.</t>
  </si>
  <si>
    <t xml:space="preserve">Cohort Principal</t>
  </si>
  <si>
    <t xml:space="preserve">جدول سنوي لتطور أصل المحفظة: رصيد أول السنة + الأصل الممول من المنح - تحصيل/استنفاد الأصل = رصيد آخر السنة، مع اختبار ربط.</t>
  </si>
  <si>
    <t xml:space="preserve">Cohort Interest</t>
  </si>
  <si>
    <t xml:space="preserve">جدول سنوي لعوائد التأجير: Year 1-Year 2 مدخلات خطة إدارة معتمدة لعدم توافر جدول EIR/عقود شهري مستقل؛ Year 3-Year 5 تحسب من متوسط المحفظة × العائد السنوي.</t>
  </si>
  <si>
    <t xml:space="preserve">Cohort Fees</t>
  </si>
  <si>
    <t xml:space="preserve">جدول سنوي لرسوم الخدمات: المنح × نسبة الرسوم المعتمدة (Year 1=5%، Year 2=7%، ومن Year 3=6%)، مع إظهار دعم/خدمات مساندة منفصلة عند وجودها.</t>
  </si>
  <si>
    <t xml:space="preserve">Monthly Model</t>
  </si>
  <si>
    <t xml:space="preserve">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</si>
  <si>
    <t xml:space="preserve">Income Statement</t>
  </si>
  <si>
    <t xml:space="preserve">قائمة الدخل التقديرية لخمس سنوات، متضمنة جدول تسوية ضريبية كاملا (ترحيل خسارة Year 1 مقابل ربح Year 2).</t>
  </si>
  <si>
    <t xml:space="preserve">Balance Sheet</t>
  </si>
  <si>
    <t xml:space="preserve">قائمة المركز المالي التقديرية لخمس سنوات، مع فحص توازن آلي يجب أن يساوي صفرا كل سنة.</t>
  </si>
  <si>
    <t xml:space="preserve">Cash Flow</t>
  </si>
  <si>
    <t xml:space="preserve">قائمة التدفقات النقدية (تشغيلي/استثماري/تمويلي)، مع ربط آلي للرصيد الختامي بالميزانية.</t>
  </si>
  <si>
    <t xml:space="preserve">Investments</t>
  </si>
  <si>
    <t xml:space="preserve">الخطة الاستثمارية لخمس سنوات على ست قنوات (منصة التأجير، الأمن السيبراني، معدات، إلخ).</t>
  </si>
  <si>
    <t xml:space="preserve">Feasibility</t>
  </si>
  <si>
    <t xml:space="preserve">مؤشرات الجدوى: NPV، IRR، فترة الاسترداد، ARR، تكلفة رأس المال WACC، ودليل الربحية PI.</t>
  </si>
  <si>
    <t xml:space="preserve">Ratios</t>
  </si>
  <si>
    <t xml:space="preserve">النسب المالية: العائد على الأصول ROA، العائد على حقوق الملكية ROE، العائد على الاستثمار ROI، ومؤشرات سيولة تكميلية.</t>
  </si>
  <si>
    <t xml:space="preserve">Scenarios</t>
  </si>
  <si>
    <t xml:space="preserve">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</si>
  <si>
    <t xml:space="preserve">Sensitivity</t>
  </si>
  <si>
    <t xml:space="preserve">حساسية صافي ربح Year 5 لتغير عائد العميل وحجم المنح معا.</t>
  </si>
  <si>
    <t xml:space="preserve">Break Even</t>
  </si>
  <si>
    <t xml:space="preserve">نقطة تعادل حجم المحفظة والمنح المطلوبين سنويا، وهامش الأمان الفعلي.</t>
  </si>
  <si>
    <t xml:space="preserve">Compliance</t>
  </si>
  <si>
    <t xml:space="preserve">مصفوفة تقابل كل بند من الـ14 بندا الأساسية في خطاب الهيئة بمكان استيفائه في الملف - للمراجع السريع قبل التقديم.</t>
  </si>
  <si>
    <t xml:space="preserve">Checks</t>
  </si>
  <si>
    <t xml:space="preserve">اختبارات ذاتية للتأكد من سلامة الأرقام حسابيا (توازن الميزانية، تطابق التدفقات، تسوية الدين) - أداة مراجعة داخلية للنموذج، وليست موجهة للهيئة.</t>
  </si>
  <si>
    <t xml:space="preserve">Sources</t>
  </si>
  <si>
    <t xml:space="preserve">سجل بكل افتراض غير مؤكد بعد ومصدره ومكان استخدامه، بما في ذلك روابط النصوص الرقابية الرسمية (قرار 268/2023 وقرار 137/2025).</t>
  </si>
  <si>
    <t xml:space="preserve">Formula Map</t>
  </si>
  <si>
    <t xml:space="preserve">دليل مختصر يوضح في أي ورقة وأي صف تحسب كل نسبة أو مؤشر رئيسي.</t>
  </si>
  <si>
    <t xml:space="preserve">Regulatory Capital Plan</t>
  </si>
  <si>
    <t xml:space="preserve">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</si>
  <si>
    <t xml:space="preserve">Funding &amp; Liquidity</t>
  </si>
  <si>
    <t xml:space="preserve">تفصيل مصادر التمويل وتكلفتها، اختبار الرافعة الشهري خلال Year 2، وسلمي LCR (30 يوما) وNSFR (حسب الأجل المتبقي) التفصيليين.</t>
  </si>
  <si>
    <t xml:space="preserve">Scenario - Slower Year 2</t>
  </si>
  <si>
    <t xml:space="preserve">أداة إدارة عملية لفجوة سقف الرافعة عبر تباطؤ نمو Year 2 (تخفيض معدل المنح والتمويل معا) - وليس سيناريو تجاري عام.</t>
  </si>
  <si>
    <t xml:space="preserve">Scenario - Standby Capital</t>
  </si>
  <si>
    <t xml:space="preserve">أداة إدارة عملية لفجوة سقف الرافعة عبر ضخ رأس مال احتياطي من المساهمين، بحساب الحد الأدنى الكافي تلقائيا.</t>
  </si>
  <si>
    <t xml:space="preserve">رد الملاحظات</t>
  </si>
  <si>
    <t xml:space="preserve">رد مباشر ومرقم على كل ملاحظة وردت في خطاب الهيئة، مع رابط لكل رد يوصل إلى الورقة التي تثبته فعليا.</t>
  </si>
  <si>
    <t xml:space="preserve">Basel III</t>
  </si>
  <si>
    <t xml:space="preserve">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</si>
  <si>
    <t xml:space="preserve">Regulatory Data Requirements</t>
  </si>
  <si>
    <t xml:space="preserve">قائمة بكل مستند أو بيان مطلوب من الإدارة ولم يتوفر بعد، مع الجهة المسؤولة والموعد المستهدف وأثر عدم التوفر.</t>
  </si>
  <si>
    <t xml:space="preserve">جاهزية التقديم</t>
  </si>
  <si>
    <t xml:space="preserve">لوحة ملخصة نهائية بكل نتائج الالتزام الرئيسية (الرافعة، CAR، LCR، NSFR)، وقرار صريح بجاهزية الملف للتقديم كدراسة جدوى وليس كإقرار امتثال فعلي.</t>
  </si>
  <si>
    <t xml:space="preserve">Flexy - الافتراضات الرئيسية للنموذج المالي</t>
  </si>
  <si>
    <t xml:space="preserve">البند</t>
  </si>
  <si>
    <t xml:space="preserve">Year 1</t>
  </si>
  <si>
    <t xml:space="preserve">Year 2</t>
  </si>
  <si>
    <t xml:space="preserve">Year 3</t>
  </si>
  <si>
    <t xml:space="preserve">Year 4</t>
  </si>
  <si>
    <t xml:space="preserve">Year 5</t>
  </si>
  <si>
    <t xml:space="preserve">حجم المنح السنوي</t>
  </si>
  <si>
    <t xml:space="preserve">خطة التشغيل السنوية</t>
  </si>
  <si>
    <t xml:space="preserve">العائد السنوي الاسمي على رصيد العميل</t>
  </si>
  <si>
    <t xml:space="preserve">سعر مرجعي تقديري</t>
  </si>
  <si>
    <t xml:space="preserve">هامش البنك فوق السعر المرجعي</t>
  </si>
  <si>
    <t xml:space="preserve">تكلفة الاقتراض السنوية</t>
  </si>
  <si>
    <t xml:space="preserve">متوسط قيمة العقد</t>
  </si>
  <si>
    <t xml:space="preserve">الإنفاق الرأسمالي</t>
  </si>
  <si>
    <t xml:space="preserve">عدد مكاتب التوقيع وخدمات الأصول</t>
  </si>
  <si>
    <t xml:space="preserve">الحد الأدنى للسيولة</t>
  </si>
  <si>
    <t xml:space="preserve">افتراضات ثابتة وقانونية</t>
  </si>
  <si>
    <t xml:space="preserve">Establishment Phase</t>
  </si>
  <si>
    <t xml:space="preserve">مؤكد من الإدارة</t>
  </si>
  <si>
    <t xml:space="preserve">Start of Operations Phase</t>
  </si>
  <si>
    <t xml:space="preserve">ترخيص مبدئي/بدء النشاط</t>
  </si>
  <si>
    <t xml:space="preserve">First Contract Phase</t>
  </si>
  <si>
    <t xml:space="preserve">خلال شهر من ترخيص البدء</t>
  </si>
  <si>
    <t xml:space="preserve">Target Final License Phase</t>
  </si>
  <si>
    <t xml:space="preserve">Management planning assumption: capital completion and target final license during Year 2</t>
  </si>
  <si>
    <t xml:space="preserve">رأس المال المرخص</t>
  </si>
  <si>
    <t xml:space="preserve">رأس المال المصدر والمدفوع عند البداية</t>
  </si>
  <si>
    <t xml:space="preserve">القيمة الاسمية المقترحة للسهم</t>
  </si>
  <si>
    <t xml:space="preserve">افتراض قانوني لحين اعتماد عقد التأسيس</t>
  </si>
  <si>
    <t xml:space="preserve">إجمالي الأسهم عند استكمال 75 مليون</t>
  </si>
  <si>
    <t xml:space="preserve">رأس المال ÷ القيمة الاسمية</t>
  </si>
  <si>
    <t xml:space="preserve">صافي فاقد ائتماني على الأقساط المستحقة - افتراض تخطيطي</t>
  </si>
  <si>
    <t xml:space="preserve">4x قبل الترخيص النهائي و9x بعده</t>
  </si>
  <si>
    <t xml:space="preserve">نسبة مقدم العميل / الجزء غير الممول من قيمة الأصل</t>
  </si>
  <si>
    <t xml:space="preserve">افتراض تشغيلي مستخدم في احتساب صافي أصل محفظة التأجير؛ ليس نسبة مخصص خسائر ائتمانية</t>
  </si>
  <si>
    <t xml:space="preserve">نسبة الرسوم الإدارية حسب السنة</t>
  </si>
  <si>
    <t xml:space="preserve">نسبة الاعتراف بالرسوم عند المنح - سياسة محاسبية مستهدفة (غير مطبقة في القوائم المقفلة حاليا)</t>
  </si>
  <si>
    <t xml:space="preserve">مقابل خدمات منفصلة - تخضع لاعتماد المراجع</t>
  </si>
  <si>
    <t xml:space="preserve">نسبة الرسوم المؤجلة - سياسة محاسبية مستهدفة (غير مطبقة في القوائم المقفلة حاليا)</t>
  </si>
  <si>
    <t xml:space="preserve">تستهلك على مدة العقد</t>
  </si>
  <si>
    <t xml:space="preserve">متوسط مدة العقد - شهر</t>
  </si>
  <si>
    <t xml:space="preserve">الغالبية 24-36 شهر</t>
  </si>
  <si>
    <t xml:space="preserve">صافي فاقد ائتماني على الأقساط المستحقة</t>
  </si>
  <si>
    <t xml:space="preserve">افتراض تحفظي قابل للتعديل</t>
  </si>
  <si>
    <t xml:space="preserve">نسبة مخصص الخسائر الائتمانية التخطيطي من إجمالي المحفظة الختامية (ليس نموذج EAS 47 كامل)</t>
  </si>
  <si>
    <t xml:space="preserve">افتراض دراسة جدوى؛ إلى حين بناء نموذج EAS 47 ببيانات PD/LGD/EAD والمراحل الائتمانية</t>
  </si>
  <si>
    <t xml:space="preserve">نسبة سداد أصل تمويل البنك من تحصيلات الأصل</t>
  </si>
  <si>
    <t xml:space="preserve">Cash sweep</t>
  </si>
  <si>
    <t xml:space="preserve">ضريبة الدخل</t>
  </si>
  <si>
    <t xml:space="preserve">ضريبة الشركات</t>
  </si>
  <si>
    <t xml:space="preserve">زيادة الرواتب السنوية</t>
  </si>
  <si>
    <t xml:space="preserve">طبقا لجدول الهيكل الوظيفي المرجعي</t>
  </si>
  <si>
    <t xml:space="preserve">زيادة المصروفات السنوية</t>
  </si>
  <si>
    <t xml:space="preserve">تقدير إداري</t>
  </si>
  <si>
    <t xml:space="preserve">معدل الحوافز المتغيرة الضمني من موازنة العاملين المعتمدة</t>
  </si>
  <si>
    <t xml:space="preserve">معدل حافز إنتاج مرجعي على منح الشهر السابق (مرجع تشغيلي؛ غير مستخدم كمعامل موازنة سنوي)</t>
  </si>
  <si>
    <t xml:space="preserve">مرتبطة بالإنتاج</t>
  </si>
  <si>
    <t xml:space="preserve">نسبة الرسوم المتغيرة/بوابات الدفع من التحصيلات</t>
  </si>
  <si>
    <t xml:space="preserve">تقدير</t>
  </si>
  <si>
    <t xml:space="preserve">تكلفة حقوق الملكية</t>
  </si>
  <si>
    <t xml:space="preserve">معدل خصم اسمي بالجنيه - افتراض تقييم</t>
  </si>
  <si>
    <t xml:space="preserve">مضاعف الربحية النهائي</t>
  </si>
  <si>
    <t xml:space="preserve">حالة أساسية للتقييم عند نهاية Year 5</t>
  </si>
  <si>
    <t xml:space="preserve">نسبة الاحتياطي القانوني من الربح</t>
  </si>
  <si>
    <t xml:space="preserve">حتى 50% من رأس المال</t>
  </si>
  <si>
    <t xml:space="preserve">أقصى رصيد للاحتياطي القانوني</t>
  </si>
  <si>
    <t xml:space="preserve">من رأس المال المصدر</t>
  </si>
  <si>
    <t xml:space="preserve">نسبة الاعتراف بعوائد العقود نقديا</t>
  </si>
  <si>
    <t xml:space="preserve">تعكس التعثر/عدم الاستحقاق</t>
  </si>
  <si>
    <t xml:space="preserve">الوحدات</t>
  </si>
  <si>
    <t xml:space="preserve">جنيه مصري</t>
  </si>
  <si>
    <t xml:space="preserve">الأرقام بالجنيه ما لم يذكر خلاف ذلك</t>
  </si>
  <si>
    <t xml:space="preserve">السقف الداخلي للرافعة المالية</t>
  </si>
  <si>
    <t xml:space="preserve">دليل الألوان</t>
  </si>
  <si>
    <t xml:space="preserve">مدخلات قابلة للتعديل</t>
  </si>
  <si>
    <t xml:space="preserve">معادلات</t>
  </si>
  <si>
    <t xml:space="preserve">روابط داخل النموذج</t>
  </si>
  <si>
    <t xml:space="preserve">تنبيه/مطلوب اعتماد</t>
  </si>
  <si>
    <t xml:space="preserve">أزرق</t>
  </si>
  <si>
    <t xml:space="preserve">أسود</t>
  </si>
  <si>
    <t xml:space="preserve">أخضر</t>
  </si>
  <si>
    <t xml:space="preserve">خلفية صفراء</t>
  </si>
  <si>
    <t xml:space="preserve">قاعدة الاستخدام</t>
  </si>
  <si>
    <t xml:space="preserve">تعديل الخلايا الزرقاء فقط</t>
  </si>
  <si>
    <t xml:space="preserve">لا تستبدل المعادلات</t>
  </si>
  <si>
    <t xml:space="preserve">تتبع إلى جداول أخرى</t>
  </si>
  <si>
    <t xml:space="preserve">تحتاج اعتمادا نهائيا</t>
  </si>
  <si>
    <t xml:space="preserve">الحالة المختارة</t>
  </si>
  <si>
    <t xml:space="preserve">Base</t>
  </si>
  <si>
    <t xml:space="preserve">إطار رقابي وتمويلي</t>
  </si>
  <si>
    <t xml:space="preserve">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</si>
  <si>
    <t xml:space="preserve">هامش الأمان عن سقف الرافعة</t>
  </si>
  <si>
    <t xml:space="preserve">الحد المخطط للتسهيلات البنكية</t>
  </si>
  <si>
    <t xml:space="preserve">زيادة حقوق ملكية خارج رأس المال المدفوع</t>
  </si>
  <si>
    <t xml:space="preserve">Tier 2 ضمن القاعدة الرأسمالية</t>
  </si>
  <si>
    <t xml:space="preserve">استبعادات رقابية من القاعدة الرأسمالية</t>
  </si>
  <si>
    <t xml:space="preserve">الحد الأدنى لكفاية رأس المال</t>
  </si>
  <si>
    <t xml:space="preserve">الحد الأدنى لتغطية السيولة</t>
  </si>
  <si>
    <t xml:space="preserve">الحد الأدنى لصافي التمويل المستقر</t>
  </si>
  <si>
    <t xml:space="preserve">حد تركز العميل الواحد</t>
  </si>
  <si>
    <t xml:space="preserve">معامل مؤشر الأعمال لمخاطر التشغيل</t>
  </si>
  <si>
    <t xml:space="preserve">نسبة التمويل البنكي المستقر المرجحة</t>
  </si>
  <si>
    <t xml:space="preserve">عامل التمويل المستقر المطلوب - مؤشر تخطيطي</t>
  </si>
  <si>
    <t xml:space="preserve">عدد العاملين بنهاية السنة</t>
  </si>
  <si>
    <t xml:space="preserve">معامل تواجد القوة العاملة خلال السنة</t>
  </si>
  <si>
    <t xml:space="preserve">معامل مواءمة موازنة G&amp;A المقفلة (Year 1-Year 2 فقط؛ من Year 3 = 1.0)</t>
  </si>
  <si>
    <t xml:space="preserve">منهج المخصص التخطيطي</t>
  </si>
  <si>
    <t xml:space="preserve">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</si>
  <si>
    <t xml:space="preserve">ملاحظات الإفصاح</t>
  </si>
  <si>
    <t xml:space="preserve">تعريف القاعدة الرأسمالية</t>
  </si>
  <si>
    <t xml:space="preserve">المستخدم حاليا تقريب لحقوق الملكية المحاسبية المعدلة، وليس حسابا نهائيا للقاعدة الرأسمالية الرقابية.</t>
  </si>
  <si>
    <t xml:space="preserve">مخاطر التشغيل</t>
  </si>
  <si>
    <t xml:space="preserve">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</si>
  <si>
    <t xml:space="preserve">التمويل البنكي</t>
  </si>
  <si>
    <t xml:space="preserve">حدود التسهيلات وآجالها وتكلفتها افتراضات تخطيطية لحين استلام عروض ملزمة من البنوك. السحب الفعلي مرتبط باحتياج السيولة وبحدود الرافعة وكفاية رأس المال.</t>
  </si>
  <si>
    <t xml:space="preserve">شرط مصدر التمويل خلال الترخيص المبدئي</t>
  </si>
  <si>
    <t xml:space="preserve">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</si>
  <si>
    <t xml:space="preserve">حالة المؤشرات الرقابية</t>
  </si>
  <si>
    <t xml:space="preserve">مؤشرات تخطيطية أولية؛ أي نقص في CAR أو LCR أو NSFR يظهر كفجوة يجب إقفالها، وليس كنجاح مشروط.</t>
  </si>
  <si>
    <t xml:space="preserve">سداد التمويل البنكي المحسوب</t>
  </si>
  <si>
    <t xml:space="preserve">مدخلات الخطة السنوية والقوائم المالية</t>
  </si>
  <si>
    <t xml:space="preserve">المنح السنوي</t>
  </si>
  <si>
    <t xml:space="preserve">عدد العقود</t>
  </si>
  <si>
    <t xml:space="preserve">تحصيلات العملاء</t>
  </si>
  <si>
    <t xml:space="preserve">رصيد محفظة التأجير الإجمالي الختامي</t>
  </si>
  <si>
    <t xml:space="preserve">عوائد التأجير</t>
  </si>
  <si>
    <t xml:space="preserve">رسوم الخدمات الإدارية</t>
  </si>
  <si>
    <t xml:space="preserve">دعم تشغيلي / إيرادات خدمات مساندة أخرى</t>
  </si>
  <si>
    <t xml:space="preserve">تكلفة التمويل البنكي</t>
  </si>
  <si>
    <t xml:space="preserve">مصروف الخسائر الائتمانية / حركة المخصص التخطيطي</t>
  </si>
  <si>
    <t xml:space="preserve">تكلفة العاملين الشاملة</t>
  </si>
  <si>
    <t xml:space="preserve">المصروفات الإدارية والتشغيلية</t>
  </si>
  <si>
    <t xml:space="preserve">الإهلاك والاستهلاك</t>
  </si>
  <si>
    <t xml:space="preserve">صافي الربح</t>
  </si>
  <si>
    <t xml:space="preserve">رصيد التمويل البنكي الختامي</t>
  </si>
  <si>
    <t xml:space="preserve">رأس المال المصدر والمدفوع</t>
  </si>
  <si>
    <t xml:space="preserve">الأرباح/(الخسائر) التراكمية</t>
  </si>
  <si>
    <t xml:space="preserve">الاحتياطي القانوني التراكمي</t>
  </si>
  <si>
    <t xml:space="preserve">القاعدة الرأسمالية قبل الخصومات</t>
  </si>
  <si>
    <t xml:space="preserve">معامل BI لاختبار التحمل الأعلى / افتراض بديل (18%)</t>
  </si>
  <si>
    <t xml:space="preserve">مضاعف تحويل مخاطر التشغيل</t>
  </si>
  <si>
    <t xml:space="preserve">النقدية الختامية</t>
  </si>
  <si>
    <t xml:space="preserve">أصول أخرى</t>
  </si>
  <si>
    <t xml:space="preserve">رسوم مؤجلة والتزامات تشغيلية</t>
  </si>
  <si>
    <t xml:space="preserve">حدود التسهيلات البنكية</t>
  </si>
  <si>
    <t xml:space="preserve">نسبة الدين بأجل متبق سنة فأكثر</t>
  </si>
  <si>
    <t xml:space="preserve">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</si>
  <si>
    <t xml:space="preserve">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</si>
  <si>
    <t xml:space="preserve">الأزرق/الخلفية الصفراء = افتراضات قابلة للتعديل؛ الأسود = معادلات؛ الأخضر = روابط داخل النموذج؛ والمبالغ بالجنيه المصري ما لم يذكر غير ذلك.</t>
  </si>
  <si>
    <t xml:space="preserve">إجمالي الالتزامات/التعهدات خارج الميزانية قبل معامل التحويل</t>
  </si>
  <si>
    <t xml:space="preserve">معامل التحويل الائتماني للانكشافات خارج الميزانية CCF</t>
  </si>
  <si>
    <t xml:space="preserve">انكشافات المشتقات ومعاملات تمويل الأوراق المالية SFT</t>
  </si>
  <si>
    <t xml:space="preserve">بوابة الترخيص النهائي الفعلي (لا اعتماد تلقائي على الموعد المستهدف)</t>
  </si>
  <si>
    <t xml:space="preserve">هل صدر الترخيص النهائي فعليا؟</t>
  </si>
  <si>
    <t xml:space="preserve">لا</t>
  </si>
  <si>
    <t xml:space="preserve">مدخل يدوي إلزامي - لا يتغير تلقائيا بمجرد بلوغ الموعد المستهدف. حدثه إلى "نعم" فقط عند صدور الترخيص فعليا.</t>
  </si>
  <si>
    <t xml:space="preserve">تاريخ الإصدار الفعلي للترخيص النهائي (يملأ عند الصدور فقط)</t>
  </si>
  <si>
    <t xml:space="preserve">يترك فارغا حتى صدور الترخيص فعليا</t>
  </si>
  <si>
    <t xml:space="preserve">أثر البوابة الفعلية مقابل التوقعات</t>
  </si>
  <si>
    <t xml:space="preserve">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</si>
  <si>
    <t xml:space="preserve">تفصيل الالتزامات خارج الميزانية (يدعم Basel III)</t>
  </si>
  <si>
    <t xml:space="preserve">تسهيلات غير مسحوبة</t>
  </si>
  <si>
    <t xml:space="preserve">خطابات ضمان</t>
  </si>
  <si>
    <t xml:space="preserve">تعهدات تعاقدية غير منفذة</t>
  </si>
  <si>
    <t xml:space="preserve">تعهدات شراء أصول</t>
  </si>
  <si>
    <t xml:space="preserve">ضمانات والتزامات أخرى خارج الميزانية</t>
  </si>
  <si>
    <t xml:space="preserve">إجمالي الالتزامات خارج الميزانية قبل CCF (يستبدل الصف 106)</t>
  </si>
  <si>
    <t xml:space="preserve">مشتقات</t>
  </si>
  <si>
    <t xml:space="preserve">معاملات تمويل أوراق مالية SFT</t>
  </si>
  <si>
    <t xml:space="preserve">إجمالي المشتقات وSFT (يستبدل الصف 108)</t>
  </si>
  <si>
    <t xml:space="preserve">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</si>
  <si>
    <t xml:space="preserve">رأس المال والتزامات المساهمين</t>
  </si>
  <si>
    <t xml:space="preserve">Plan Stage</t>
  </si>
  <si>
    <t xml:space="preserve">البيان</t>
  </si>
  <si>
    <t xml:space="preserve">إجمالي الزيادة</t>
  </si>
  <si>
    <t xml:space="preserve">Finvera</t>
  </si>
  <si>
    <t xml:space="preserve">El-Mobadara</t>
  </si>
  <si>
    <t xml:space="preserve">CDS</t>
  </si>
  <si>
    <t xml:space="preserve">Egabi</t>
  </si>
  <si>
    <t xml:space="preserve">رأس المال المصدر والمدفوع عند التأسيس</t>
  </si>
  <si>
    <t xml:space="preserve">دفعة ربع سنوية</t>
  </si>
  <si>
    <t xml:space="preserve">استكمال 30 مليون</t>
  </si>
  <si>
    <t xml:space="preserve">دفعة لاستكمال رأس المال</t>
  </si>
  <si>
    <t xml:space="preserve">استكمال 75 مليون</t>
  </si>
  <si>
    <t xml:space="preserve">بيانات رأس المال والأسهم</t>
  </si>
  <si>
    <t xml:space="preserve">رأس المال المرخص به</t>
  </si>
  <si>
    <t xml:space="preserve">رأس المال المصدر والمدفوع بعد الاستكمال</t>
  </si>
  <si>
    <t xml:space="preserve">القيمة الاسمية للسهم</t>
  </si>
  <si>
    <t xml:space="preserve">إجمالي عدد الأسهم بعد الاستكمال</t>
  </si>
  <si>
    <t xml:space="preserve">إجمالي عدد الأسهم المصرح بها</t>
  </si>
  <si>
    <t xml:space="preserve">المساهمون</t>
  </si>
  <si>
    <t xml:space="preserve">المساهم</t>
  </si>
  <si>
    <t xml:space="preserve">نسبة الملكية</t>
  </si>
  <si>
    <t xml:space="preserve">رأس المال النقدي</t>
  </si>
  <si>
    <t xml:space="preserve">مصروفات تأسيس مسددة</t>
  </si>
  <si>
    <t xml:space="preserve">إجمالي التزام نقدي</t>
  </si>
  <si>
    <t xml:space="preserve">حد الإدارة</t>
  </si>
  <si>
    <t xml:space="preserve">هامش</t>
  </si>
  <si>
    <t xml:space="preserve">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</si>
  <si>
    <t xml:space="preserve">المنتجات والقطاعات المستهدفة</t>
  </si>
  <si>
    <t xml:space="preserve">القطاع</t>
  </si>
  <si>
    <t xml:space="preserve">المزيج</t>
  </si>
  <si>
    <t xml:space="preserve">متوسط العقد</t>
  </si>
  <si>
    <t xml:space="preserve">الحد الأدنى</t>
  </si>
  <si>
    <t xml:space="preserve">الحد الأقصى الإرشادي</t>
  </si>
  <si>
    <t xml:space="preserve">المقدم الأدنى</t>
  </si>
  <si>
    <t xml:space="preserve">المقدم الأقصى</t>
  </si>
  <si>
    <t xml:space="preserve">المدة الدنيا - شهر</t>
  </si>
  <si>
    <t xml:space="preserve">المدة القصوى - شهر</t>
  </si>
  <si>
    <t xml:space="preserve">ملاحظات</t>
  </si>
  <si>
    <t xml:space="preserve">معدات صناعية</t>
  </si>
  <si>
    <t xml:space="preserve">طبقا للعمر الإنتاجي للأصل</t>
  </si>
  <si>
    <t xml:space="preserve">معدات زراعية</t>
  </si>
  <si>
    <t xml:space="preserve">يجوز تحصيل ربع/نصف سنوي للأنشطة الموسمية</t>
  </si>
  <si>
    <t xml:space="preserve">معدات طبية</t>
  </si>
  <si>
    <t xml:space="preserve">موردون معتمدون وتأمين على الأصل</t>
  </si>
  <si>
    <t xml:space="preserve">نقل تجاري خفيف</t>
  </si>
  <si>
    <t xml:space="preserve">التأمين والترخيص شرط صرف</t>
  </si>
  <si>
    <t xml:space="preserve">قطاعات أخرى</t>
  </si>
  <si>
    <t xml:space="preserve">تخضع لحدود التركز والسياسة الائتمانية</t>
  </si>
  <si>
    <t xml:space="preserve">مؤشر</t>
  </si>
  <si>
    <t xml:space="preserve">القيمة</t>
  </si>
  <si>
    <t xml:space="preserve">الفحص</t>
  </si>
  <si>
    <t xml:space="preserve">إجمالي المزيج</t>
  </si>
  <si>
    <t xml:space="preserve">متوسط العقد المرجح</t>
  </si>
  <si>
    <t xml:space="preserve">استرشادي؛ يختلف سنويا حسب خطة المنح</t>
  </si>
  <si>
    <t xml:space="preserve">قواعد التسعير</t>
  </si>
  <si>
    <t xml:space="preserve">سعر العميل ثابت لكل عقد موقع، ويحدد عند المنح وفق تكلفة تمويل البنك + هامش مخاطر وتشغيل.</t>
  </si>
  <si>
    <t xml:space="preserve">السداد المعجل</t>
  </si>
  <si>
    <t xml:space="preserve">خصم العوائد غير المستحقة مع عمولة سداد معجل 5%-10% وفق العقد والقواعد المعتمدة.</t>
  </si>
  <si>
    <t xml:space="preserve">التأخير</t>
  </si>
  <si>
    <t xml:space="preserve">غرامة شهرية على الأجرة المتأخرة وفق العقد وبما لا يخالف الضوابط؛ لم يفترض دخل منها في الحالة الأساسية.</t>
  </si>
  <si>
    <t xml:space="preserve">التملك</t>
  </si>
  <si>
    <t xml:space="preserve">سعر رمزي جنيه واحد بعد سداد جميع الالتزامات والمصروفات والأقساط.</t>
  </si>
  <si>
    <t xml:space="preserve">الهيكل الوظيفي وتكلفة العمالة</t>
  </si>
  <si>
    <t xml:space="preserve">الوظيفة</t>
  </si>
  <si>
    <t xml:space="preserve">الراتب الشهري الأساسي Year 1</t>
  </si>
  <si>
    <t xml:space="preserve">Year 1 FTE</t>
  </si>
  <si>
    <t xml:space="preserve">Year 2 FTE</t>
  </si>
  <si>
    <t xml:space="preserve">Year 3 FTE</t>
  </si>
  <si>
    <t xml:space="preserve">Year 4 FTE</t>
  </si>
  <si>
    <t xml:space="preserve">Year 5 FTE</t>
  </si>
  <si>
    <t xml:space="preserve">Year 1 Cost</t>
  </si>
  <si>
    <t xml:space="preserve">Year 2 Cost</t>
  </si>
  <si>
    <t xml:space="preserve">Year 3 Cost</t>
  </si>
  <si>
    <t xml:space="preserve">Year 4 Cost</t>
  </si>
  <si>
    <t xml:space="preserve">Year 5 Cost</t>
  </si>
  <si>
    <t xml:space="preserve">ملاحظة رقابية</t>
  </si>
  <si>
    <t xml:space="preserve">الرئيس التنفيذي والعضو المنتدب</t>
  </si>
  <si>
    <t xml:space="preserve">إدارة تنفيذية</t>
  </si>
  <si>
    <t xml:space="preserve">نائب الرئيس التنفيذي/عضو مجلس الإدارة</t>
  </si>
  <si>
    <t xml:space="preserve">حوكمة</t>
  </si>
  <si>
    <t xml:space="preserve">المدير المالي والإداري</t>
  </si>
  <si>
    <t xml:space="preserve">قوائم وسيولة</t>
  </si>
  <si>
    <t xml:space="preserve">مدير المخاطر</t>
  </si>
  <si>
    <t xml:space="preserve">مستقل رقابيا</t>
  </si>
  <si>
    <t xml:space="preserve">مدير التقنية</t>
  </si>
  <si>
    <t xml:space="preserve">حماية واستمرارية الأعمال</t>
  </si>
  <si>
    <t xml:space="preserve">مسؤولو التقنية</t>
  </si>
  <si>
    <t xml:space="preserve">توسع تقني متدرج</t>
  </si>
  <si>
    <t xml:space="preserve">حوافز ومكافآت أداء متغيرة ضمن موازنة العاملين المعتمدة</t>
  </si>
  <si>
    <t xml:space="preserve">رصيد موازنة متغير: إجمالي موازنة العاملين المعتمدة ناقص الرواتب الثابتة؛ الصرف الفعلي يخضع لمؤشرات الإنتاج والأداء.</t>
  </si>
  <si>
    <t xml:space="preserve">مسؤول الالتزام</t>
  </si>
  <si>
    <t xml:space="preserve">تقارير مباشرة للمجلس/لجنة المراجعة</t>
  </si>
  <si>
    <t xml:space="preserve">مسؤول مكافحة غسل الأموال وتمويل الإرهاب</t>
  </si>
  <si>
    <t xml:space="preserve">وظيفة مستقلة واتصال مباشر بالمجلس والجهات المختصة</t>
  </si>
  <si>
    <t xml:space="preserve">مسؤول المراجعة الداخلية</t>
  </si>
  <si>
    <t xml:space="preserve">استقلال وظيفي</t>
  </si>
  <si>
    <t xml:space="preserve">مسؤول الموارد البشرية</t>
  </si>
  <si>
    <t xml:space="preserve">دعم إداري</t>
  </si>
  <si>
    <t xml:space="preserve">فريق مخاطر الائتمان</t>
  </si>
  <si>
    <t xml:space="preserve">يتدرج مع المحفظة</t>
  </si>
  <si>
    <t xml:space="preserve">المشتريات وإدارة الموردين</t>
  </si>
  <si>
    <t xml:space="preserve">تحقق من الأصل والمورد</t>
  </si>
  <si>
    <t xml:space="preserve">مسؤولو التوقيعات والمعاينات الميدانية</t>
  </si>
  <si>
    <t xml:space="preserve">توقيع، استلام/تسليم، معاينة، متابعة واسترداد</t>
  </si>
  <si>
    <t xml:space="preserve">التسويق والتواصل الرقمي</t>
  </si>
  <si>
    <t xml:space="preserve">توسع مرحلي</t>
  </si>
  <si>
    <t xml:space="preserve">مسؤولو التأجير التمويلي داخل الفروع</t>
  </si>
  <si>
    <t xml:space="preserve">مرتبط بحجم المنح</t>
  </si>
  <si>
    <t xml:space="preserve">مساعدون إداريون</t>
  </si>
  <si>
    <t xml:space="preserve">دعم</t>
  </si>
  <si>
    <t xml:space="preserve">الإجمالي</t>
  </si>
  <si>
    <t xml:space="preserve">إجمالي موازنة العاملين المعتمدة</t>
  </si>
  <si>
    <t xml:space="preserve">إجمالي سنوي معتمد من الإدارة</t>
  </si>
  <si>
    <t xml:space="preserve">موقع مسؤول مكافحة غسل الأموال</t>
  </si>
  <si>
    <t xml:space="preserve">وظيفة رقابية مستقلة عن المبيعات والائتمان؛ ترتبط وظيفيا بلجنة المراجعة/مجلس الإدارة وإداريا بالرئيس التنفيذي</t>
  </si>
  <si>
    <t xml:space="preserve">اختصاصات أساسية</t>
  </si>
  <si>
    <t xml:space="preserve">تقييم المخاطر، KYC/UBO، مراقبة العمليات، فحص الجزاءات، البلاغات، السجلات والتدريب</t>
  </si>
  <si>
    <t xml:space="preserve">أساس العدد والتكلفة</t>
  </si>
  <si>
    <t xml:space="preserve">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</si>
  <si>
    <t xml:space="preserve">المصروفات الإدارية والعمومية السنوية</t>
  </si>
  <si>
    <t xml:space="preserve">تكلفة الوحدة شهريا</t>
  </si>
  <si>
    <t xml:space="preserve">Year 1 Units</t>
  </si>
  <si>
    <t xml:space="preserve">Year 2 Units</t>
  </si>
  <si>
    <t xml:space="preserve">Year 3 Units</t>
  </si>
  <si>
    <t xml:space="preserve">Year 4 Units</t>
  </si>
  <si>
    <t xml:space="preserve">Year 5 Units</t>
  </si>
  <si>
    <t xml:space="preserve">إيجار المركز الرئيسي</t>
  </si>
  <si>
    <t xml:space="preserve">إيجار مكاتب التوقيع وخدمات الأصول</t>
  </si>
  <si>
    <t xml:space="preserve">بدلات مجلس الإدارة والحوكمة</t>
  </si>
  <si>
    <t xml:space="preserve">كهرباء وإنترنت المركز الرئيسي</t>
  </si>
  <si>
    <t xml:space="preserve">مرافق مكاتب التوقيع وخدمات الأصول</t>
  </si>
  <si>
    <t xml:space="preserve">مياه ونظافة</t>
  </si>
  <si>
    <t xml:space="preserve">مواصلات وانتقالات</t>
  </si>
  <si>
    <t xml:space="preserve">صيانة أجهزة وأنظمة</t>
  </si>
  <si>
    <t xml:space="preserve">تسويق وتشغيل رقمي</t>
  </si>
  <si>
    <t xml:space="preserve">رسوم الهيئة وتجديدات رقابية</t>
  </si>
  <si>
    <t xml:space="preserve">أدوات كتابية ومطبوعات</t>
  </si>
  <si>
    <t xml:space="preserve">مصروفات قانونية واستشارات</t>
  </si>
  <si>
    <t xml:space="preserve">مراجعة خارجية/داخلية مساندة</t>
  </si>
  <si>
    <t xml:space="preserve">أمن سيبراني واختبارات دورية</t>
  </si>
  <si>
    <t xml:space="preserve">خدمة عملاء واتصالات</t>
  </si>
  <si>
    <t xml:space="preserve">إجمالي المصروفات الإدارية والعمومية</t>
  </si>
  <si>
    <t xml:space="preserve">موازنة G&amp;A المعتمدة للسنتين المقفلتين</t>
  </si>
  <si>
    <t xml:space="preserve">منهجية المصروفات</t>
  </si>
  <si>
    <t xml:space="preserve">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</si>
  <si>
    <t xml:space="preserve">وظائف المكاتب</t>
  </si>
  <si>
    <t xml:space="preserve">التوقيعات، استلام وتسليم الأصل، المعاينات والاستعلامات الميدانية، المتابعة الدورية والاسترداد</t>
  </si>
  <si>
    <t xml:space="preserve">مخزن الأصول المستردة</t>
  </si>
  <si>
    <t xml:space="preserve">افتراض: مخزن بالقاهرة في أول 3 سنوات بإيجار تقديري 20,000 جنيه شهريا؛ إفصاح فقط وغير مدرج بالمصروفات لحين التعاقد</t>
  </si>
  <si>
    <t xml:space="preserve">مصروفات غير مدرجة</t>
  </si>
  <si>
    <t xml:space="preserve">غرامات التأخير ليست إيرادا أساسيا، وتأمين الأصل يحمل على العميل/العقد عند السماح والتوثيق</t>
  </si>
  <si>
    <t xml:space="preserve">Origination Plan by Period and Quarter - 60 Periods</t>
  </si>
  <si>
    <t xml:space="preserve">Period</t>
  </si>
  <si>
    <t xml:space="preserve">Plan Year</t>
  </si>
  <si>
    <t xml:space="preserve">Period Sequence</t>
  </si>
  <si>
    <t xml:space="preserve">وزن الشهر داخل السنة</t>
  </si>
  <si>
    <t xml:space="preserve">المنح الشهري المخطط</t>
  </si>
  <si>
    <t xml:space="preserve">المنح المتاح ضمن الخطة التمويلية</t>
  </si>
  <si>
    <t xml:space="preserve">المنح المستخدم في جداول المحفظة</t>
  </si>
  <si>
    <t xml:space="preserve">هامش تمويلي غير مستخدم</t>
  </si>
  <si>
    <t xml:space="preserve">Quarterly Origination Summary</t>
  </si>
  <si>
    <t xml:space="preserve">Quarter</t>
  </si>
  <si>
    <t xml:space="preserve">الربع الأول (Q1)</t>
  </si>
  <si>
    <t xml:space="preserve">الربع الثاني (Q2)</t>
  </si>
  <si>
    <t xml:space="preserve">الربع الثالث (Q3)</t>
  </si>
  <si>
    <t xml:space="preserve">الربع الرابع (Q4)</t>
  </si>
  <si>
    <t xml:space="preserve">جدول تطور أصل المحفظة</t>
  </si>
  <si>
    <t xml:space="preserve">رصيد أول السنة</t>
  </si>
  <si>
    <t xml:space="preserve">الأصل الممول من المنح</t>
  </si>
  <si>
    <t xml:space="preserve">تحصيل/استنفاد أصل المحفظة</t>
  </si>
  <si>
    <t xml:space="preserve">رصيد آخر السنة</t>
  </si>
  <si>
    <t xml:space="preserve">اختبار الربط</t>
  </si>
  <si>
    <t xml:space="preserve">جدول احتساب عوائد التأجير</t>
  </si>
  <si>
    <t xml:space="preserve">متوسط المحفظة</t>
  </si>
  <si>
    <t xml:space="preserve">العائد السنوي</t>
  </si>
  <si>
    <t xml:space="preserve">منهجية الاحتساب</t>
  </si>
  <si>
    <t xml:space="preserve">مدخل خطة Year 1 المعتمدة - لا يوجد جدول EIR/عقود شهري مستقل</t>
  </si>
  <si>
    <t xml:space="preserve">مدخل خطة Year 2 المعتمدة - لا يوجد جدول EIR/عقود شهري مستقل</t>
  </si>
  <si>
    <t xml:space="preserve">متوسط المحفظة × العائد</t>
  </si>
  <si>
    <t xml:space="preserve">العائد الضمني على متوسط المحفظة</t>
  </si>
  <si>
    <t xml:space="preserve">جدول رسوم الخدمات</t>
  </si>
  <si>
    <t xml:space="preserve">نسبة الرسوم</t>
  </si>
  <si>
    <t xml:space="preserve">إجمالي الرسوم المحصلة</t>
  </si>
  <si>
    <t xml:space="preserve">إيرادات الرسوم الإدارية المعتمدة - خطة الإدارة</t>
  </si>
  <si>
    <t xml:space="preserve">Liquidity and Funding Model - 60 Planning Periods</t>
  </si>
  <si>
    <t xml:space="preserve">وزن الشهر</t>
  </si>
  <si>
    <t xml:space="preserve">المنح المخطط</t>
  </si>
  <si>
    <t xml:space="preserve">الإهلاك والاستهلاك (D&amp;A)</t>
  </si>
  <si>
    <t xml:space="preserve">الزيادة في المخصص</t>
  </si>
  <si>
    <t xml:space="preserve">الزيادة في المحفظة</t>
  </si>
  <si>
    <t xml:space="preserve">التغير في مقدمات العملاء والالتزامات</t>
  </si>
  <si>
    <t xml:space="preserve">التغير في الأصول الأخرى</t>
  </si>
  <si>
    <t xml:space="preserve">صافي التدفق التشغيلي</t>
  </si>
  <si>
    <t xml:space="preserve">صافي التدفق الاستثماري</t>
  </si>
  <si>
    <t xml:space="preserve">حد التسهيلات البنكية المخطط</t>
  </si>
  <si>
    <t xml:space="preserve">صافي حركة الدين البنكي المخطط - توزيع الخطة السنوية حسب وزن النشاط (حتى ورود عقود بنكية)</t>
  </si>
  <si>
    <t xml:space="preserve">زيادة رأس المال المدفوع</t>
  </si>
  <si>
    <t xml:space="preserve">صافي التدفق التمويلي</t>
  </si>
  <si>
    <t xml:space="preserve">سداد التمويل البنكي - توزيع تخطيطي لسداد الخطة السنوية حسب وزن النشاط</t>
  </si>
  <si>
    <t xml:space="preserve">صافي التغير في النقدية</t>
  </si>
  <si>
    <t xml:space="preserve">النقدية أول الشهر</t>
  </si>
  <si>
    <t xml:space="preserve">النقدية آخر الشهر</t>
  </si>
  <si>
    <t xml:space="preserve">السحوبات البنكية الإجمالية = صافي حركة الدين + سداد الأصل</t>
  </si>
  <si>
    <t xml:space="preserve">القاعدة الرأسمالية أول الشهر</t>
  </si>
  <si>
    <t xml:space="preserve">نتيجة الشهر</t>
  </si>
  <si>
    <t xml:space="preserve">زيادة رأس المال</t>
  </si>
  <si>
    <t xml:space="preserve">القاعدة الرأسمالية آخر الشهر</t>
  </si>
  <si>
    <t xml:space="preserve">الدين البنكي آخر الشهر</t>
  </si>
  <si>
    <t xml:space="preserve">سقف الرافعة الساري (4x طوال Year 1-Year 2، ثم 9x من Year 3 بافتراض صدور الترخيص النهائي فعليا)</t>
  </si>
  <si>
    <t xml:space="preserve">الرافعة المالية (4× على صافي حقوق الملكية قبل النهائي؛ 9× على القاعدة الرأسمالية التخطيطية بعد الخصومات بعد النهائي)</t>
  </si>
  <si>
    <t xml:space="preserve">حالة الرافعة</t>
  </si>
  <si>
    <t xml:space="preserve">LCR شهري - تقدير تخطيطي 30 يوما</t>
  </si>
  <si>
    <t xml:space="preserve">حالة السيولة</t>
  </si>
  <si>
    <t xml:space="preserve">الدين البنكي أول الشهر</t>
  </si>
  <si>
    <t xml:space="preserve">متوسط رصيد الدين البنكي الشهري</t>
  </si>
  <si>
    <t xml:space="preserve">تكلفة التمويل الشهرية على متوسط الدين</t>
  </si>
  <si>
    <t xml:space="preserve">النقدية قبل السحب البنكي الإجمالي</t>
  </si>
  <si>
    <t xml:space="preserve">الحد الأدنى للسحب البنكي اللازم لمنع نقدية سالبة</t>
  </si>
  <si>
    <t xml:space="preserve">فائض/(عجز) السحب المخطط مقابل الحد الأدنى المطلوب</t>
  </si>
  <si>
    <t xml:space="preserve">اختبار كفاية خطة السحب شهريا</t>
  </si>
  <si>
    <t xml:space="preserve">قائمة الدخل التقديرية - خمس سنوات</t>
  </si>
  <si>
    <t xml:space="preserve">مؤشرات النشاط</t>
  </si>
  <si>
    <t xml:space="preserve">الإيرادات</t>
  </si>
  <si>
    <t xml:space="preserve">إيرادات الرسوم المؤجلة</t>
  </si>
  <si>
    <t xml:space="preserve">إجمالي الإيرادات</t>
  </si>
  <si>
    <t xml:space="preserve">المصروفات</t>
  </si>
  <si>
    <t xml:space="preserve">مصروف الخسائر الائتمانية</t>
  </si>
  <si>
    <t xml:space="preserve">إجمالي المصروفات</t>
  </si>
  <si>
    <t xml:space="preserve">الربح قبل الضريبة</t>
  </si>
  <si>
    <t xml:space="preserve">مؤشرات الربحية</t>
  </si>
  <si>
    <t xml:space="preserve">EBITDA</t>
  </si>
  <si>
    <t xml:space="preserve">EBIT</t>
  </si>
  <si>
    <t xml:space="preserve">هامش صافي الربح</t>
  </si>
  <si>
    <t xml:space="preserve">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</si>
  <si>
    <t xml:space="preserve">التسوية الضريبية Year 1-Year 5 - ترحيل الخسائر الضريبية</t>
  </si>
  <si>
    <t xml:space="preserve">الربح/(الخسارة) المحاسبي قبل الضريبة</t>
  </si>
  <si>
    <t xml:space="preserve">+ إضافات ضريبية غير معترف بها محاسبيا (لا توجد فروق مؤقتة/دائمة محددة حاليا)</t>
  </si>
  <si>
    <t xml:space="preserve">- خصومات ضريبية إضافية (لا توجد حاليا)</t>
  </si>
  <si>
    <t xml:space="preserve">الوعاء الضريبي قبل ترحيل الخسائر (لا يقل عن صفر)</t>
  </si>
  <si>
    <t xml:space="preserve">خسائر ضريبية مرحلة - رصيد أول المدة</t>
  </si>
  <si>
    <t xml:space="preserve">الخسائر المستخدمة خلال السنة</t>
  </si>
  <si>
    <t xml:space="preserve">خسائر ضريبية مرحلة - رصيد آخر المدة</t>
  </si>
  <si>
    <t xml:space="preserve">الوعاء الضريبي بعد ترحيل الخسائر</t>
  </si>
  <si>
    <t xml:space="preserve">معدل ضريبة الدخل</t>
  </si>
  <si>
    <t xml:space="preserve">الضريبة الحالية</t>
  </si>
  <si>
    <t xml:space="preserve">+ الضريبة المؤجلة (غير محتسبة حاليا - تحتاج اعتماد مراقب الحسابات)</t>
  </si>
  <si>
    <t xml:space="preserve">صافي مصروف ضريبة الدخل (يربط تلقائيا بقائمة الدخل عبر Assumptions)</t>
  </si>
  <si>
    <t xml:space="preserve">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</si>
  <si>
    <t xml:space="preserve">قائمة المركز المالي التقديرية - خمس سنوات</t>
  </si>
  <si>
    <t xml:space="preserve">الأصول</t>
  </si>
  <si>
    <t xml:space="preserve">النقدية وما في حكمها</t>
  </si>
  <si>
    <t xml:space="preserve">إجمالي الاستثمار في عقود التأجير</t>
  </si>
  <si>
    <t xml:space="preserve">مخصص الخسائر الائتمانية</t>
  </si>
  <si>
    <t xml:space="preserve">صافي الاستثمار في عقود التأجير</t>
  </si>
  <si>
    <t xml:space="preserve">أصول أخرى ومصروفات مدفوعة مقدما</t>
  </si>
  <si>
    <t xml:space="preserve">صافي الأصول الثابتة وغير الملموسة</t>
  </si>
  <si>
    <t xml:space="preserve">إجمالي الأصول</t>
  </si>
  <si>
    <t xml:space="preserve">الالتزامات</t>
  </si>
  <si>
    <t xml:space="preserve">قروض وتسهيلات بنكية</t>
  </si>
  <si>
    <t xml:space="preserve">رسوم مؤجلة ومقدمات عملاء والتزامات تشغيلية</t>
  </si>
  <si>
    <t xml:space="preserve">إجمالي الالتزامات</t>
  </si>
  <si>
    <t xml:space="preserve">حقوق الملكية</t>
  </si>
  <si>
    <t xml:space="preserve">الاحتياطي القانوني</t>
  </si>
  <si>
    <t xml:space="preserve">الأرباح/(الخسائر) المرحلة</t>
  </si>
  <si>
    <t xml:space="preserve">إجمالي حقوق الملكية</t>
  </si>
  <si>
    <t xml:space="preserve">إجمالي الالتزامات وحقوق الملكية</t>
  </si>
  <si>
    <t xml:space="preserve">فحص التوازن</t>
  </si>
  <si>
    <t xml:space="preserve">قائمة التدفقات النقدية التقديرية - خمس سنوات</t>
  </si>
  <si>
    <t xml:space="preserve">التدفقات من أنشطة التشغيل</t>
  </si>
  <si>
    <t xml:space="preserve">الزيادة في مخصص الخسائر الائتمانية</t>
  </si>
  <si>
    <t xml:space="preserve">الزيادة في محفظة التأجير الإجمالية</t>
  </si>
  <si>
    <t xml:space="preserve">التغير في الرسوم المؤجلة والالتزامات التشغيلية</t>
  </si>
  <si>
    <t xml:space="preserve">صافي التدفق من التشغيل</t>
  </si>
  <si>
    <t xml:space="preserve">التدفقات من أنشطة الاستثمار</t>
  </si>
  <si>
    <t xml:space="preserve">صافي التدفق من الاستثمار</t>
  </si>
  <si>
    <t xml:space="preserve">التدفقات من أنشطة التمويل</t>
  </si>
  <si>
    <t xml:space="preserve">الزيادة/(السداد) في التمويل البنكي</t>
  </si>
  <si>
    <t xml:space="preserve">الزيادة في رأس المال المدفوع</t>
  </si>
  <si>
    <t xml:space="preserve">توزيعات الأرباح</t>
  </si>
  <si>
    <t xml:space="preserve">صافي التدفق من التمويل</t>
  </si>
  <si>
    <t xml:space="preserve">النقدية أول السنة</t>
  </si>
  <si>
    <t xml:space="preserve">النقدية آخر السنة</t>
  </si>
  <si>
    <t xml:space="preserve">اختبار الربط بقائمة المركز المالي</t>
  </si>
  <si>
    <t xml:space="preserve">سداد التمويل البنكي</t>
  </si>
  <si>
    <t xml:space="preserve">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</si>
  <si>
    <t xml:space="preserve">الخطة الاستثمارية لخمس سنوات</t>
  </si>
  <si>
    <t xml:space="preserve">منصة التأجير والتكاملات</t>
  </si>
  <si>
    <t xml:space="preserve">الأمن السيبراني واستمرارية الأعمال</t>
  </si>
  <si>
    <t xml:space="preserve">أجهزة ومعدات المركز الرئيسي</t>
  </si>
  <si>
    <t xml:space="preserve">تجهيز مكاتب التوقيع وخدمات الأصول</t>
  </si>
  <si>
    <t xml:space="preserve">تراخيص وبرمجيات</t>
  </si>
  <si>
    <t xml:space="preserve">إجمالي الإنفاق الرأسمالي</t>
  </si>
  <si>
    <t xml:space="preserve">مخزن القاهرة في أول ثلاث سنوات، بإيجار تقديري 20 ألف جنيه شهريا، مفصح عنه فقط وغير مدرج في التكاليف أو الإنفاق الرأسمالي لحين التعاقد.</t>
  </si>
  <si>
    <t xml:space="preserve">معايير الجدوى واتخاذ القرار الاستثماري</t>
  </si>
  <si>
    <t xml:space="preserve">سنة 0</t>
  </si>
  <si>
    <t xml:space="preserve">مساهمات رأس المال</t>
  </si>
  <si>
    <t xml:space="preserve">القيمة النهائية (صافي ربح Year 5 × مضاعف الربحية النهائي)</t>
  </si>
  <si>
    <t xml:space="preserve">التدفق النقدي للمساهمين</t>
  </si>
  <si>
    <t xml:space="preserve">معامل الخصم</t>
  </si>
  <si>
    <t xml:space="preserve">التدفق المخصوم</t>
  </si>
  <si>
    <t xml:space="preserve">التدفق المخصوم التراكمي</t>
  </si>
  <si>
    <t xml:space="preserve">نتائج التقييم - مبنية على تدفقات المساهمين والقيمة النهائية</t>
  </si>
  <si>
    <t xml:space="preserve">صافي القيمة الحالية NPV</t>
  </si>
  <si>
    <t xml:space="preserve">معدل العائد الداخلي IRR</t>
  </si>
  <si>
    <t xml:space="preserve">فترة الاسترداد</t>
  </si>
  <si>
    <t xml:space="preserve">فترة الاسترداد المخصومة</t>
  </si>
  <si>
    <t xml:space="preserve">معدل العائد المحاسبي ARR - مؤشر تخطيطي</t>
  </si>
  <si>
    <t xml:space="preserve">دليل الربحية PI</t>
  </si>
  <si>
    <t xml:space="preserve">تكلفة الدين بعد الضريبة</t>
  </si>
  <si>
    <t xml:space="preserve">تكلفة رأس المال WACC</t>
  </si>
  <si>
    <t xml:space="preserve">الحكم الاستثماري - استرشادي</t>
  </si>
  <si>
    <t xml:space="preserve">بدائل التمويل</t>
  </si>
  <si>
    <t xml:space="preserve">المصدر</t>
  </si>
  <si>
    <t xml:space="preserve">الحجم المقترح</t>
  </si>
  <si>
    <t xml:space="preserve">العمر</t>
  </si>
  <si>
    <t xml:space="preserve">التسعير</t>
  </si>
  <si>
    <t xml:space="preserve">القسط/السداد</t>
  </si>
  <si>
    <t xml:space="preserve">المزايا</t>
  </si>
  <si>
    <t xml:space="preserve">القيود</t>
  </si>
  <si>
    <t xml:space="preserve">تسهيل دوار</t>
  </si>
  <si>
    <t xml:space="preserve">12 شهر متجدد</t>
  </si>
  <si>
    <t xml:space="preserve">سعر مرجعي + 3%</t>
  </si>
  <si>
    <t xml:space="preserve">سداد من التحصيلات</t>
  </si>
  <si>
    <t xml:space="preserve">مرونة السحب</t>
  </si>
  <si>
    <t xml:space="preserve">تغير السعر وقصر الأجل</t>
  </si>
  <si>
    <t xml:space="preserve">تمويل متوسط الأجل</t>
  </si>
  <si>
    <t xml:space="preserve">3 سنوات</t>
  </si>
  <si>
    <t xml:space="preserve">متغير أو ثابت وفق العرض</t>
  </si>
  <si>
    <t xml:space="preserve">أقساط أصل متساوية</t>
  </si>
  <si>
    <t xml:space="preserve">مطابقة أفضل للأجل</t>
  </si>
  <si>
    <t xml:space="preserve">ضمانات وتعهدات</t>
  </si>
  <si>
    <t xml:space="preserve">توريق بعد تكوين سجل أداء</t>
  </si>
  <si>
    <t xml:space="preserve">مرتبط بعمر المحفظة</t>
  </si>
  <si>
    <t xml:space="preserve">وفق السوق والتصنيف</t>
  </si>
  <si>
    <t xml:space="preserve">من تدفقات المحفظة</t>
  </si>
  <si>
    <t xml:space="preserve">تنويع مصادر التمويل</t>
  </si>
  <si>
    <t xml:space="preserve">يتطلب محفظة وسجل تحصيل</t>
  </si>
  <si>
    <t xml:space="preserve">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</si>
  <si>
    <t xml:space="preserve">المؤشرات والنسب المالية</t>
  </si>
  <si>
    <t xml:space="preserve">السيولة</t>
  </si>
  <si>
    <t xml:space="preserve">نسبة تغطية السيولة LCR</t>
  </si>
  <si>
    <t xml:space="preserve">نسبة صافي التمويل المستقر NSFR</t>
  </si>
  <si>
    <t xml:space="preserve">النقدية / إجمالي الأصول</t>
  </si>
  <si>
    <t xml:space="preserve">أشهر تغطية المصروفات النقدية</t>
  </si>
  <si>
    <t xml:space="preserve">الربحية</t>
  </si>
  <si>
    <t xml:space="preserve">العائد على الأصول ROA</t>
  </si>
  <si>
    <t xml:space="preserve">العائد على حقوق الملكية ROE</t>
  </si>
  <si>
    <t xml:space="preserve">العائد على الاستثمار ROI</t>
  </si>
  <si>
    <t xml:space="preserve">تغطية تكلفة التمويل</t>
  </si>
  <si>
    <t xml:space="preserve">الملكية والرافعة</t>
  </si>
  <si>
    <t xml:space="preserve">مضاعف الاقتراض الرقابي للهيئة</t>
  </si>
  <si>
    <t xml:space="preserve">سقف مضاعف الاقتراض للهيئة</t>
  </si>
  <si>
    <t xml:space="preserve">حقوق الملكية / إجمالي الأصول</t>
  </si>
  <si>
    <t xml:space="preserve">الدين / حقوق الملكية</t>
  </si>
  <si>
    <t xml:space="preserve">كفاية رأس المال CAR</t>
  </si>
  <si>
    <t xml:space="preserve">هامش CAR فوق الحد الأدنى</t>
  </si>
  <si>
    <t xml:space="preserve">مؤشرات أخرى</t>
  </si>
  <si>
    <t xml:space="preserve">مخصص الخسائر / المحفظة</t>
  </si>
  <si>
    <t xml:space="preserve">حد العميل الواحد</t>
  </si>
  <si>
    <t xml:space="preserve">الحد الداخلي المخطط</t>
  </si>
  <si>
    <t xml:space="preserve">حالة التركز</t>
  </si>
  <si>
    <t xml:space="preserve">تحليل حساسية قائمة الدخل - ليس إعادة تشغيل كاملة للتمويل والسيولة</t>
  </si>
  <si>
    <t xml:space="preserve">المحرك</t>
  </si>
  <si>
    <t xml:space="preserve">أفضل</t>
  </si>
  <si>
    <t xml:space="preserve">أساسي</t>
  </si>
  <si>
    <t xml:space="preserve">أسوأ</t>
  </si>
  <si>
    <t xml:space="preserve">معامل حجم المنح</t>
  </si>
  <si>
    <t xml:space="preserve">تغير عائد العميل</t>
  </si>
  <si>
    <t xml:space="preserve">تغير تكلفة التمويل</t>
  </si>
  <si>
    <t xml:space="preserve">معامل الخسائر الائتمانية</t>
  </si>
  <si>
    <t xml:space="preserve">معامل المصروفات التشغيلية</t>
  </si>
  <si>
    <t xml:space="preserve">صافي الربح حسب الحساسية - تعديل جبري لمخرجات قائمة الدخل فقط</t>
  </si>
  <si>
    <t xml:space="preserve">السيناريو</t>
  </si>
  <si>
    <t xml:space="preserve">ملخص النتائج</t>
  </si>
  <si>
    <t xml:space="preserve">المؤشر</t>
  </si>
  <si>
    <t xml:space="preserve">إجمالي صافي الربح</t>
  </si>
  <si>
    <t xml:space="preserve">صافي ربح Year 5</t>
  </si>
  <si>
    <t xml:space="preserve">النتيجة - حساسية ربحية فقط</t>
  </si>
  <si>
    <t xml:space="preserve">تحليل الحساسية - صافي ربح Year 5</t>
  </si>
  <si>
    <t xml:space="preserve">تغير عائد العميل / معامل المنح</t>
  </si>
  <si>
    <t xml:space="preserve">80%</t>
  </si>
  <si>
    <t xml:space="preserve">90%</t>
  </si>
  <si>
    <t xml:space="preserve">100%</t>
  </si>
  <si>
    <t xml:space="preserve">110%</t>
  </si>
  <si>
    <t xml:space="preserve">120%</t>
  </si>
  <si>
    <t xml:space="preserve">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</si>
  <si>
    <t xml:space="preserve">تحليل نقطة التعادل</t>
  </si>
  <si>
    <t xml:space="preserve">هامش المساهمة</t>
  </si>
  <si>
    <t xml:space="preserve">عائد العميل على متوسط المحفظة</t>
  </si>
  <si>
    <t xml:space="preserve">تكلفة التمويل المعدلة بنسبة الدين</t>
  </si>
  <si>
    <t xml:space="preserve">الخسائر الائتمانية على متوسط المحفظة</t>
  </si>
  <si>
    <t xml:space="preserve">تكلفة خدمة متغيرة</t>
  </si>
  <si>
    <t xml:space="preserve">هامش المساهمة على متوسط المحفظة</t>
  </si>
  <si>
    <t xml:space="preserve">التكاليف الثابتة</t>
  </si>
  <si>
    <t xml:space="preserve">تكلفة العاملين</t>
  </si>
  <si>
    <t xml:space="preserve">المصروفات الإدارية والتشغيلية (G&amp;A)</t>
  </si>
  <si>
    <t xml:space="preserve">إجمالي التكاليف الثابتة</t>
  </si>
  <si>
    <t xml:space="preserve">نقطة التعادل</t>
  </si>
  <si>
    <t xml:space="preserve">متوسط المحفظة المطلوب للتعادل</t>
  </si>
  <si>
    <t xml:space="preserve">المنح السنوي المطلوب للتعادل</t>
  </si>
  <si>
    <t xml:space="preserve">متوسط المحفظة الفعلي</t>
  </si>
  <si>
    <t xml:space="preserve">هامش الأمان</t>
  </si>
  <si>
    <t xml:space="preserve">الحالة</t>
  </si>
  <si>
    <t xml:space="preserve">مصفوفة الالتزام والمتطلبات</t>
  </si>
  <si>
    <t xml:space="preserve">المتطلب</t>
  </si>
  <si>
    <t xml:space="preserve">المعيار</t>
  </si>
  <si>
    <t xml:space="preserve">المكان/المنهجية</t>
  </si>
  <si>
    <t xml:space="preserve">قائمة الدخل لخمس سنوات</t>
  </si>
  <si>
    <t xml:space="preserve">سنوي</t>
  </si>
  <si>
    <t xml:space="preserve">مستوفى</t>
  </si>
  <si>
    <t xml:space="preserve">قائمة المركز المالي لخمس سنوات</t>
  </si>
  <si>
    <t xml:space="preserve">سنوي ومتوازن</t>
  </si>
  <si>
    <t xml:space="preserve">Balance Sheet + Checks</t>
  </si>
  <si>
    <t xml:space="preserve">قائمة التدفقات النقدية لخمس سنوات</t>
  </si>
  <si>
    <t xml:space="preserve">سنوي دون بند موازن</t>
  </si>
  <si>
    <t xml:space="preserve">Cash Flow + Checks</t>
  </si>
  <si>
    <t xml:space="preserve">حد الاقتراض الرقابي للهيئة - اختبار تخطيطي وفق تاريخ الترخيص المفترض</t>
  </si>
  <si>
    <t xml:space="preserve">4× قبل الترخيص النهائي؛ 9× بعده</t>
  </si>
  <si>
    <t xml:space="preserve">Regulatory Capital Plan + monthly Year 2 test</t>
  </si>
  <si>
    <t xml:space="preserve">&gt;=12%</t>
  </si>
  <si>
    <t xml:space="preserve">LCR</t>
  </si>
  <si>
    <t xml:space="preserve">&gt;=100%</t>
  </si>
  <si>
    <t xml:space="preserve">NSFR</t>
  </si>
  <si>
    <t xml:space="preserve">&lt;=30% من القاعدة الرأسمالية</t>
  </si>
  <si>
    <t xml:space="preserve">حجم المنح الربع سنوي</t>
  </si>
  <si>
    <t xml:space="preserve">كل ربع سنة</t>
  </si>
  <si>
    <t xml:space="preserve">مؤشرات الجدوى</t>
  </si>
  <si>
    <t xml:space="preserve">NPV, IRR, ARR, Payback, WACC, PI, BEP</t>
  </si>
  <si>
    <t xml:space="preserve">Feasibility, Scenarios, Sensitivity, Break Even</t>
  </si>
  <si>
    <t xml:space="preserve">مسؤول AML/CFT</t>
  </si>
  <si>
    <t xml:space="preserve">وظيفة مستقلة واختصاصات موثقة</t>
  </si>
  <si>
    <t xml:space="preserve">Staff rows 23-24</t>
  </si>
  <si>
    <t xml:space="preserve">الامتثال المعروض هو امتثال تخطيطي وفق الافتراضات المبينة؛ لا يحل محل الإقرارات والنماذج الرقابية أو تحقق مراقب الحسابات من البيانات الفعلية.</t>
  </si>
  <si>
    <t xml:space="preserve">اختبارات سلامة النموذج</t>
  </si>
  <si>
    <t xml:space="preserve">الاختبار</t>
  </si>
  <si>
    <t xml:space="preserve">توازن المركز المالي</t>
  </si>
  <si>
    <t xml:space="preserve">ربط النقدية</t>
  </si>
  <si>
    <t xml:space="preserve">المنح السنوي يساوي خطة التشغيل</t>
  </si>
  <si>
    <t xml:space="preserve">المنح الربع سنوي يساوي السنوي</t>
  </si>
  <si>
    <t xml:space="preserve">حد الاقتراض الرقابي - اختبار شهري وفق سيناريو الترخيص المتوقع (4× صافي حقوق الملكية / 9× قاعدة رأسمالية تخطيطية)</t>
  </si>
  <si>
    <t xml:space="preserve">CAR - تحقق تخطيطي؛ الاعتماد النهائي يتطلب مدخلات رقابية فعلية</t>
  </si>
  <si>
    <t xml:space="preserve">LCR - Proxy 30 يوما؛ لا PASS نهائي دون آجال تعاقدية</t>
  </si>
  <si>
    <t xml:space="preserve">NSFR - Proxy ASF/RSF؛ لا PASS نهائي دون جداول استحقاق فعلية</t>
  </si>
  <si>
    <t xml:space="preserve">رأس المال المدفوع لا يتجاوز المرخص</t>
  </si>
  <si>
    <t xml:space="preserve">عدد العاملين يطابق جدول الهيكل</t>
  </si>
  <si>
    <t xml:space="preserve">تكلفة العاملين مرتبطة بالقوائم</t>
  </si>
  <si>
    <t xml:space="preserve">تسوية حركة الدين البنكي</t>
  </si>
  <si>
    <t xml:space="preserve">حد التسهيلات وعدم وجود نقدية سالبة - شهري</t>
  </si>
  <si>
    <t xml:space="preserve">نسبة رافعة بازل الاسترشادية (Tier 1 ÷ الانكشافات)</t>
  </si>
  <si>
    <t xml:space="preserve">حركة مخصص الخسائر الائتمانية تطابق مصروف قائمة الدخل</t>
  </si>
  <si>
    <t xml:space="preserve">ملاحظة: الاختبارات الحسابية يجب أن تكون OK/متوافق؛ المؤشرات الرقابية المعتمدة على بيانات خارجية تبقى استرشادية/معلقة حتى اكتمال المدخلات.</t>
  </si>
  <si>
    <t xml:space="preserve">السيناريو الأساسي يطابق صافي ربح قائمة الدخل</t>
  </si>
  <si>
    <t xml:space="preserve">نقطة الحساسية الأساسية (0% عائد / 100% منح) تطابق صافي ربح Year 5</t>
  </si>
  <si>
    <t xml:space="preserve">-</t>
  </si>
  <si>
    <t xml:space="preserve">الجدوى: القيمة النهائية مرتبطة بمضاعف الخروج المعتمد</t>
  </si>
  <si>
    <t xml:space="preserve">عوائد التأجير - مصدر ومنهجية</t>
  </si>
  <si>
    <t xml:space="preserve">خطة معتمدة/مدخل</t>
  </si>
  <si>
    <t xml:space="preserve">OK - Formula</t>
  </si>
  <si>
    <t xml:space="preserve">سداد البنك الشهري يساوي السداد السنوي</t>
  </si>
  <si>
    <t xml:space="preserve">تكلفة التمويل الشهرية على متوسط الدين تساوي قائمة الدخل</t>
  </si>
  <si>
    <t xml:space="preserve">خطة السحب البنكي تغطي الحد الأدنى للاحتياج الشهري دون تجاوز التسهيل</t>
  </si>
  <si>
    <t xml:space="preserve">عدد العقود الشهري يساوي العدد السنوي المعتمد</t>
  </si>
  <si>
    <t xml:space="preserve">رسوم الخدمات الإدارية = المنح × نسبة الرسوم</t>
  </si>
  <si>
    <t xml:space="preserve">إجمالي Opex التفصيلي = المصروف في قائمة الدخل</t>
  </si>
  <si>
    <t xml:space="preserve">المصادر وسجل الافتراضات</t>
  </si>
  <si>
    <t xml:space="preserve">ID</t>
  </si>
  <si>
    <t xml:space="preserve">الموضوع</t>
  </si>
  <si>
    <t xml:space="preserve">المرجع</t>
  </si>
  <si>
    <t xml:space="preserve">الاستخدام</t>
  </si>
  <si>
    <t xml:space="preserve">S01</t>
  </si>
  <si>
    <t xml:space="preserve">قواعد الشركات الناشئة في التكنولوجيا المالية</t>
  </si>
  <si>
    <t xml:space="preserve">https://fra.gov.eg/wp-content/uploads/2024/01/alamiria_2023_268.pdf</t>
  </si>
  <si>
    <t xml:space="preserve">قرار 268 لسنة 2023</t>
  </si>
  <si>
    <t xml:space="preserve">رأس المال، الرافعة 4×، وشروط الترخيص المبدئي</t>
  </si>
  <si>
    <t xml:space="preserve">S02</t>
  </si>
  <si>
    <t xml:space="preserve">كفاية رأس المال والسيولة والتركز</t>
  </si>
  <si>
    <t xml:space="preserve">https://fra.gov.eg/wp-content/uploads/2025/08/alamiria_2025_137.pdf</t>
  </si>
  <si>
    <t xml:space="preserve">قرار 137 لسنة 2025</t>
  </si>
  <si>
    <t xml:space="preserve">CAR وRWA وLCR وNSFR وحد العميل</t>
  </si>
  <si>
    <t xml:space="preserve">S03</t>
  </si>
  <si>
    <t xml:space="preserve">قانون التأجير التمويلي والتخصيم</t>
  </si>
  <si>
    <t xml:space="preserve">ملف الهيئة الرسمي</t>
  </si>
  <si>
    <t xml:space="preserve">قانون 176 لسنة 2018</t>
  </si>
  <si>
    <t xml:space="preserve">الإطار القانوني للنشاط</t>
  </si>
  <si>
    <t xml:space="preserve">F01</t>
  </si>
  <si>
    <t xml:space="preserve">خطة العمل</t>
  </si>
  <si>
    <t xml:space="preserve">Flexy business plan v2.5.pdf</t>
  </si>
  <si>
    <t xml:space="preserve">ملف الإدارة</t>
  </si>
  <si>
    <t xml:space="preserve">القطاعات والتشغيل</t>
  </si>
  <si>
    <t xml:space="preserve">F02</t>
  </si>
  <si>
    <t xml:space="preserve">دراسة الجدوى وخطة العمل</t>
  </si>
  <si>
    <t xml:space="preserve">دراسة الجدوى وخطة العمل.pdf</t>
  </si>
  <si>
    <t xml:space="preserve">الافتراضات التشغيلية والمالية</t>
  </si>
  <si>
    <t xml:space="preserve">F03</t>
  </si>
  <si>
    <t xml:space="preserve">الجداول المالية</t>
  </si>
  <si>
    <t xml:space="preserve">جداول الدراسة المالية.pdf</t>
  </si>
  <si>
    <t xml:space="preserve">أغسطس 2026</t>
  </si>
  <si>
    <t xml:space="preserve">أرقام Year 1 وYear 2 وجدول العاملين وتكاليفه Year 1-Year 5</t>
  </si>
  <si>
    <t xml:space="preserve">F04</t>
  </si>
  <si>
    <t xml:space="preserve">السياسة الائتمانية</t>
  </si>
  <si>
    <t xml:space="preserve">السياسة الائتمانية.pdf</t>
  </si>
  <si>
    <t xml:space="preserve">الضوابط الائتمانية والقطاعات</t>
  </si>
  <si>
    <t xml:space="preserve">F05</t>
  </si>
  <si>
    <t xml:space="preserve">مصفوفات الموافقة المبدئية</t>
  </si>
  <si>
    <t xml:space="preserve">Flexy_Preliminary_Approval_Matrices.xlsx</t>
  </si>
  <si>
    <t xml:space="preserve">الأنظمة والأدوار</t>
  </si>
  <si>
    <t xml:space="preserve">F06</t>
  </si>
  <si>
    <t xml:space="preserve">مصروفات التأسيس</t>
  </si>
  <si>
    <t xml:space="preserve">FLEXY - Expenses.xlsx</t>
  </si>
  <si>
    <t xml:space="preserve">حتى 7 يونيو 2026</t>
  </si>
  <si>
    <t xml:space="preserve">258,076.28 جنيه</t>
  </si>
  <si>
    <t xml:space="preserve">A01</t>
  </si>
  <si>
    <t xml:space="preserve">تكلفة التمويل</t>
  </si>
  <si>
    <t xml:space="preserve">افتراض إداري</t>
  </si>
  <si>
    <t xml:space="preserve">Year 1-Year 5</t>
  </si>
  <si>
    <t xml:space="preserve">يستبدل بعروض البنوك</t>
  </si>
  <si>
    <t xml:space="preserve">A02</t>
  </si>
  <si>
    <t xml:space="preserve">افتراض قانوني: 1 جنيه</t>
  </si>
  <si>
    <t xml:space="preserve">قبل اعتماد عقد التأسيس</t>
  </si>
  <si>
    <t xml:space="preserve">يتطلب تأكيد المستشار</t>
  </si>
  <si>
    <t xml:space="preserve">A03</t>
  </si>
  <si>
    <t xml:space="preserve">الاعتراف بالرسوم</t>
  </si>
  <si>
    <t xml:space="preserve">70% عند الخدمة / 30% مؤجل</t>
  </si>
  <si>
    <t xml:space="preserve">افتراض محاسبي</t>
  </si>
  <si>
    <t xml:space="preserve">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</si>
  <si>
    <t xml:space="preserve">A04</t>
  </si>
  <si>
    <t xml:space="preserve">معامل BI</t>
  </si>
  <si>
    <t xml:space="preserve">12%/15%/18% حسب متوسط مؤشر الأعمال (تخطيطي)</t>
  </si>
  <si>
    <t xml:space="preserve">افتراض متحفظ</t>
  </si>
  <si>
    <t xml:space="preserve">الحالة الأساسية تستخدم شريحة BI التخطيطية المشتقة من متوسط BI؛ حساسية 15%/18% للاختبار، ويحدث فور ورود التحديد الرقابي النهائي.</t>
  </si>
  <si>
    <t xml:space="preserve">A05</t>
  </si>
  <si>
    <t xml:space="preserve">مخاطر السوق</t>
  </si>
  <si>
    <t xml:space="preserve">صفر</t>
  </si>
  <si>
    <t xml:space="preserve">افتراض عدم وجود محفظة تداول</t>
  </si>
  <si>
    <t xml:space="preserve">يحدث عند تغير النشاط</t>
  </si>
  <si>
    <t xml:space="preserve">A06</t>
  </si>
  <si>
    <t xml:space="preserve">الأساس الضريبي Year 1-Year 2</t>
  </si>
  <si>
    <t xml:space="preserve">افتراض إداري: ترحيل خسارة Year 1 بالكامل مقابل ربح Year 2</t>
  </si>
  <si>
    <t xml:space="preserve">قيد اعتماد مراقب الحسابات</t>
  </si>
  <si>
    <t xml:space="preserve">يستخدم فقط لاحتساب ضريبة Year 2 في التوقعات؛ يخضع لاعتماد المستشار الضريبي/مراقب الحسابات.</t>
  </si>
  <si>
    <t xml:space="preserve">A07</t>
  </si>
  <si>
    <t xml:space="preserve">آجال وتدفقات التمويل في بازل 3</t>
  </si>
  <si>
    <t xml:space="preserve">افتراضات تخطيطية لمواعيد الاستحقاق وأوزان التدفقات</t>
  </si>
  <si>
    <t xml:space="preserve">تستبدل بعقود بنكية فعلية عند توافرها</t>
  </si>
  <si>
    <t xml:space="preserve">يستخدم في تقديرات LCR وNSFR التخطيطية؛ يستبدل بآجال تعاقدية فعلية عند توافرها.</t>
  </si>
  <si>
    <t xml:space="preserve">A08</t>
  </si>
  <si>
    <t xml:space="preserve">بوابة الترخيص النهائي الفعلي</t>
  </si>
  <si>
    <t xml:space="preserve">مدخل إداري يدوي - Assumptions B111:B112</t>
  </si>
  <si>
    <t xml:space="preserve">لا يعتمد على الموعد المستهدف</t>
  </si>
  <si>
    <t xml:space="preserve">يحدد معامل الحالة الأساسية التخطيطية فقط؛ لا يمثل تصنيفا نهائيا صادرا عن الهيئة.</t>
  </si>
  <si>
    <t xml:space="preserve">A09</t>
  </si>
  <si>
    <t xml:space="preserve">حدود شرائح مؤشر الأعمال BI (12%/15%/18%)</t>
  </si>
  <si>
    <t xml:space="preserve">قيم شريحة BI تخطيطية تطبق وفق متوسط مؤشر الأعمال بالنموذج</t>
  </si>
  <si>
    <t xml:space="preserve">يتطلب تأكيد التصنيف/التطبيق الرقابي عند التقديم الفعلي</t>
  </si>
  <si>
    <t xml:space="preserve">Basel III وRegulatory Capital Plan - يحدد معامل BI التخطيطي مع إبقاء النتيجة استرشادية.</t>
  </si>
  <si>
    <t xml:space="preserve">A10</t>
  </si>
  <si>
    <t xml:space="preserve">نسب توزيع آجال الدين والمحفظة (NSFR)</t>
  </si>
  <si>
    <t xml:space="preserve">افتراض تخطيطي 80%-90% دين، 70%/20%/10% محفظة</t>
  </si>
  <si>
    <t xml:space="preserve">Assumptions B102، Funding &amp; Liquidity</t>
  </si>
  <si>
    <t xml:space="preserve">يستبدل بجداول استحقاق فعلية عند توافرها</t>
  </si>
  <si>
    <t xml:space="preserve">A11</t>
  </si>
  <si>
    <t xml:space="preserve">سقف الاعتداد بالتدفقات الداخلة في LCR</t>
  </si>
  <si>
    <t xml:space="preserve">قرار 137 لسنة 2025 - النص النهائي (تم التحقق منه)</t>
  </si>
  <si>
    <t xml:space="preserve">90% من التدفقات الخارجة، وليس 75% - Funding &amp; Liquidity وBasel III</t>
  </si>
  <si>
    <t xml:space="preserve">A12</t>
  </si>
  <si>
    <t xml:space="preserve">رسوم الخدمات الإدارية Year 1-Year 5</t>
  </si>
  <si>
    <t xml:space="preserve">الجداول المالية المعتمدة Year 1-Year 2 + افتراض الإدارة من Year 3</t>
  </si>
  <si>
    <t xml:space="preserve">Year 1=5%، Year 2=7%، Year 3-Year 5=6%</t>
  </si>
  <si>
    <t xml:space="preserve">يوحد Cohort Fees وAssumptions وIncome Statement دون تغيير إيرادات الرسوم المعتمدة.</t>
  </si>
  <si>
    <t xml:space="preserve">A13</t>
  </si>
  <si>
    <t xml:space="preserve">الدعم التشغيلي / إيرادات الخدمات المساندة</t>
  </si>
  <si>
    <t xml:space="preserve">الجداول المالية القديمة + افتراض الإدارة</t>
  </si>
  <si>
    <t xml:space="preserve">Year 1 دعم شركاء 3,118,262.40؛ Year 2 صفر؛ Year 3-Year 5 = 0.8% من المنح</t>
  </si>
  <si>
    <t xml:space="preserve">Year 1 يخضع تصنيفه المحاسبي لاعتماد المراجع؛ Year 2 أزيلت قيمة غير مؤيدة؛ السنوات اللاحقة افتراض تخطيطي مشروط بتقديم الخدمة.</t>
  </si>
  <si>
    <t xml:space="preserve">خريطة المعادلات ومنهجية الحساب</t>
  </si>
  <si>
    <t xml:space="preserve">المكان</t>
  </si>
  <si>
    <t xml:space="preserve">المعادلة</t>
  </si>
  <si>
    <t xml:space="preserve">الغرض</t>
  </si>
  <si>
    <t xml:space="preserve">Assumptions row 4</t>
  </si>
  <si>
    <t xml:space="preserve">مدخل سنوي موزع شهريا وربع سنويا</t>
  </si>
  <si>
    <t xml:space="preserve">خطة النمو</t>
  </si>
  <si>
    <t xml:space="preserve">الرصيد الختامي للمحفظة</t>
  </si>
  <si>
    <t xml:space="preserve">Assumptions row 79</t>
  </si>
  <si>
    <t xml:space="preserve">رصيد سابق × (1-12/المدة) + المنح × (1-المقدم)</t>
  </si>
  <si>
    <t xml:space="preserve">تطور المحفظة</t>
  </si>
  <si>
    <t xml:space="preserve">Assumptions row 80</t>
  </si>
  <si>
    <t xml:space="preserve">Year 1-Year 2: مدخلات خطة معتمدة؛ Year 3-Year 5: متوسط المحفظة × العائد السنوي</t>
  </si>
  <si>
    <t xml:space="preserve">الرسوم الإدارية</t>
  </si>
  <si>
    <t xml:space="preserve">Assumptions row 81</t>
  </si>
  <si>
    <t xml:space="preserve">المنح × نسبة الرسوم السنوية (Year 1=5%، Year 2=7%، ومن Year 3=6%)</t>
  </si>
  <si>
    <t xml:space="preserve">إيرادات الخدمات</t>
  </si>
  <si>
    <t xml:space="preserve">Assumptions row 83</t>
  </si>
  <si>
    <t xml:space="preserve">مجموع تكلفة التمويل الشهرية على متوسط رصيد الدين الشهري × معدل الاقتراض السنوي ÷ 12</t>
  </si>
  <si>
    <t xml:space="preserve">تكلفة الدين</t>
  </si>
  <si>
    <t xml:space="preserve">التدفق التشغيلي</t>
  </si>
  <si>
    <t xml:space="preserve">Cash Flow row 11</t>
  </si>
  <si>
    <t xml:space="preserve">الربح + البنود غير النقدية + تغير المحفظة ورأس المال العامل</t>
  </si>
  <si>
    <t xml:space="preserve">الرافعة</t>
  </si>
  <si>
    <t xml:space="preserve">Regulatory Capital Plan row 13</t>
  </si>
  <si>
    <t xml:space="preserve">قبل الترخيص النهائي: الدين ÷ صافي حقوق الملكية؛ بعده: الدين ÷ القاعدة الرأسمالية التخطيطية بعد الخصومات</t>
  </si>
  <si>
    <t xml:space="preserve">4×/9×</t>
  </si>
  <si>
    <t xml:space="preserve">ILDC</t>
  </si>
  <si>
    <t xml:space="preserve">Regulatory Capital Plan row 21</t>
  </si>
  <si>
    <t xml:space="preserve">الأقل من |عائد التأجير-تكلفة التمويل| أو 2.25% من متوسط الأصول المدرة</t>
  </si>
  <si>
    <t xml:space="preserve">SC</t>
  </si>
  <si>
    <t xml:space="preserve">Regulatory Capital Plan row 22</t>
  </si>
  <si>
    <t xml:space="preserve">الأكبر من إيرادات الخدمات أو مصروفات العاملين والتشغيل</t>
  </si>
  <si>
    <t xml:space="preserve">RWA التشغيلي</t>
  </si>
  <si>
    <t xml:space="preserve">Regulatory Capital Plan row 28</t>
  </si>
  <si>
    <t xml:space="preserve">BI × معامل الشريحة التخطيطي (الحالة الأساسية حاليا 12%) × ILM × 12.5</t>
  </si>
  <si>
    <t xml:space="preserve">CAR</t>
  </si>
  <si>
    <t xml:space="preserve">Regulatory Capital Plan row 31</t>
  </si>
  <si>
    <t xml:space="preserve">القاعدة الرأسمالية بعد الخصومات ÷ إجمالي RWA</t>
  </si>
  <si>
    <t xml:space="preserve">حد أدنى 12%</t>
  </si>
  <si>
    <t xml:space="preserve">Funding &amp; Liquidity row 21</t>
  </si>
  <si>
    <t xml:space="preserve">الأصول السائلة ÷ صافي تدفقات 30 يوما مع سقف تدفقات داخلة 90%</t>
  </si>
  <si>
    <t xml:space="preserve">السيولة قصيرة الأجل</t>
  </si>
  <si>
    <t xml:space="preserve">Funding &amp; Liquidity row 35</t>
  </si>
  <si>
    <t xml:space="preserve">ASF ÷ RSF وفق أوزان الاستحقاق</t>
  </si>
  <si>
    <t xml:space="preserve">التمويل المستقر</t>
  </si>
  <si>
    <t xml:space="preserve">حد العميل</t>
  </si>
  <si>
    <t xml:space="preserve">Regulatory Capital Plan row 36</t>
  </si>
  <si>
    <t xml:space="preserve">30% من القاعدة الرأسمالية</t>
  </si>
  <si>
    <t xml:space="preserve">التركز</t>
  </si>
  <si>
    <t xml:space="preserve">NPV</t>
  </si>
  <si>
    <t xml:space="preserve">Feasibility row 13</t>
  </si>
  <si>
    <t xml:space="preserve">مجموع التدفقات المخصومة للمساهمين</t>
  </si>
  <si>
    <t xml:space="preserve">قرار الاستثمار</t>
  </si>
  <si>
    <t xml:space="preserve">IRR</t>
  </si>
  <si>
    <t xml:space="preserve">Feasibility row 14</t>
  </si>
  <si>
    <t xml:space="preserve">IRR لتدفقات المساهمين</t>
  </si>
  <si>
    <t xml:space="preserve">Break Even row 18</t>
  </si>
  <si>
    <t xml:space="preserve">التكاليف الثابتة ÷ هامش المساهمة</t>
  </si>
  <si>
    <t xml:space="preserve">الجدوى التشغيلية</t>
  </si>
  <si>
    <t xml:space="preserve">الحساسية والسيناريوهات</t>
  </si>
  <si>
    <t xml:space="preserve">Sensitivity / Scenarios</t>
  </si>
  <si>
    <t xml:space="preserve">تغير المنح والعائد والتكلفة والخسائر والمصروفات</t>
  </si>
  <si>
    <t xml:space="preserve">اختبار التحمل</t>
  </si>
  <si>
    <t xml:space="preserve">Staff rows 4-21 / Assumptions rows 34, 36, 64-65, 85</t>
  </si>
  <si>
    <t xml:space="preserve">الراتب الأساسي × العدد × 12 × الزيادة السنوية + بند حوافز متغير يكمل موازنة العاملين المعتمدة؛ الصرف الفعلي يخضع لمؤشرات الأداء</t>
  </si>
  <si>
    <t xml:space="preserve">مطابقة عدد وتكلفة العاملين</t>
  </si>
  <si>
    <t xml:space="preserve">خطة القاعدة الرأسمالية وكفاية رأس المال</t>
  </si>
  <si>
    <t xml:space="preserve">رأس المال المدفوع</t>
  </si>
  <si>
    <t xml:space="preserve">الأصول غير الملموسة المقدرة</t>
  </si>
  <si>
    <t xml:space="preserve">الخصومات الرقابية - افتراض متحفظ 100%</t>
  </si>
  <si>
    <t xml:space="preserve">القاعدة الرأسمالية بعد الخصومات</t>
  </si>
  <si>
    <t xml:space="preserve">الدين البنكي</t>
  </si>
  <si>
    <t xml:space="preserve">الرافعة المالية</t>
  </si>
  <si>
    <t xml:space="preserve">السقف التنظيمي المتوقع في نهاية السنة حسب خطة الترخيص</t>
  </si>
  <si>
    <t xml:space="preserve">هامش الرافعة</t>
  </si>
  <si>
    <t xml:space="preserve">حالة الرافعة في السيناريو المتوقع</t>
  </si>
  <si>
    <t xml:space="preserve">الأصول المرجحة بالمخاطر</t>
  </si>
  <si>
    <t xml:space="preserve">RWA الائتماني - صافي محفظة التأجير 100%</t>
  </si>
  <si>
    <t xml:space="preserve">RWA أصول تشغيلية أخرى 100%</t>
  </si>
  <si>
    <t xml:space="preserve">ILDC: الأقل من مجمل الربح أو 2.25% من متوسط الأصول المدرة</t>
  </si>
  <si>
    <t xml:space="preserve">SC: الأكبر من إيرادات الخدمات أو المصروفات التشغيلية</t>
  </si>
  <si>
    <t xml:space="preserve">FC: المكون المالي</t>
  </si>
  <si>
    <t xml:space="preserve">مؤشر الأعمال BI</t>
  </si>
  <si>
    <t xml:space="preserve">معامل BI المستخدم في الحالة الأساسية - مشتق من شريحة BI التخطيطية (راجع Basel III صف 96)</t>
  </si>
  <si>
    <t xml:space="preserve">مضاعف الخسارة الداخلية - افتراض</t>
  </si>
  <si>
    <t xml:space="preserve">مضاعف التحويل إلى RWA</t>
  </si>
  <si>
    <t xml:space="preserve">RWA مخاطر التشغيل</t>
  </si>
  <si>
    <t xml:space="preserve">RWA مخاطر السوق</t>
  </si>
  <si>
    <t xml:space="preserve">إجمالي RWA</t>
  </si>
  <si>
    <t xml:space="preserve">كفاية رأس المال CAR - تقدير تخطيطي</t>
  </si>
  <si>
    <t xml:space="preserve">فائض/(فجوة) رأس المال</t>
  </si>
  <si>
    <t xml:space="preserve">حالة CAR الرقابية النهائية</t>
  </si>
  <si>
    <t xml:space="preserve">استرشادي - يتطلب اعتماد سجل الأصول/الخصومات ومعامل BI/ILM وبيانات السوق</t>
  </si>
  <si>
    <t xml:space="preserve">التركز الائتماني</t>
  </si>
  <si>
    <t xml:space="preserve">حد العميل الواحد والأطراف المرتبطة 30%</t>
  </si>
  <si>
    <t xml:space="preserve">حد داخلي استرشادي 25% من القاعدة الرأسمالية</t>
  </si>
  <si>
    <t xml:space="preserve">أكبر تعرض فعلي لعميل/أطراف مرتبطة</t>
  </si>
  <si>
    <t xml:space="preserve">بيانات تشغيلية مطلوبة</t>
  </si>
  <si>
    <t xml:space="preserve">حالة التركز - اختبار 30%</t>
  </si>
  <si>
    <t xml:space="preserve">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</si>
  <si>
    <t xml:space="preserve">شرائح رأس المال التنظيمي واحتياطيات رأس المال (وفق قرار 137/2025)</t>
  </si>
  <si>
    <t xml:space="preserve">الشريحة الأولى الأساسية CET1 (= القاعدة بعد الخصومات؛ لا توجد أدوات AT1 مؤهلة)</t>
  </si>
  <si>
    <t xml:space="preserve">+ الشريحة الأولى الإضافية AT1 (لا توجد أدوات مؤهلة حاليا)</t>
  </si>
  <si>
    <t xml:space="preserve">إجمالي الشريحة الأولى</t>
  </si>
  <si>
    <t xml:space="preserve">+ الشريحة الثانية Tier 2 (دين تابع مؤهل - غير موجود حاليا)</t>
  </si>
  <si>
    <t xml:space="preserve">إجمالي القاعدة الرأسمالية التنظيمية</t>
  </si>
  <si>
    <t xml:space="preserve">نسبة الشريحة الأولى الأساسية CET1</t>
  </si>
  <si>
    <t xml:space="preserve">نسبة الشريحة الأولى Tier 1</t>
  </si>
  <si>
    <t xml:space="preserve">كفاية رأس المال الإجمالية CAR (تكرار من الصف 31 للمقارنة)</t>
  </si>
  <si>
    <t xml:space="preserve">الحد الأدنى الأساسي (Pillar 1)</t>
  </si>
  <si>
    <t xml:space="preserve">+ احتياطي حماية رأس المال 2.5%</t>
  </si>
  <si>
    <t xml:space="preserve">+ الاحتياطي المعاكس للدورة الاقتصادية (0%-2.5%، يحدده مجلس إدارة الهيئة - لم يصدر تحديد بعد)</t>
  </si>
  <si>
    <t xml:space="preserve">الحد الأدنى الشامل للاحتياطيات</t>
  </si>
  <si>
    <t xml:space="preserve">هامش/(فجوة) فوق الحد الشامل للاحتياطيات</t>
  </si>
  <si>
    <t xml:space="preserve">الحالة الشاملة للاحتياطيات - استرشادية</t>
  </si>
  <si>
    <t xml:space="preserve">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</si>
  <si>
    <t xml:space="preserve">جدول خصم الأصول غير الملموسة التفصيلي (بانتظار سجل الأصول الثابتة المعتمد)</t>
  </si>
  <si>
    <t xml:space="preserve">الفئة</t>
  </si>
  <si>
    <t xml:space="preserve">أجهزة وأثاث — ملموس، غير مقتطع</t>
  </si>
  <si>
    <t xml:space="preserve">برمجيات جاهزة (تراخيص استخدام) — غير ملموس، يقتطع</t>
  </si>
  <si>
    <t xml:space="preserve">تطوير المنصة (برمجة داخلية/خارجية) — غير ملموس، يقتطع</t>
  </si>
  <si>
    <t xml:space="preserve">التراخيص والتصاريح — غير ملموس، يقتطع</t>
  </si>
  <si>
    <t xml:space="preserve">مصروفات التأسيس — غير ملموس، يقتطع ما لم يعتمد خلاف ذلك</t>
  </si>
  <si>
    <t xml:space="preserve">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</si>
  <si>
    <t xml:space="preserve">أصول ملموسة أخرى — ملموس، غير مقتطع</t>
  </si>
  <si>
    <t xml:space="preserve">إجمالي الخصم التفصيلي (يستكمل عند توافر السجل)</t>
  </si>
  <si>
    <t xml:space="preserve">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</si>
  <si>
    <t xml:space="preserve">قياس معالجة فجوة سقف الاقتراض (خفض الدين أو زيادة القاعدة الرأسمالية)</t>
  </si>
  <si>
    <t xml:space="preserve">خفض الدين المطلوب للالتزام بالسقف الساري = MAX(0، الدين القائم - السقف الساري × القاعدة الرأسمالية)</t>
  </si>
  <si>
    <t xml:space="preserve">الزيادة المطلوبة في القاعدة الرأسمالية بديلا عن خفض الدين = MAX(0، الدين القائم ÷ السقف الساري - القاعدة الرأسمالية)</t>
  </si>
  <si>
    <t xml:space="preserve">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</si>
  <si>
    <t xml:space="preserve">خطة التمويل والسيولة</t>
  </si>
  <si>
    <t xml:space="preserve">مصادر التمويل وتكلفته</t>
  </si>
  <si>
    <t xml:space="preserve">حد التسهيلات البنكية</t>
  </si>
  <si>
    <t xml:space="preserve">رصيد الدين الختامي</t>
  </si>
  <si>
    <t xml:space="preserve">السحوبات البنكية الإجمالية</t>
  </si>
  <si>
    <t xml:space="preserve">تكلفة الاقتراض</t>
  </si>
  <si>
    <t xml:space="preserve">العمر المرجح - سنة</t>
  </si>
  <si>
    <t xml:space="preserve">نسبة تسهيل دوار</t>
  </si>
  <si>
    <t xml:space="preserve">نسبة تمويل متوسط الأجل</t>
  </si>
  <si>
    <t xml:space="preserve">خدمة الدين السنوية</t>
  </si>
  <si>
    <t xml:space="preserve">صافي السحب/(السداد) البنكي</t>
  </si>
  <si>
    <t xml:space="preserve">اختبار تغطية السيولة لمدة 30 يوما</t>
  </si>
  <si>
    <t xml:space="preserve">الأصول السائلة عالية الجودة</t>
  </si>
  <si>
    <t xml:space="preserve">تدفقات نقدية خارجة خلال 30 يوما</t>
  </si>
  <si>
    <t xml:space="preserve">تدفقات نقدية داخلة خلال 30 يوما</t>
  </si>
  <si>
    <t xml:space="preserve">الحد الأقصى للاعتداد بالتدفقات الداخلة 90% (وفق النص النهائي لقرار 137/2025)</t>
  </si>
  <si>
    <t xml:space="preserve">صافي التدفقات الخارجة</t>
  </si>
  <si>
    <t xml:space="preserve">نسبة تغطية السيولة LCR - تقدير 30 يوما تخطيطي</t>
  </si>
  <si>
    <t xml:space="preserve">حالة LCR (ليست نتيجة رقابية نهائية دون آجال تعاقدية فعلية)</t>
  </si>
  <si>
    <t xml:space="preserve">نسبة صافي التمويل المستقر</t>
  </si>
  <si>
    <t xml:space="preserve">القاعدة الرأسمالية لأغراض NSFR - وزن ASF 100% (قبل خصومات CAR-only)</t>
  </si>
  <si>
    <t xml:space="preserve">دين متبق ≥ سنة - وزن 100%</t>
  </si>
  <si>
    <t xml:space="preserve">دين 6-12 شهر - وزن 75%</t>
  </si>
  <si>
    <t xml:space="preserve">دين أقل من 6 أشهر - وزن 50%</t>
  </si>
  <si>
    <t xml:space="preserve">إجمالي التمويل المستقر المتاح ASF</t>
  </si>
  <si>
    <t xml:space="preserve">محفظة ≥ سنة - وزن 100%</t>
  </si>
  <si>
    <t xml:space="preserve">محفظة 6-12 شهر - وزن 75%</t>
  </si>
  <si>
    <t xml:space="preserve">محفظة أقل من 6 أشهر - وزن 50%</t>
  </si>
  <si>
    <t xml:space="preserve">الأصول التشغيلية - وزن 100%</t>
  </si>
  <si>
    <t xml:space="preserve">إجمالي التمويل المستقر المطلوب RSF</t>
  </si>
  <si>
    <t xml:space="preserve">نسبة صافي التمويل المستقر NSFR - تقدير تخطيطي</t>
  </si>
  <si>
    <t xml:space="preserve">حالة NSFR (ليست نتيجة رقابية نهائية دون جداول آجال فعلية)</t>
  </si>
  <si>
    <t xml:space="preserve">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</si>
  <si>
    <t xml:space="preserve">مفاضلة مصادر التمويل</t>
  </si>
  <si>
    <t xml:space="preserve">الوزن</t>
  </si>
  <si>
    <t xml:space="preserve">التوريق بعد التشغيل</t>
  </si>
  <si>
    <t xml:space="preserve">آلية الاختيار</t>
  </si>
  <si>
    <t xml:space="preserve">التكلفة الإجمالية</t>
  </si>
  <si>
    <t xml:space="preserve">الأقل تكلفة بعد الرسوم والتحوط</t>
  </si>
  <si>
    <t xml:space="preserve">مطابقة الأجل</t>
  </si>
  <si>
    <t xml:space="preserve">مطابقة عمر الالتزام بعمر العقد</t>
  </si>
  <si>
    <t xml:space="preserve">مرونة السحب والسداد</t>
  </si>
  <si>
    <t xml:space="preserve">السحب حسب المنح والسداد من التحصيلات</t>
  </si>
  <si>
    <t xml:space="preserve">الضمانات والتعهدات</t>
  </si>
  <si>
    <t xml:space="preserve">أقل قيود مع الحفاظ على الامتثال</t>
  </si>
  <si>
    <t xml:space="preserve">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</si>
  <si>
    <t xml:space="preserve">اختبار الرافعة الشهري خلال Year 2 - السقف الساري 4x من صافي حقوق الملكية طوال الاثني عشر شهرا بالكامل (المرحلة المؤقتة قبل الترخيص النهائي وفق قرار 268/2023)</t>
  </si>
  <si>
    <t xml:space="preserve">Planning Period</t>
  </si>
  <si>
    <t xml:space="preserve">رأس المال المدفوع التراكمي</t>
  </si>
  <si>
    <t xml:space="preserve">منه: الاحتياطي القانوني المؤهل (توزيع مؤقت خطي)</t>
  </si>
  <si>
    <t xml:space="preserve">معلومة فقط: خصومات CAR التقديرية للأصول غير الملموسة — لا تخصم من صافي حقوق الملكية لاختبار 4× بقرار 268/2023</t>
  </si>
  <si>
    <t xml:space="preserve">صافي حقوق الملكية لاختبار قرار 268/2023 = رأس المال المدفوع + الأرباح/(الخسائر) التراكمية</t>
  </si>
  <si>
    <t xml:space="preserve">إجمالي القروض والتمويلات الخاضعة للسقف</t>
  </si>
  <si>
    <t xml:space="preserve">مضاعف الرافعة</t>
  </si>
  <si>
    <t xml:space="preserve">السقف الساري</t>
  </si>
  <si>
    <t xml:space="preserve">هامش الأمان/(الفجوة)</t>
  </si>
  <si>
    <t xml:space="preserve">حالة الالتزام وفق سيناريو الترخيص المتوقع</t>
  </si>
  <si>
    <t xml:space="preserve">مقارنة نهاية Year 2: السيناريو الملزم مقابل سيناريو غير جائز قانونا - للايضاح فقط</t>
  </si>
  <si>
    <t xml:space="preserve">قاعدة القياس المستخدمة في نهاية Year 2</t>
  </si>
  <si>
    <t xml:space="preserve">إجمالي التمويل الخاضع للسقف</t>
  </si>
  <si>
    <t xml:space="preserve">السقف المطبق</t>
  </si>
  <si>
    <t xml:space="preserve">سيناريو غير جائز قانونا (توضيحي فقط): افتراض تطبيق 9x على القاعدة الرأسمالية التنظيمية خلال Year 2 رغم عدم جواز ذلك قبل صدور الترخيص النهائي فعليا</t>
  </si>
  <si>
    <t xml:space="preserve">السيناريو الملزم الفعلي: 4x من صافي حقوق الملكية يسري طوال Year 2 بالكامل وفق المادة الثالثة من قرار 268/2023</t>
  </si>
  <si>
    <t xml:space="preserve">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</si>
  <si>
    <t xml:space="preserve">سلم 30 يوما التخطيطي لـ LCR (يستخدم أفضل بيانات متاحة؛ بعض البنود متوسط شهري = الرقم السنوي ÷ 12 لحين ورود الاستحقاقات التعاقدية)</t>
  </si>
  <si>
    <t xml:space="preserve">نقدية وما في حكمها</t>
  </si>
  <si>
    <t xml:space="preserve">ودائع بنكية مؤهلة (لا توجد حاليا)</t>
  </si>
  <si>
    <t xml:space="preserve">أذون/سندات خزانة مؤهلة (لا توجد حاليا)</t>
  </si>
  <si>
    <t xml:space="preserve">إجمالي الأصول السائلة عالية الجودة HQLA</t>
  </si>
  <si>
    <t xml:space="preserve">تحصيلات مقدرة خلال 30 يوما (متوسط شهري من الخطة السنوية لحين جدول التحصيل التعاقدي)</t>
  </si>
  <si>
    <t xml:space="preserve">سداد أصل الدين المقدر خلال 30 يوما (متوسط شهري من الخطة السنوية)</t>
  </si>
  <si>
    <t xml:space="preserve">تكلفة التمويل المقدرة خلال 30 يوما (متوسط شهري من الخطة السنوية)</t>
  </si>
  <si>
    <t xml:space="preserve">مصروفات تشغيلية مقدرة خلال 30 يوما (متوسط شهري من الخطة السنوية)</t>
  </si>
  <si>
    <t xml:space="preserve">التزامات تعاقدية أخرى (سحوبات دين قصير الأجل متوقعة)</t>
  </si>
  <si>
    <t xml:space="preserve">إجمالي التدفقات الخارجة التعاقدية قبل الضغط</t>
  </si>
  <si>
    <t xml:space="preserve">إضافة ضغط احترازي إضافي (حاليا صفر - بانتظار سياسة رسمية)</t>
  </si>
  <si>
    <t xml:space="preserve">إجمالي التدفقات الخارجة الإجمالية</t>
  </si>
  <si>
    <t xml:space="preserve">التدفقات الداخلة المؤهلة الفعلية</t>
  </si>
  <si>
    <t xml:space="preserve">سقف الاعتداد بالتدفقات الداخلة 90% (وفق النص النهائي لقرار 137/2025)</t>
  </si>
  <si>
    <t xml:space="preserve">نسبة تغطية السيولة LCR (من التفصيل)</t>
  </si>
  <si>
    <t xml:space="preserve">مطابقة مع الملخص أعلاه (يجب أن تساوي صفرا)</t>
  </si>
  <si>
    <t xml:space="preserve">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</si>
  <si>
    <t xml:space="preserve">سلم استحقاق صافي التمويل المستقر التفصيلي - Year 2 كمثال (يدعم صفوف 25-35 أعلاه)</t>
  </si>
  <si>
    <t xml:space="preserve">القيمة الدفترية</t>
  </si>
  <si>
    <t xml:space="preserve">الأجل المتبقي</t>
  </si>
  <si>
    <t xml:space="preserve">معامل ASF/RSF</t>
  </si>
  <si>
    <t xml:space="preserve">القيمة المرجحة</t>
  </si>
  <si>
    <t xml:space="preserve">مصدر البيانات</t>
  </si>
  <si>
    <t xml:space="preserve">فعلي/تخطيطي</t>
  </si>
  <si>
    <t xml:space="preserve">القاعدة الرأسمالية</t>
  </si>
  <si>
    <t xml:space="preserve">&gt;= سنة</t>
  </si>
  <si>
    <t xml:space="preserve">Regulatory Capital Plan!C7</t>
  </si>
  <si>
    <t xml:space="preserve">تخطيطي محسوب من النموذج</t>
  </si>
  <si>
    <t xml:space="preserve">دين بنكي متبق سنة فأكثر</t>
  </si>
  <si>
    <t xml:space="preserve">Assumptions!C102 (نسبة تخطيطية)</t>
  </si>
  <si>
    <t xml:space="preserve">تخطيطي</t>
  </si>
  <si>
    <t xml:space="preserve">دين بنكي 6-12 شهر</t>
  </si>
  <si>
    <t xml:space="preserve">6-12 شهر</t>
  </si>
  <si>
    <t xml:space="preserve">افتراض تخطيطي 10%</t>
  </si>
  <si>
    <t xml:space="preserve">دين بنكي أقل من 6 أشهر</t>
  </si>
  <si>
    <t xml:space="preserve">&lt;6 أشهر</t>
  </si>
  <si>
    <t xml:space="preserve">افتراض تخطيطي (المتبقي)</t>
  </si>
  <si>
    <t xml:space="preserve">التزامات تشغيلية وتمويل مؤجل</t>
  </si>
  <si>
    <t xml:space="preserve">&lt;6 أشهر (افتراض)</t>
  </si>
  <si>
    <t xml:space="preserve">محفظة تأجير متبقية سنة فأكثر</t>
  </si>
  <si>
    <t xml:space="preserve">&gt;= سنة (افتراض)</t>
  </si>
  <si>
    <t xml:space="preserve">افتراض تخطيطي 70% (Sources A07)</t>
  </si>
  <si>
    <t xml:space="preserve">محفظة تأجير 6-12 شهر</t>
  </si>
  <si>
    <t xml:space="preserve">6-12 شهر (افتراض)</t>
  </si>
  <si>
    <t xml:space="preserve">افتراض تخطيطي 20%</t>
  </si>
  <si>
    <t xml:space="preserve">محفظة تأجير أقل من 6 أشهر</t>
  </si>
  <si>
    <t xml:space="preserve">أصول تشغيلية أخرى</t>
  </si>
  <si>
    <t xml:space="preserve">NSFR (من التفصيل)</t>
  </si>
  <si>
    <t xml:space="preserve">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</si>
  <si>
    <t xml:space="preserve">سيناريو: تباطؤ نمو Year 2</t>
  </si>
  <si>
    <t xml:space="preserve">الخطة الأصلية Year 2</t>
  </si>
  <si>
    <t xml:space="preserve">السيناريو المعدل</t>
  </si>
  <si>
    <t xml:space="preserve">ملاحظة</t>
  </si>
  <si>
    <t xml:space="preserve">معامل تباطؤ النمو - نسبة من الخطة الأصلية (يطبق معا على المنح والتحصيلات والتمويل)</t>
  </si>
  <si>
    <t xml:space="preserve">خلية زرقاء قابلة للتعديل - جرب أي نسبة</t>
  </si>
  <si>
    <t xml:space="preserve">مؤشرات النشاط والتمويل المرتبط بها</t>
  </si>
  <si>
    <t xml:space="preserve">عدد العقود التقديري</t>
  </si>
  <si>
    <t xml:space="preserve">رصيد المحفظة الإيجارية الختامي</t>
  </si>
  <si>
    <t xml:space="preserve">رصيد Year 1 + (الإضافة الأصلية × المعامل)</t>
  </si>
  <si>
    <t xml:space="preserve">رصيد الدين البنكي الختامي</t>
  </si>
  <si>
    <t xml:space="preserve">يتحرك مع نفس معامل التمويل</t>
  </si>
  <si>
    <t xml:space="preserve">الإيرادات والمصروفات - Year 2</t>
  </si>
  <si>
    <t xml:space="preserve">إيرادات خدمات مساندة</t>
  </si>
  <si>
    <t xml:space="preserve">تكلفة العاملين (ثابتة)</t>
  </si>
  <si>
    <t xml:space="preserve">خطة توظيف ثابتة، لا تتأثر بالتباطؤ</t>
  </si>
  <si>
    <t xml:space="preserve">المصروفات الإدارية والتشغيلية (ثابتة)</t>
  </si>
  <si>
    <t xml:space="preserve">الإهلاك والاستهلاك (ثابت)</t>
  </si>
  <si>
    <t xml:space="preserve">صافي الربح بعد الضريبة؛ الضريبة في السيناريو = صفر لأن ربح ما قبل الضريبة المعدل لا يستنفد بالكامل خسائر Year 1 الضريبية المرحلة وفق افتراض التخطيط الحالي.</t>
  </si>
  <si>
    <t xml:space="preserve">القاعدة الرأسمالية والرافعة المالية</t>
  </si>
  <si>
    <t xml:space="preserve">رأس المال المدفوع (ثابت)</t>
  </si>
  <si>
    <t xml:space="preserve">خطة المساهمين تعاقدية وغير مرتبطة بسرعة النمو</t>
  </si>
  <si>
    <t xml:space="preserve">صافي حقوق الملكية لاختبار 4× وفق قرار 268/2023</t>
  </si>
  <si>
    <t xml:space="preserve">لا تخصم خصومات CAR-only من مقام اختبار 4×</t>
  </si>
  <si>
    <t xml:space="preserve">الدين ÷ صافي حقوق الملكية</t>
  </si>
  <si>
    <t xml:space="preserve">السقف المستخدم للمقارنة (تحفظي طوال Year 1-Year 2)</t>
  </si>
  <si>
    <t xml:space="preserve">راجع المذكرة عن تحفظ Year 2 في التقرير المرفق</t>
  </si>
  <si>
    <t xml:space="preserve">التدفقات النقدية والسيولة - Year 2</t>
  </si>
  <si>
    <t xml:space="preserve">النقدية أول Year 2 (إقفال Year 1)</t>
  </si>
  <si>
    <t xml:space="preserve">التدفق الاستثماري (ثابت)</t>
  </si>
  <si>
    <t xml:space="preserve">التدفق التمويلي</t>
  </si>
  <si>
    <t xml:space="preserve">يشمل السحب البنكي الجديد + دفعة رأس المال التعاقدية 45 مليون</t>
  </si>
  <si>
    <t xml:space="preserve">التدفقات الخارجة خلال 30 يوما</t>
  </si>
  <si>
    <t xml:space="preserve">التدفقات الداخلة المعتمدة (الأقل من الفعلي أو سقف 90% وفق قرار 137/2025)</t>
  </si>
  <si>
    <t xml:space="preserve">حالة LCR - استرشادية</t>
  </si>
  <si>
    <t xml:space="preserve">ملاحظة: يطبق معامل التباطؤ معا على المنح والتحصيلات والدين ورسوم الخدمات وعوائد التأجير، مع ثبات رأس المال وتكلفة العاملين والمصروفات الثابتة.</t>
  </si>
  <si>
    <t xml:space="preserve">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</si>
  <si>
    <t xml:space="preserve">أثر التباطؤ على كفاية رأس المال وصافي التمويل المستقر</t>
  </si>
  <si>
    <t xml:space="preserve">الأصول المرجحة بالمخاطر الائتمانية (100% من المحفظة المعدلة)</t>
  </si>
  <si>
    <t xml:space="preserve">الأصول المرجحة بمخاطر التشغيل (بدون تغيير - مرتبطة بمؤشر الأعمال الفعلي)</t>
  </si>
  <si>
    <t xml:space="preserve">لا يتأثر تناسبيا بنفس معامل التباطؤ</t>
  </si>
  <si>
    <t xml:space="preserve">إجمالي RWA المعدل</t>
  </si>
  <si>
    <t xml:space="preserve">كفاية رأس المال CAR المعدلة</t>
  </si>
  <si>
    <t xml:space="preserve">حالة CAR - استرشادية</t>
  </si>
  <si>
    <t xml:space="preserve">صافي التمويل المستقر NSFR المعدل (تقريبي - يستخدم نفس أوزان التفصيل في Funding &amp; Liquidity)</t>
  </si>
  <si>
    <t xml:space="preserve">حالة NSFR - استرشادية</t>
  </si>
  <si>
    <t xml:space="preserve">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</si>
  <si>
    <t xml:space="preserve">سيناريو: رأس مال احتياطي عند تأخر الترخيص</t>
  </si>
  <si>
    <t xml:space="preserve">بدون تفعيل السيناريو</t>
  </si>
  <si>
    <t xml:space="preserve">مع تفعيل السيناريو (تأخر الترخيص)</t>
  </si>
  <si>
    <t xml:space="preserve">تفعيل سيناريو تأخر الترخيص النهائي (المادتان 3/4 و4 من قرار 268/2023 - مدة أقصاها سنتان من تاريخ الترخيص المبدئي)</t>
  </si>
  <si>
    <t xml:space="preserve">خلية زرقاء: 1 = مفعل (سقف 4× يمتد إلى بداية Year 3)، 0 = غير مفعل (سقف 9× يبدأ خلال Year 2 وفق الموعد التخطيطي)</t>
  </si>
  <si>
    <t xml:space="preserve">أرصدة Year 2 كما في الخطة الأصلية</t>
  </si>
  <si>
    <t xml:space="preserve">رصيد الدين البنكي الختامي Year 2</t>
  </si>
  <si>
    <t xml:space="preserve">السيناريو لا يغير رصيد الدين، فقط القاعدة الرأسمالية</t>
  </si>
  <si>
    <t xml:space="preserve">قاعدة القياس قبل الضخ (9×: القاعدة الرأسمالية؛ 4× عند التأخير: صافي حقوق الملكية)</t>
  </si>
  <si>
    <t xml:space="preserve">قرار 268/2023 يستخدم صافي حقوق الملكية أثناء مرحلة 4×؛ خصومات CAR تخص حساب كفاية رأس المال</t>
  </si>
  <si>
    <t xml:space="preserve">السقف التنظيمي المطبق</t>
  </si>
  <si>
    <t xml:space="preserve">السقف الواجب التطبيق</t>
  </si>
  <si>
    <t xml:space="preserve">العمود الأيسر: افتراض ترخيص نهائي خلال Year 2 وفق الموعد المستهدف</t>
  </si>
  <si>
    <t xml:space="preserve">الرافعة المالية قبل الضخ</t>
  </si>
  <si>
    <t xml:space="preserve">يختلف مقام القياس حسب المرحلة: 9× يستخدم القاعدة الرأسمالية التخطيطية، و4× يستخدم صافي حقوق الملكية وفق قرار 268/2023</t>
  </si>
  <si>
    <t xml:space="preserve">حالة الرافعة قبل الضخ</t>
  </si>
  <si>
    <t xml:space="preserve">احتساب الحد الأدنى لضخ رأس المال الاحتياطي</t>
  </si>
  <si>
    <t xml:space="preserve">الحد الأدنى للقاعدة الرأسمالية اللازمة لتحقيق السقف</t>
  </si>
  <si>
    <t xml:space="preserve">= رصيد الدين ÷ السقف</t>
  </si>
  <si>
    <t xml:space="preserve">الفجوة الرأسمالية (إن وجدت)</t>
  </si>
  <si>
    <t xml:space="preserve">الحد الأدنى لمبلغ الضخ الاحتياطي (تلقائي - يغطي الفجوة بالضبط دون زيادة)</t>
  </si>
  <si>
    <t xml:space="preserve">مبلغ الضخ الاحتياطي المستخدم في السيناريو (تخطيطي وغير ملتزم)</t>
  </si>
  <si>
    <t xml:space="preserve">يساوي الحد الأدنى الحسابي لإغلاق فجوة 4×؛ يحتاج قرار مساهمين/حوكمة وتمويل فعلي</t>
  </si>
  <si>
    <t xml:space="preserve">بديل غير رأسمالي: خفض الدين المطلوب بدلا من الضخ لتحقيق 4×</t>
  </si>
  <si>
    <t xml:space="preserve">بديل مستقل عن الضخ: خفض رصيد الدين إلى 4× صافي حقوق الملكية؛ لا يجمع مع الضخ إلا بقرار إدارة صريح</t>
  </si>
  <si>
    <t xml:space="preserve">الوضع بعد الضخ</t>
  </si>
  <si>
    <t xml:space="preserve">القاعدة الرأسمالية بعد الضخ</t>
  </si>
  <si>
    <t xml:space="preserve">الرافعة المالية بعد الضخ</t>
  </si>
  <si>
    <t xml:space="preserve">حالة الرافعة بعد الضخ</t>
  </si>
  <si>
    <t xml:space="preserve">أثر الضخ على السيولة</t>
  </si>
  <si>
    <t xml:space="preserve">الأصول السائلة عالية الجودة قبل الضخ</t>
  </si>
  <si>
    <t xml:space="preserve">الأصول السائلة عالية الجودة بعد الضخ (نقد فعلي إضافي من المساهمين)</t>
  </si>
  <si>
    <t xml:space="preserve">صافي التدفقات النقدية الخارجة خلال 30 يوما (دون تغيير)</t>
  </si>
  <si>
    <t xml:space="preserve">نسبة تغطية السيولة LCR قبل الضخ</t>
  </si>
  <si>
    <t xml:space="preserve">نسبة تغطية السيولة LCR بعد الضخ</t>
  </si>
  <si>
    <t xml:space="preserve">الضخ نقدية فعلية من المساهمين، فيعزز السيولة بدلا من إضعافها</t>
  </si>
  <si>
    <t xml:space="preserve">حالة LCR بعد الضخ - استرشادية</t>
  </si>
  <si>
    <t xml:space="preserve">ملاحظة: هذا سيناريو احترازي فقط عند تأخر الترخيص. مبلغ الضخ المحسوب ليس التزاما قائما، ويجب اعتماده وتمويله فعليا قبل استخدامه كمعالجة للرافعة.</t>
  </si>
  <si>
    <t xml:space="preserve">عند تفعيل السيناريو، يحسب النموذج تلقائيا الحد الأدنى النظري للضخ الذي يعيد الرافعة إلى 4×. أي مبلغ أقل يبقي فجوة الرافعة قائمة؛ أثر LCR/CAR يظل استرشاديا.</t>
  </si>
  <si>
    <t xml:space="preserve">أثر الضخ على كفاية رأس المال</t>
  </si>
  <si>
    <t xml:space="preserve">كفاية رأس المال قبل الضخ</t>
  </si>
  <si>
    <t xml:space="preserve">كفاية رأس المال بعد الضخ</t>
  </si>
  <si>
    <t xml:space="preserve">حالة CAR بعد الضخ - استرشادية</t>
  </si>
  <si>
    <t xml:space="preserve">هل يتطلب الضخ تعديل رأس المال المرخص به/المصدر؟</t>
  </si>
  <si>
    <t xml:space="preserve">نعم إذا كان رأس المال المصدر والمدفوع قد بلغ بالفعل 75,000,000 جنيه كما في الخطة الأساسية: أي ضخ رأسمالي إضافي يتجاوز السقف الحالي يحتاج أولا إلى الإجراءات القانونية/الجمعية العامة اللازمة لزيادة رأس المال المرخص/المصدر حسب مستندات الشركة واعتماد المستشار القانوني/FRA. لا يعامل مبلغ السيناريو كتمويل ملتزم قبل ذلك.</t>
  </si>
  <si>
    <t xml:space="preserve">رد شركة فليكسي على ملاحظات الهيئة العامة للرقابة المالية على دراسة الجدوى</t>
  </si>
  <si>
    <t xml:space="preserve">#</t>
  </si>
  <si>
    <t xml:space="preserve">الملاحظة كما وردت في خطاب الهيئة</t>
  </si>
  <si>
    <t xml:space="preserve">الرد والافتراض المستخدم</t>
  </si>
  <si>
    <t xml:space="preserve">المرجع - اضغط للانتقال</t>
  </si>
  <si>
    <t xml:space="preserve">أولا: دراسة الجدوى المالية - القوائم التقديرية وأسس الاحتساب</t>
  </si>
  <si>
    <t xml:space="preserve">إعداد قائمة الدخل التقديرية للشركة لمدة خمس سنوات، مع توضيح أسس ومنهجية احتساب كافة البنود الواردة بها.</t>
  </si>
  <si>
    <t xml:space="preserve">معدة بالكامل لخمس سنوات (Year 1-Year 5) في ورقة Income Statement، مبنية على الافتراضات الصريحة في ورقة Assumptions.</t>
  </si>
  <si>
    <t xml:space="preserve">إعداد قائمة المركز المالي التقديرية للشركة لمدة خمس سنوات.</t>
  </si>
  <si>
    <t xml:space="preserve">معدة سنويا لخمس سنوات في ورقة Balance Sheet، مع فحص توازن آلي في ورقة Checks يؤكد تطابق الأصول مع الخصوم وحقوق الملكية كل سنة.</t>
  </si>
  <si>
    <t xml:space="preserve">إعداد قائمة التدفقات النقدية التقديرية للشركة لمدة خمس سنوات.</t>
  </si>
  <si>
    <t xml:space="preserve">معدة سنويا لخمس سنوات في ورقة Cash Flow (تشغيلي، استثماري، تمويلي)، مع ربط آلي لرصيد النقدية الختامي بالميزانية.</t>
  </si>
  <si>
    <t xml:space="preserve">توضيح أساس احتساب الإيرادات المتوقعة.</t>
  </si>
  <si>
    <t xml:space="preserve">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</si>
  <si>
    <t xml:space="preserve">توضيح أساس احتساب التكاليف المتوقعة.</t>
  </si>
  <si>
    <t xml:space="preserve">التكلفتان الرئيسيتان (تكلفة التمويل البنكي، ومخصص الخسائر الائتمانية) موضحتان كافتراضين في ورقة Assumptions، وتنعكسان تلقائيا في قائمة الدخل.</t>
  </si>
  <si>
    <t xml:space="preserve">توضيح أساس احتساب المصروفات الإدارية والعمومية.</t>
  </si>
  <si>
    <t xml:space="preserve">مفصلة بندا ببند (تقنية، تسويق، إيجارات وغيرها) في ورقة Opex، وتجمع تلقائيا في قائمة الدخل.</t>
  </si>
  <si>
    <t xml:space="preserve">إعداد تقديرات المرتبات والأجور وفقا للهيكل التنظيمي المقترح للشركة، على أساس سنوي لمدة خمس سنوات، وليس على أساس شهري كما ورد بالدراسة الحالية.</t>
  </si>
  <si>
    <t xml:space="preserve">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</si>
  <si>
    <t xml:space="preserve">استكمال البيانات التالية</t>
  </si>
  <si>
    <t xml:space="preserve">تحديد رأس المال المرخص به ورأس المال المصدر.</t>
  </si>
  <si>
    <t xml:space="preserve">وفق الافتراض الإداري الحالي في النموذج: رأس المال المرخص/المصدر المستهدف 75,000,000 جنيه، والمدفوع يرتفع من 15 إلى 75 مليون جنيه خلال Year 2 وفق جدول Capital. يبقى وصف رأس المال المرخص والمصدر خاضعا للتوثيق النهائي بعقد التأسيس/السجل التجاري كما هو موضح في Regulatory Data Requirements.</t>
  </si>
  <si>
    <t xml:space="preserve">تحديد إجمالي عدد الأسهم.</t>
  </si>
  <si>
    <t xml:space="preserve">وفق افتراض القيمة الاسمية الحالية (1 جنيه للسهم) وخطة رأس المال المستهدفة، يعرض النموذج 75,000,000 سهم عند اكتمال رأس المال. العدد النهائي وحالة الإصدار/السداد يخضعان لاعتماد عقد التأسيس والسجل التجاري؛ راجع Sources A02 وRegulatory Data Requirements.</t>
  </si>
  <si>
    <t xml:space="preserve">تحديد القيمة الاسمية للسهم.</t>
  </si>
  <si>
    <t xml:space="preserve">جنيه مصري واحد للسهم؛ افتراض أولي لحين اعتماد عقد التأسيس (موثق في Sources كافتراض A02).</t>
  </si>
  <si>
    <t xml:space="preserve">تحديد مصادر التمويل وحجم وعمر القروض المقترحة.</t>
  </si>
  <si>
    <t xml:space="preserve">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</si>
  <si>
    <t xml:space="preserve">حساب تكلفة الاقتراض والقسط السنوي، لاستخدامهما ضمن الدراسة المالية وإجراء المفاضلة بين البدائل التمويلية.</t>
  </si>
  <si>
    <t xml:space="preserve">موضحة كافتراض في Assumptions، وتستخدم لحساب خدمة الدين في Funding &amp; Liquidity، وتكلفة الدين بعد الضريبة وWACC في Feasibility.</t>
  </si>
  <si>
    <t xml:space="preserve">تحديد معايير المفاضلة بين مصادر التمويل المختلفة، وفقا لاحتياجات الشركة وقدرتها على السداد.</t>
  </si>
  <si>
    <t xml:space="preserve">جدول "مفاضلة مصادر التمويل" في Funding &amp; Liquidity يقارن البدائل الثلاثة وفق أربعة معايير موزونة: التكلفة (35%)، مطابقة الأجل (30%)، المرونة (20%)، الضمانات (15%).</t>
  </si>
  <si>
    <t xml:space="preserve">إعداد الجدول الزمني المقترح لسداد رأس مال الشركة.</t>
  </si>
  <si>
    <t xml:space="preserve">جدول تحصيل رأس المال من المساهمين (لا سداد قرض) على دفعات ربع سنوية تبدأ قبل Year 1 وتستكمل خلال Year 2 حتى بلوغ 75 مليون جنيه، في ورقة Capital.</t>
  </si>
  <si>
    <t xml:space="preserve">تحديد الخطة الاستثمارية للشركة، متضمنة بيانا تفصيليا بالاستثمارات المقدرة خلال السنوات الخمس القادمة، موزعة على قنوات الاستثمار المختلفة.</t>
  </si>
  <si>
    <t xml:space="preserve">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</si>
  <si>
    <t xml:space="preserve">تحديد حجم عمليات التمويل المتوقع منحها بشكل ربع سنوي، مع بيان الافتراضات والأسس المستخدمة في تقدير تلك العمليات.</t>
  </si>
  <si>
    <t xml:space="preserve">خطة شهرية وربع سنوية كاملة لستين شهرا في ورقة Originations، مبنية على توزيع موسمي لحجم المنح السنوي في Assumptions.</t>
  </si>
  <si>
    <t xml:space="preserve">ثانيا: معايير تقييم الجدوى واتخاذ القرار الاستثماري</t>
  </si>
  <si>
    <t xml:space="preserve">حساب وتحليل صافي القيمة الحالية للتدفقات النقدية NPV.</t>
  </si>
  <si>
    <t xml:space="preserve">محسوب في Feasibility بخصم تدفقات المساهمين (رأس المال، التوزيعات، القيمة النهائية) بمعدل 25%.</t>
  </si>
  <si>
    <t xml:space="preserve">حساب وتحليل فترة الاسترداد Payback Period.</t>
  </si>
  <si>
    <t xml:space="preserve">محسوبة في Feasibility من التدفق التراكمي غير المخصوم للمساهمين.</t>
  </si>
  <si>
    <t xml:space="preserve">حساب وتحليل فترة الاسترداد المخصومة Discounted Payback Period.</t>
  </si>
  <si>
    <t xml:space="preserve">محسوبة في Feasibility من التدفق التراكمي المخصوم بمعدل تكلفة حقوق الملكية.</t>
  </si>
  <si>
    <t xml:space="preserve">حساب وتحليل معدل العائد المحاسبي ARR.</t>
  </si>
  <si>
    <t xml:space="preserve">محسوب في Feasibility كمتوسط صافي الربح السنوي ÷ متوسط رأس المال المستثمر.</t>
  </si>
  <si>
    <t xml:space="preserve">حساب وتحليل معدل العائد الداخلي IRR.</t>
  </si>
  <si>
    <t xml:space="preserve">محسوب في Feasibility على تدفقات المساهمين خلال الخمس سنوات.</t>
  </si>
  <si>
    <t xml:space="preserve">حساب تكلفة رأس المال Cost of Capital.</t>
  </si>
  <si>
    <t xml:space="preserve">محسوبة في Feasibility: تكلفة حقوق الملكية (25%)، تكلفة الدين بعد الضريبة، وWACC المرجح فعليا.</t>
  </si>
  <si>
    <t xml:space="preserve">حساب وتحليل دليل الربحية Profitability Index.</t>
  </si>
  <si>
    <t xml:space="preserve">محسوب في Feasibility كنسبة التدفقات المخصومة إلى صافي الاستثمار الأولي المخصوم.</t>
  </si>
  <si>
    <t xml:space="preserve">توضيح آلية احتساب نقطة التعادل ومكوناتها، حيث أن نقطة التعادل الواردة بالدراسة الحالية لم يتم عرضها أو توضيحها بصورة كافية.</t>
  </si>
  <si>
    <t xml:space="preserve">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</si>
  <si>
    <t xml:space="preserve">إعداد تحليل حساسية لبنود قائمة الدخل الرئيسية، وبيان أثر التغير في كل بند على أرباح الشركة ونتائج أعمالها.</t>
  </si>
  <si>
    <t xml:space="preserve">مصفوفة حساسية ثنائية في ورقة Sensitivity لأثر تغير عائد العميل (±4 نقاط) وحجم المنح (±20%) معا على صافي ربح Year 5.</t>
  </si>
  <si>
    <t xml:space="preserve">إعداد تحليل السيناريوهات، متضمنا السيناريو الأفضل، والسيناريو الأسوأ، والسيناريو الفعلي/الأساسي، مع بيان أثر كل سيناريو على النتائج المالية للشركة.</t>
  </si>
  <si>
    <t xml:space="preserve">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</si>
  <si>
    <t xml:space="preserve">ثالثا: المؤشرات المالية</t>
  </si>
  <si>
    <t xml:space="preserve">حساب وتحليل مؤشرات السيولة.</t>
  </si>
  <si>
    <t xml:space="preserve">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</si>
  <si>
    <t xml:space="preserve">حساب وتحليل العائد على الأصول ROA.</t>
  </si>
  <si>
    <t xml:space="preserve">محسوب في Ratios كصافي الربح ÷ متوسط إجمالي الأصول.</t>
  </si>
  <si>
    <t xml:space="preserve">حساب وتحليل العائد على حقوق المساهمين ROE.</t>
  </si>
  <si>
    <t xml:space="preserve">محسوب في Ratios كصافي الربح ÷ متوسط حقوق الملكية.</t>
  </si>
  <si>
    <t xml:space="preserve">حساب وتحليل العائد على الاستثمار ROI.</t>
  </si>
  <si>
    <t xml:space="preserve">محسوب في Ratios كصافي التدفق التشغيلي والاستثماري ÷ متوسط رأس المال المستثمر الفعلي.</t>
  </si>
  <si>
    <t xml:space="preserve">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</si>
  <si>
    <t xml:space="preserve">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</si>
  <si>
    <t xml:space="preserve">استكمالا لبند 31 - أداة إدارة سقف الرافعة الأولى: تباطؤ النمو (Scenario - Slower Year 2).</t>
  </si>
  <si>
    <t xml:space="preserve">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</si>
  <si>
    <t xml:space="preserve">استكمالا لبند 31 - أداة إدارة سقف الرافعة الثانية: رأس مال احتياطي (Scenario - Standby Capital).</t>
  </si>
  <si>
    <t xml:space="preserve">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</si>
  <si>
    <t xml:space="preserve">رابعا: الهيكل التنظيمي والوظائف الرقابية</t>
  </si>
  <si>
    <t xml:space="preserve">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</si>
  <si>
    <t xml:space="preserve">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</si>
  <si>
    <t xml:space="preserve">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</si>
  <si>
    <t xml:space="preserve">بازل 3 - كفاية رأس المال والسيولة والرافعة</t>
  </si>
  <si>
    <t xml:space="preserve">+ الاحتياطي القانوني</t>
  </si>
  <si>
    <t xml:space="preserve">+ الأرباح / (الخسائر) المرحلة</t>
  </si>
  <si>
    <t xml:space="preserve">= القاعدة قبل الخصومات / Capital Base before Deductions</t>
  </si>
  <si>
    <t xml:space="preserve">- أصول غير ملموسة مقدرة</t>
  </si>
  <si>
    <t xml:space="preserve">= القاعدة بعد الخصومات (شريحة أولى) / Capital Base after Deductions</t>
  </si>
  <si>
    <t xml:space="preserve">الأصول المرجحة بمخاطر الائتمان (ترجيح 100% للمحفظة المنتظمة)</t>
  </si>
  <si>
    <t xml:space="preserve">صافي المحفظة الإيجارية</t>
  </si>
  <si>
    <t xml:space="preserve">+ أصول تشغيلية أخرى</t>
  </si>
  <si>
    <t xml:space="preserve">= إجمالي الأصول المرجحة بمخاطر الائتمان / Total Credit RWA</t>
  </si>
  <si>
    <t xml:space="preserve">الأصول المرجحة بمخاطر التشغيل - نهج مؤشر الأعمال SMA</t>
  </si>
  <si>
    <t xml:space="preserve">ILDC - فوائد وإيجار وحصص أرباح</t>
  </si>
  <si>
    <t xml:space="preserve">+ SC - مكون الخدمات</t>
  </si>
  <si>
    <t xml:space="preserve">+ FC - المكون المالي</t>
  </si>
  <si>
    <t xml:space="preserve">= مؤشر الأعمال BI / Business Indicator</t>
  </si>
  <si>
    <t xml:space="preserve">معامل الترجيح المطبق (حسب الشريحة الفعلية - راجع صفوف 90-97)</t>
  </si>
  <si>
    <t xml:space="preserve">× مضاعف الخسارة الداخلية ILM</t>
  </si>
  <si>
    <t xml:space="preserve">× معامل التحويل BI-to-RWA (12.5 وفق SMA)</t>
  </si>
  <si>
    <t xml:space="preserve">= إجمالي الأصول المرجحة بمخاطر التشغيل / Total Operational RWA</t>
  </si>
  <si>
    <t xml:space="preserve">الأصول المرجحة بمخاطر السوق (صفر - لا توجد محفظة تداول)</t>
  </si>
  <si>
    <t xml:space="preserve">الأصول المرجحة بمخاطر السوق</t>
  </si>
  <si>
    <t xml:space="preserve">نسبة كفاية رأس المال CAR</t>
  </si>
  <si>
    <t xml:space="preserve">= إجمالي الأصول المرجحة بالمخاطر RWA / Total RWA</t>
  </si>
  <si>
    <t xml:space="preserve">= نسبة كفاية رأس المال المحققة CAR / Achieved CAR</t>
  </si>
  <si>
    <t xml:space="preserve">الحد الأدنى الإلزامي 12% (قرار 137/2025)</t>
  </si>
  <si>
    <t xml:space="preserve">هامش الأمان فوق الحد الأدنى</t>
  </si>
  <si>
    <t xml:space="preserve">فائض رأس المال بالجنيه</t>
  </si>
  <si>
    <t xml:space="preserve">الحالة التخطيطية (لا تمثل اعتمادا رقابيا نهائيا)</t>
  </si>
  <si>
    <t xml:space="preserve">أولا: حد الاقتراض الرقابي للهيئة (الدين ÷ القاعدة الرأسمالية)</t>
  </si>
  <si>
    <t xml:space="preserve">رصيد الدين البنكي القائم</t>
  </si>
  <si>
    <t xml:space="preserve">÷ القاعدة الرأسمالية بعد الخصومات</t>
  </si>
  <si>
    <t xml:space="preserve">= مضاعف الاقتراض الرقابي المحقق / Achieved FRA Borrowing Multiple</t>
  </si>
  <si>
    <t xml:space="preserve">السقف الساري نهاية كل سنة</t>
  </si>
  <si>
    <t xml:space="preserve">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</si>
  <si>
    <t xml:space="preserve">ثانيا: نسبة رافعة بازل المبنية على الانكشافات</t>
  </si>
  <si>
    <t xml:space="preserve">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</si>
  <si>
    <t xml:space="preserve">رأس مال الشريحة الأولى بعد الخصومات</t>
  </si>
  <si>
    <t xml:space="preserve">+ الانكشافات داخل الميزانية (إجمالي الأصول)</t>
  </si>
  <si>
    <t xml:space="preserve">+ الانكشافات خارج الميزانية بعد معامل التحويل CCF</t>
  </si>
  <si>
    <t xml:space="preserve">+ انكشافات المشتقات وSFT</t>
  </si>
  <si>
    <t xml:space="preserve">= مقياس إجمالي الانكشافات غير المرجحة / Total Unweighted Exposure Measure</t>
  </si>
  <si>
    <t xml:space="preserve">= نسبة رافعة بازل الاسترشادية / Basel Leverage Ratio</t>
  </si>
  <si>
    <t xml:space="preserve">الحد المرجعي لبازل</t>
  </si>
  <si>
    <t xml:space="preserve">الحالة الاسترشادية</t>
  </si>
  <si>
    <t xml:space="preserve">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</si>
  <si>
    <t xml:space="preserve">نسبة تغطية السيولة LCR (حد أدنى 100%)</t>
  </si>
  <si>
    <t xml:space="preserve">الأصول السائلة عالية الجودة HQLA</t>
  </si>
  <si>
    <t xml:space="preserve">التدفقات الخارجة الإجمالية خلال 30 يوما</t>
  </si>
  <si>
    <t xml:space="preserve">التدفقات الداخلة الفعلية</t>
  </si>
  <si>
    <t xml:space="preserve">= صافي التدفقات الخارجة / Net 30-Day Outflows</t>
  </si>
  <si>
    <t xml:space="preserve">= نسبة تغطية السيولة LCR / Achieved LCR</t>
  </si>
  <si>
    <t xml:space="preserve">الحد الأدنى الإلزامي</t>
  </si>
  <si>
    <t xml:space="preserve">نسبة صافي التمويل المستقر NSFR (ASF ÷ RSF - حد أدنى 100%)</t>
  </si>
  <si>
    <t xml:space="preserve">القاعدة الرأسمالية (ASF 100%)</t>
  </si>
  <si>
    <t xml:space="preserve">+ دين ≥ سنة (ASF 100%)</t>
  </si>
  <si>
    <t xml:space="preserve">+ دين 6-12 شهر (ASF 75%)</t>
  </si>
  <si>
    <t xml:space="preserve">+ دين &lt;6 أشهر (ASF 50%)</t>
  </si>
  <si>
    <t xml:space="preserve">= إجمالي التمويل المستقر المتاح ASF / Total Available Stable Funding</t>
  </si>
  <si>
    <t xml:space="preserve">محفظة ≥ سنة (RSF 100%)</t>
  </si>
  <si>
    <t xml:space="preserve">+ محفظة 6-12 شهر (RSF 75%)</t>
  </si>
  <si>
    <t xml:space="preserve">+ محفظة &lt;6 أشهر (RSF 50%)</t>
  </si>
  <si>
    <t xml:space="preserve">+ أصول تشغيلية أخرى (RSF 100%)</t>
  </si>
  <si>
    <t xml:space="preserve">= إجمالي التمويل المستقر المطلوب RSF / Total Required Stable Funding</t>
  </si>
  <si>
    <t xml:space="preserve">= نسبة صافي التمويل المستقر NSFR / Achieved NSFR</t>
  </si>
  <si>
    <t xml:space="preserve">حد التركز الائتماني للعميل الواحد (30% من القاعدة الرأسمالية)</t>
  </si>
  <si>
    <t xml:space="preserve">الحد التنظيمي 30%</t>
  </si>
  <si>
    <t xml:space="preserve">الحد الداخلي المخطط 25% (أكثر تحفظا)</t>
  </si>
  <si>
    <t xml:space="preserve">أكبر تعرض مخطط فعليا</t>
  </si>
  <si>
    <t xml:space="preserve">تصنيف مؤشر الأعمال حسب شرائح SMA (12%/15%/18%) - يدعم معامل الترجيح في السطر 23</t>
  </si>
  <si>
    <t xml:space="preserve">مؤشر الأعمال BI للسنة</t>
  </si>
  <si>
    <t xml:space="preserve">متوسط مؤشر الأعمال (حتى 3 سنوات متاحة - معاملة الشركة الناشئة بأول بيانات متاحة)</t>
  </si>
  <si>
    <t xml:space="preserve">حد الشريحة الأولى - قيمة تخطيطية فقط؛ التصنيف النهائي تحدده الهيئة سنويا</t>
  </si>
  <si>
    <t xml:space="preserve">حد الشريحة الثانية - قيمة تخطيطية فقط؛ التصنيف النهائي تحدده الهيئة سنويا</t>
  </si>
  <si>
    <t xml:space="preserve">معامل مستخدم للتخطيط (12%/15%/18%) - يخضع لتصنيف الهيئة السنوي</t>
  </si>
  <si>
    <t xml:space="preserve">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</si>
  <si>
    <t xml:space="preserve">جدول الخسائر التشغيلية ومضاعف الخسارة الداخلية ILM (يدعم السطر 24)</t>
  </si>
  <si>
    <t xml:space="preserve">الخسائر التشغيلية المسجلة خلال السنة (لا يوجد سجل - شركة ناشئة)</t>
  </si>
  <si>
    <t xml:space="preserve">متوسط الخسائر التشغيلية للفترة المتاحة</t>
  </si>
  <si>
    <t xml:space="preserve">مكون الخسارة Loss Component (LC) = 15 × متوسط الخسائر السنوية</t>
  </si>
  <si>
    <t xml:space="preserve">لا يوجد سجل خسائر فعلي</t>
  </si>
  <si>
    <t xml:space="preserve">مضاعف الخسارة الداخلية ILM (=1 كافتراض مؤقت غير نهائي لعدم توافر بيانات خسائر)</t>
  </si>
  <si>
    <t xml:space="preserve">جدول تركز العملاء الفعلي (Year 2 - كمثال؛ يستكمل بنفس الهيكل لكل سنة عند توافر بيانات عملاء فعلية)</t>
  </si>
  <si>
    <t xml:space="preserve">رقم العميل</t>
  </si>
  <si>
    <t xml:space="preserve">الاسم/الرمز</t>
  </si>
  <si>
    <t xml:space="preserve">المجموعة المرتبطة</t>
  </si>
  <si>
    <t xml:space="preserve">الرصيد القائم</t>
  </si>
  <si>
    <t xml:space="preserve">تمويل معتمد غير مسحوب</t>
  </si>
  <si>
    <t xml:space="preserve">انكشافات أخرى</t>
  </si>
  <si>
    <t xml:space="preserve">ضمانات مقبولة</t>
  </si>
  <si>
    <t xml:space="preserve">صافي الانكشاف</t>
  </si>
  <si>
    <t xml:space="preserve">% من القاعدة الرأسمالية</t>
  </si>
  <si>
    <t xml:space="preserve">الحد الداخلي 25%</t>
  </si>
  <si>
    <t xml:space="preserve">بيانات معلقة</t>
  </si>
  <si>
    <t xml:space="preserve">أكبر انكشاف فعلي (مشتق بالصيغة، وليس افتراضا)</t>
  </si>
  <si>
    <t xml:space="preserve">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</si>
  <si>
    <t xml:space="preserve">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</si>
  <si>
    <t xml:space="preserve">الأصول المرجحة بمخاطر التشغيل عند معامل 12%</t>
  </si>
  <si>
    <t xml:space="preserve">إجمالي الأصول المرجحة بالمخاطر عند 12%</t>
  </si>
  <si>
    <t xml:space="preserve">كفاية رأس المال CAR عند 12%</t>
  </si>
  <si>
    <t xml:space="preserve">الحالة عند 12%</t>
  </si>
  <si>
    <t xml:space="preserve">الأصول المرجحة بمخاطر التشغيل عند معامل 15% (حساسية)</t>
  </si>
  <si>
    <t xml:space="preserve">إجمالي الأصول المرجحة بالمخاطر عند 15%</t>
  </si>
  <si>
    <t xml:space="preserve">كفاية رأس المال CAR عند 15%</t>
  </si>
  <si>
    <t xml:space="preserve">الحالة عند 15%</t>
  </si>
  <si>
    <t xml:space="preserve">الأصول المرجحة بمخاطر التشغيل عند معامل 18% (حساسية - أعلى شريحة)</t>
  </si>
  <si>
    <t xml:space="preserve">إجمالي الأصول المرجحة بالمخاطر عند 18%</t>
  </si>
  <si>
    <t xml:space="preserve">كفاية رأس المال CAR عند 18%</t>
  </si>
  <si>
    <t xml:space="preserve">الحالة عند 18%</t>
  </si>
  <si>
    <t xml:space="preserve">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</si>
  <si>
    <t xml:space="preserve">متطلبات البيانات الرقابية المعلقة</t>
  </si>
  <si>
    <t xml:space="preserve">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</si>
  <si>
    <t xml:space="preserve">البيانات المطلوبة</t>
  </si>
  <si>
    <t xml:space="preserve">الجهة المسؤولة</t>
  </si>
  <si>
    <t xml:space="preserve">مصدر المستند</t>
  </si>
  <si>
    <t xml:space="preserve">تاريخ الاستحقاق</t>
  </si>
  <si>
    <t xml:space="preserve">حالة الاستلام</t>
  </si>
  <si>
    <t xml:space="preserve">أثر الغياب</t>
  </si>
  <si>
    <t xml:space="preserve">الخلايا/النسب المتأثرة</t>
  </si>
  <si>
    <t xml:space="preserve">1. الترخيص النهائي الفعلي</t>
  </si>
  <si>
    <t xml:space="preserve">تأكيد كتابي من الهيئة بصدور الترخيص النهائي، مع تاريخ الصدور الفعلي</t>
  </si>
  <si>
    <t xml:space="preserve">الإدارة/الشؤون القانونية + الهيئة</t>
  </si>
  <si>
    <t xml:space="preserve">خطاب الهيئة الرسمي</t>
  </si>
  <si>
    <t xml:space="preserve">عند الصدور</t>
  </si>
  <si>
    <t xml:space="preserve">لم يستلم بعد</t>
  </si>
  <si>
    <t xml:space="preserve">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</si>
  <si>
    <t xml:space="preserve">Assumptions!B19,B111:B112; Monthly Model row 34/36; Funding &amp; Liquidity!I49:K60; Regulatory Capital Plan!B14:F16</t>
  </si>
  <si>
    <t xml:space="preserve">2. سجل القروض والتمويلات الفعلي</t>
  </si>
  <si>
    <t xml:space="preserve">كشف تفصيلي بكل تسهيل بنكي/تمويل قائم: المبلغ، تاريخ السحب، الاستحقاق، هل هو تابع (subordinated) أم لا</t>
  </si>
  <si>
    <t xml:space="preserve">الإدارة/الخزينة</t>
  </si>
  <si>
    <t xml:space="preserve">عقود التسهيلات البنكية الموقعة</t>
  </si>
  <si>
    <t xml:space="preserve">عند كل سحب جديد</t>
  </si>
  <si>
    <t xml:space="preserve">لم تقدم عقود/سجلات فعلية - أرقام النموذج تخطيطية</t>
  </si>
  <si>
    <t xml:space="preserve">يحدد "إجمالي القروض والتمويلات الخاضعة للسقف" بدقة ويستبعد أي دين تابع مؤهل</t>
  </si>
  <si>
    <t xml:space="preserve">Funding &amp; Liquidity!G49:G60, Regulatory Capital Plan!B12:F13, Basel III!B40:B42</t>
  </si>
  <si>
    <t xml:space="preserve">3. حقوق الملكية الشهرية الفعلية</t>
  </si>
  <si>
    <t xml:space="preserve">أرصدة شهرية فعلية لرأس المال المدفوع والاحتياطيات والأرباح المرحلة (بعد الإقفال المحاسبي الشهري/الربع سنوي)</t>
  </si>
  <si>
    <t xml:space="preserve">الإدارة/المحاسبة</t>
  </si>
  <si>
    <t xml:space="preserve">الإقفال المحاسبي الشهري أو الربع سنوي</t>
  </si>
  <si>
    <t xml:space="preserve">شهريا بدءا من أول شهر تشغيل</t>
  </si>
  <si>
    <t xml:space="preserve">لا توجد أرصدة فعلية بعد - يستخدم النموذج إسقاطات شهرية</t>
  </si>
  <si>
    <t xml:space="preserve">استبدال الربط الخطي المؤقت للاحتياطي والاستبعادات ببيانات فعلية</t>
  </si>
  <si>
    <t xml:space="preserve">Funding &amp; Liquidity!D49:F60</t>
  </si>
  <si>
    <t xml:space="preserve">4. سجل الأصول الثابتة وغير الملموسة</t>
  </si>
  <si>
    <t xml:space="preserve">تفصيل الأجهزة والأثاث، البرمجيات الجاهزة، تطوير المنصة، التراخيص، مصروفات التأسيس، الأصول تحت الإنشاء</t>
  </si>
  <si>
    <t xml:space="preserve">الإدارة/المحاسبة + مراقب الحسابات</t>
  </si>
  <si>
    <t xml:space="preserve">سجل الأصول الثابتة المعتمد</t>
  </si>
  <si>
    <t xml:space="preserve">قبل تقديم الملف النهائي</t>
  </si>
  <si>
    <t xml:space="preserve">لم يقدم سجل أصول معتمد</t>
  </si>
  <si>
    <t xml:space="preserve">يستبدل نسبة الخصم الثابتة 60% بخصم فعلي لكل فئة أصل</t>
  </si>
  <si>
    <t xml:space="preserve">Regulatory Capital Plan!B8:F9, Basel III!B9</t>
  </si>
  <si>
    <t xml:space="preserve">5. الالتزامات والتعهدات خارج الميزانية</t>
  </si>
  <si>
    <t xml:space="preserve">تسهيلات غير مسحوبة، خطابات ضمان، تعهدات تعاقدية غير منفذة، تعهدات شراء أصول</t>
  </si>
  <si>
    <t xml:space="preserve">إقرار إداري موقع أو عقود فعلية</t>
  </si>
  <si>
    <t xml:space="preserve">إقرار/افتراض إداري داخل النموذج؛ لم يقدم إقرار موقع مستقل</t>
  </si>
  <si>
    <t xml:space="preserve">يغير مقياس إجمالي الانكشافات ونسبة رافعة بازل الاسترشادية إذا ظهرت التزامات جديدة</t>
  </si>
  <si>
    <t xml:space="preserve">Basel III!B51, Assumptions!B106:F109</t>
  </si>
  <si>
    <t xml:space="preserve">6. بيانات خسائر التشغيل الفعلية</t>
  </si>
  <si>
    <t xml:space="preserve">سجل خسائر التشغيل السنوية (إن وجدت) لاحتساب مكون الخسارة الفعلي ومضاعف الخسارة الداخلية ILM</t>
  </si>
  <si>
    <t xml:space="preserve">الإدارة/إدارة المخاطر</t>
  </si>
  <si>
    <t xml:space="preserve">سجل حوادث التشغيل والخسائر</t>
  </si>
  <si>
    <t xml:space="preserve">عند توافر 3 سنوات بيانات على الأقل</t>
  </si>
  <si>
    <t xml:space="preserve">غير متاح حاليا لحداثة الشركة - ILM=1 تخطيطي</t>
  </si>
  <si>
    <t xml:space="preserve">يبقي ILM=1 كافتراض مؤقت بدلا من قيمة محسوبة فعليا</t>
  </si>
  <si>
    <t xml:space="preserve">Basel III!B24:F24, Regulatory Capital Plan!B26:F26</t>
  </si>
  <si>
    <t xml:space="preserve">7. الجدول الزمني لاستحقاق الدين</t>
  </si>
  <si>
    <t xml:space="preserve">آجال استحقاق فعلية لكل تسهيل بنكي (أقل من 6 أشهر / 6-12 شهر / سنة فأكثر) من عقود ملزمة</t>
  </si>
  <si>
    <t xml:space="preserve">عروض/عقود بنكية ملزمة</t>
  </si>
  <si>
    <t xml:space="preserve">عند توقيع كل عقد</t>
  </si>
  <si>
    <t xml:space="preserve">لم تقدم عقود/عروض ملزمة بآجال فعلية</t>
  </si>
  <si>
    <t xml:space="preserve">يستبدل نسب 90%/10% وأوزان ASF التخطيطية بآجال العقود الفعلية</t>
  </si>
  <si>
    <t xml:space="preserve">Funding &amp; Liquidity!B26:B28, Assumptions!B102</t>
  </si>
  <si>
    <t xml:space="preserve">8. الجدول الزمني لاستحقاق المحفظة</t>
  </si>
  <si>
    <t xml:space="preserve">توزيع فعلي لآجال استحقاق عقود التأجير المتبقية (أقل من 6 أشهر / 6-12 شهر / سنة فأكثر)</t>
  </si>
  <si>
    <t xml:space="preserve">سجل عقود التأجير</t>
  </si>
  <si>
    <t xml:space="preserve">لا يوجد سجل عقود فعلي بعد - نسب آجال تخطيطية</t>
  </si>
  <si>
    <t xml:space="preserve">يستبدل أوزان RSF التخطيطية بآجال المحفظة الفعلية</t>
  </si>
  <si>
    <t xml:space="preserve">Funding &amp; Liquidity!B30:B32</t>
  </si>
  <si>
    <t xml:space="preserve">9. بيانات تركز العملاء والأطراف المرتبطة</t>
  </si>
  <si>
    <t xml:space="preserve">كشف بكل عميل/مجموعة مرتبطة: الرصيد القائم، التسهيلات المعتمدة غير المسحوبة، الضمانات المقبولة</t>
  </si>
  <si>
    <t xml:space="preserve">الإدارة/الائتمان</t>
  </si>
  <si>
    <t xml:space="preserve">سجل العملاء والعقود</t>
  </si>
  <si>
    <t xml:space="preserve">لا يوجد سجل عملاء فعلي بعد - اختبار تشغيلي لاحق</t>
  </si>
  <si>
    <t xml:space="preserve">يتيح إجراء اختبار 30% على أكبر تعرض فعلي لعميل/مجموعة مرتبطة بدلا من الاكتفاء بحد داخلي استرشادي دون بيانات تعرض فعلية.</t>
  </si>
  <si>
    <t xml:space="preserve">Regulatory Capital Plan!B36:F39, Basel III!B85:F88</t>
  </si>
  <si>
    <t xml:space="preserve">10. اعتماد التسوية الضريبية</t>
  </si>
  <si>
    <t xml:space="preserve">تأكيد المستشار الضريبي/مراقب الحسابات على آلية ترحيل خسارة Year 1 مقابل ربح Year 2 وأي حد أقصى سنوي للاستخدام</t>
  </si>
  <si>
    <t xml:space="preserve">المستشار الضريبي/مراقب الحسابات</t>
  </si>
  <si>
    <t xml:space="preserve">رأي ضريبي مكتوب</t>
  </si>
  <si>
    <t xml:space="preserve">لم يقدم رأي ضريبي/اعتماد مراقب الحسابات</t>
  </si>
  <si>
    <t xml:space="preserve">قد يغير مبلغ ضريبة Year 2 المحسوب آليا إذا وجد حد سنوي لاستخدام الخسائر أو فروق ضريبية أخرى.</t>
  </si>
  <si>
    <t xml:space="preserve">Income Statement!B33:F47, Assumptions!B88:F88</t>
  </si>
  <si>
    <t xml:space="preserve">11. تأكيد رأس المال المرخص به نهائيا</t>
  </si>
  <si>
    <t xml:space="preserve">نسخة معتمدة من عقد التأسيس/السجل التجاري تثبت رأس المال المرخص به وعدد الأسهم</t>
  </si>
  <si>
    <t xml:space="preserve">الإدارة/الشؤون القانونية</t>
  </si>
  <si>
    <t xml:space="preserve">عقد التأسيس المعتمد + السجل التجاري</t>
  </si>
  <si>
    <t xml:space="preserve">خطة الإدارة تستهدف 75 مليون؛ لم تقدم مستندات قانونية نهائية</t>
  </si>
  <si>
    <t xml:space="preserve">يثبت التطابق بين Assumptions وCapital وSources ويزيل أي التباس متبق</t>
  </si>
  <si>
    <t xml:space="preserve">Assumptions!B20, Capital!B14, Capital!B18:B19</t>
  </si>
  <si>
    <t xml:space="preserve">12. عروض التمويل البنكي الملزمة</t>
  </si>
  <si>
    <t xml:space="preserve">عروض تسهيلات ملزمة من البنوك المستهدفة: الحد، السعر، الأجل، الضمانات</t>
  </si>
  <si>
    <t xml:space="preserve">خطابات عروض بنكية</t>
  </si>
  <si>
    <t xml:space="preserve">قبل استكمال هيكل التمويل</t>
  </si>
  <si>
    <t xml:space="preserve">لم تقدم عروض بنكية ملزمة</t>
  </si>
  <si>
    <t xml:space="preserve">يستبدل حدود وأسعار وآجال Funding &amp; Liquidity التخطيطية بأرقام فعلية ملزمة</t>
  </si>
  <si>
    <t xml:space="preserve">Funding &amp; Liquidity!B5:B11, Assumptions!B101</t>
  </si>
  <si>
    <t xml:space="preserve">13. تفسير شرط الاعتماد الأساسي على رأس مال المخاطر (قرار 268/2023 مادة 3 بند 9)</t>
  </si>
  <si>
    <t xml:space="preserve">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</si>
  <si>
    <t xml:space="preserve">الشؤون القانونية + الإدارة + FRA</t>
  </si>
  <si>
    <t xml:space="preserve">قرار 268/2023 مادة 3(9) + رأي قانوني/مكاتبة الهيئة</t>
  </si>
  <si>
    <t xml:space="preserve">قبل اعتماد هيكل التمويل البنكي للفترة السابقة على الترخيص النهائي</t>
  </si>
  <si>
    <t xml:space="preserve">النص الرسمي يؤكد وجود الشرط؛ نطاق تطبيقه على التسهيلات البنكية لم يحسم قانونيا/FRA</t>
  </si>
  <si>
    <t xml:space="preserve">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</si>
  <si>
    <t xml:space="preserve">Assumptions; Monthly Model; Funding &amp; Liquidity; جاهزية التقديم</t>
  </si>
  <si>
    <t xml:space="preserve">14. جدول EIR/عقود عوائد التأجير Year 1-Year 2</t>
  </si>
  <si>
    <t xml:space="preserve">الجدول الأصلي أو نموذج التسعير/العقود الذي يثبت عوائد التأجير المعتمدة Year 1 وYear 2 وتوقيت الاعتراف بالعائد</t>
  </si>
  <si>
    <t xml:space="preserve">الإدارة المالية/التجارية + مراقب الحسابات</t>
  </si>
  <si>
    <t xml:space="preserve">نموذج التسعير الأصلي/عقود أو جدول EIR معتمد</t>
  </si>
  <si>
    <t xml:space="preserve">قبل اعتماد أرقام العائد كحساب تعاقدي مستقل</t>
  </si>
  <si>
    <t xml:space="preserve">لم يقدم - Year 1 وYear 2 ظلا مدخلات خطة إدارة معتمدة</t>
  </si>
  <si>
    <t xml:space="preserve">تبقى عوائد Year 1-Year 2 مدخلات خطة معتمدة وليست EIR معاد بناؤه؛ لا يؤثر ذلك على سلامة الربط الحسابي لكنه يمنع إثبات المنهج التعاقدي بصورة مستقلة.</t>
  </si>
  <si>
    <t xml:space="preserve">Cohort Interest!B8:C10; Assumptions!B80:C80; Income Statement!B9:C9</t>
  </si>
  <si>
    <t xml:space="preserve">15. اعتماد محاسبي للاعتراف بالرسوم ودعم الشركاء Year 1</t>
  </si>
  <si>
    <t xml:space="preserve">مذكرة مراقب الحسابات بشأن (أ) سياسة 70%/30% للرسوم وتوقيت التطبيق، و(ب) تصنيف مبلغ دعم الشركاء Year 1 البالغ 3,118,262.40 جنيه</t>
  </si>
  <si>
    <t xml:space="preserve">مراقب الحسابات + الإدارة المالية</t>
  </si>
  <si>
    <t xml:space="preserve">مذكرة محاسبية/سياسة إيراد معتمدة</t>
  </si>
  <si>
    <t xml:space="preserve">قبل اعتماد العرض المحاسبي النهائي للتقديم</t>
  </si>
  <si>
    <t xml:space="preserve">لم يقدم</t>
  </si>
  <si>
    <t xml:space="preserve">قد يغير توقيت/تصنيف الإيراد والالتزامات وربما الضريبة، دون أن يبرر أي plug؛ النموذج الحالي يفصح عن المعالجة التخطيطية ولا يصفها كاعتماد نهائي.</t>
  </si>
  <si>
    <t xml:space="preserve">Sources!A03,A13; Cohort Fees; Income Statement; Balance Sheet; Cash Flow</t>
  </si>
  <si>
    <t xml:space="preserve">جاهزية التقديم للهيئة</t>
  </si>
  <si>
    <t xml:space="preserve">مضاعف الاقتراض الحالي</t>
  </si>
  <si>
    <t xml:space="preserve">السقف المتوقع وفق خطة الترخيص</t>
  </si>
  <si>
    <t xml:space="preserve">الحالة التخطيطية وفق سيناريو الترخيص المتوقع</t>
  </si>
  <si>
    <t xml:space="preserve">خفض الدين المطلوب للالتزام بالسقف الساري (4× أو 9× حسب حالة الترخيص)</t>
  </si>
  <si>
    <t xml:space="preserve">زيادة القاعدة الرأسمالية المطلوبة بدلا من خفض الدين (بنفس السقف الساري)</t>
  </si>
  <si>
    <t xml:space="preserve">LCR بعد تصحيح سقف التدفقات إلى 90%</t>
  </si>
  <si>
    <t xml:space="preserve">معامل مخاطر التشغيل</t>
  </si>
  <si>
    <t xml:space="preserve">قرار التقديم</t>
  </si>
  <si>
    <t xml:space="preserve">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</si>
  <si>
    <t xml:space="preserve">إجراءات واجبة قبل الإرسال</t>
  </si>
  <si>
    <t xml:space="preserve">1</t>
  </si>
  <si>
    <t xml:space="preserve">إرفاق مذكرة توضح أن البيانات توقعات وليست نتائج فعلية.</t>
  </si>
  <si>
    <t xml:space="preserve">المصدر الرسمي</t>
  </si>
  <si>
    <t xml:space="preserve">2</t>
  </si>
  <si>
    <t xml:space="preserve">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</si>
  <si>
    <t xml:space="preserve">3</t>
  </si>
  <si>
    <t xml:space="preserve">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</si>
  <si>
    <t xml:space="preserve">قرار مجلس إدارة الهيئة رقم 268 لسنة 2023</t>
  </si>
  <si>
    <t xml:space="preserve">4</t>
  </si>
  <si>
    <t xml:space="preserve">تأكيد أن معامل 12% تخطيطي وخاضع لتصنيف الهيئة السنوي.</t>
  </si>
  <si>
    <t xml:space="preserve">5</t>
  </si>
  <si>
    <t xml:space="preserve">إرفاق الإقرار الإداري الخاص بالانكشافات خارج الميزانية.</t>
  </si>
  <si>
    <t xml:space="preserve">6</t>
  </si>
  <si>
    <t xml:space="preserve">إرفاق ما يتاح من عروض التمويل، مستند رأس المال المرخص، والرأي الضريبي.</t>
  </si>
  <si>
    <t xml:space="preserve">7</t>
  </si>
  <si>
    <t xml:space="preserve">عدم وصف بيانات التركز والسيولة بأنها فعلية قبل ورود سجلات العقود والعملاء.</t>
  </si>
  <si>
    <t xml:space="preserve">المستندات والبيانات المعلقة</t>
  </si>
  <si>
    <t xml:space="preserve">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</si>
  <si>
    <t xml:space="preserve">الإفصاحات الإلزامية - نتائج مشروطة ببيانات فعلية لم تتوافر بعد</t>
  </si>
  <si>
    <t xml:space="preserve">البند المشروط ببيانات فعلية</t>
  </si>
  <si>
    <t xml:space="preserve">آجال وعروض التسهيلات البنكية الفعلية</t>
  </si>
  <si>
    <t xml:space="preserve">← Funding &amp; Liquidity</t>
  </si>
  <si>
    <t xml:space="preserve">جدول استحقاقات الدين الفعلي (بدلا من افتراض 80%-90%)</t>
  </si>
  <si>
    <t xml:space="preserve">← Assumptions</t>
  </si>
  <si>
    <t xml:space="preserve">جدول استحقاقات المحفظة الفعلي (بدلا من افتراض 70/20/10)</t>
  </si>
  <si>
    <t xml:space="preserve">سجل العملاء والمجموعات المرتبطة الفعلي</t>
  </si>
  <si>
    <t xml:space="preserve">← Basel III</t>
  </si>
  <si>
    <t xml:space="preserve">الانكشافات الفعلية خارج الميزانية</t>
  </si>
  <si>
    <t xml:space="preserve">سجل الأصول الثابتة وغير الملموسة المعتمد من المراجع</t>
  </si>
  <si>
    <t xml:space="preserve">← Regulatory Capital Plan</t>
  </si>
  <si>
    <t xml:space="preserve">اعتماد مراقب الحسابات للتسوية الضريبية</t>
  </si>
  <si>
    <t xml:space="preserve">← Income Statement</t>
  </si>
  <si>
    <t xml:space="preserve">مستند رأس المال المرخص به المعتمد</t>
  </si>
  <si>
    <t xml:space="preserve">← Capital</t>
  </si>
  <si>
    <t xml:space="preserve">تصنيف معامل مخاطر التشغيل الرسمي الصادر عن الهيئة</t>
  </si>
  <si>
    <t xml:space="preserve">تفسير قانوني مكتوب لنطاق شرط الاعتماد الأساسي على شركات/صناديق رأس مال المخاطر خلال ترخيص الشركة الناشئة (قرار 268/2023 مادة 3(9))</t>
  </si>
  <si>
    <t xml:space="preserve">← Regulatory Data Requirements</t>
  </si>
  <si>
    <t xml:space="preserve">اعتماد مراقب الحسابات لتصنيف دعم الشركاء Year 1 وتوقيت الاعتراف بإيرادات الخدمات المساندة</t>
  </si>
  <si>
    <t xml:space="preserve">← Sources / Income Statement</t>
  </si>
  <si>
    <t xml:space="preserve">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</si>
</sst>
</file>

<file path=xl/styles.xml><?xml version="1.0" encoding="utf-8"?>
<styleSheet xmlns="http://schemas.openxmlformats.org/spreadsheetml/2006/main">
  <numFmts count="100">
    <numFmt numFmtId="164" formatCode="General"/>
    <numFmt numFmtId="165" formatCode="_(* #,##0.00_);_(* \(#,##0.00\);_(* \-??_);_(@_)"/>
    <numFmt numFmtId="166" formatCode="_(* #,##0_);_(* \(#,##0\);_(* \-_);_(@_)"/>
    <numFmt numFmtId="167" formatCode="_(\$* #,##0.00_);_(\$* \(#,##0.00\);_(\$* \-??_);_(@_)"/>
    <numFmt numFmtId="168" formatCode="_(\$* #,##0_);_(\$* \(#,##0\);_(\$* \-_);_(@_)"/>
    <numFmt numFmtId="169" formatCode="0%"/>
    <numFmt numFmtId="170" formatCode="#,##0;[RED]\(#,##0\);\-"/>
    <numFmt numFmtId="171" formatCode="0.0%;[RED]\(0.0%\);\-"/>
    <numFmt numFmtId="172" formatCode="&quot;Pre-Plan Establishment&quot;"/>
    <numFmt numFmtId="173" formatCode="&quot;Start of Year 1&quot;"/>
    <numFmt numFmtId="174" formatCode="&quot;Early Year 1&quot;"/>
    <numFmt numFmtId="175" formatCode="&quot;During Year 2&quot;"/>
    <numFmt numFmtId="176" formatCode="0.00\x;[RED]\(0.00&quot;x)&quot;;\-"/>
    <numFmt numFmtId="177" formatCode="0"/>
    <numFmt numFmtId="178" formatCode="0.00%"/>
    <numFmt numFmtId="179" formatCode="0.00\x"/>
    <numFmt numFmtId="180" formatCode="#,##0.00"/>
    <numFmt numFmtId="181" formatCode="0.0%"/>
    <numFmt numFmtId="182" formatCode="#,##0"/>
    <numFmt numFmtId="183" formatCode="0.0\x"/>
    <numFmt numFmtId="184" formatCode="dd\-mmm\-yyyy"/>
    <numFmt numFmtId="185" formatCode="yyyy\-mm\-dd"/>
    <numFmt numFmtId="186" formatCode="&quot;Initial Capital&quot;"/>
    <numFmt numFmtId="187" formatCode="&quot;Year 1 - Installment 1&quot;"/>
    <numFmt numFmtId="188" formatCode="&quot;Year 1 - Installment 2&quot;"/>
    <numFmt numFmtId="189" formatCode="&quot;Year 1 - Installment 3&quot;"/>
    <numFmt numFmtId="190" formatCode="&quot;Year 1 - Installment 4&quot;"/>
    <numFmt numFmtId="191" formatCode="&quot;Year 2 - Installment 1&quot;"/>
    <numFmt numFmtId="192" formatCode="&quot;Year 2 - Installment 2&quot;"/>
    <numFmt numFmtId="193" formatCode="&quot;Year 2 - Final Installment&quot;"/>
    <numFmt numFmtId="194" formatCode="&quot;Period 1&quot;"/>
    <numFmt numFmtId="195" formatCode="&quot;Period 2&quot;"/>
    <numFmt numFmtId="196" formatCode="&quot;Period 3&quot;"/>
    <numFmt numFmtId="197" formatCode="&quot;Period 4&quot;"/>
    <numFmt numFmtId="198" formatCode="&quot;Period 5&quot;"/>
    <numFmt numFmtId="199" formatCode="&quot;Period 6&quot;"/>
    <numFmt numFmtId="200" formatCode="&quot;Period 7&quot;"/>
    <numFmt numFmtId="201" formatCode="&quot;Period 8&quot;"/>
    <numFmt numFmtId="202" formatCode="&quot;Period 9&quot;"/>
    <numFmt numFmtId="203" formatCode="&quot;Period 10&quot;"/>
    <numFmt numFmtId="204" formatCode="&quot;Period 11&quot;"/>
    <numFmt numFmtId="205" formatCode="&quot;Period 12&quot;"/>
    <numFmt numFmtId="206" formatCode="&quot;Period 13&quot;"/>
    <numFmt numFmtId="207" formatCode="&quot;Period 14&quot;"/>
    <numFmt numFmtId="208" formatCode="&quot;Period 15&quot;"/>
    <numFmt numFmtId="209" formatCode="&quot;Period 16&quot;"/>
    <numFmt numFmtId="210" formatCode="&quot;Period 17&quot;"/>
    <numFmt numFmtId="211" formatCode="&quot;Period 18&quot;"/>
    <numFmt numFmtId="212" formatCode="&quot;Period 19&quot;"/>
    <numFmt numFmtId="213" formatCode="&quot;Period 20&quot;"/>
    <numFmt numFmtId="214" formatCode="&quot;Period 21&quot;"/>
    <numFmt numFmtId="215" formatCode="&quot;Period 22&quot;"/>
    <numFmt numFmtId="216" formatCode="&quot;Period 23&quot;"/>
    <numFmt numFmtId="217" formatCode="&quot;Period 24&quot;"/>
    <numFmt numFmtId="218" formatCode="&quot;Period 25&quot;"/>
    <numFmt numFmtId="219" formatCode="&quot;Period 26&quot;"/>
    <numFmt numFmtId="220" formatCode="&quot;Period 27&quot;"/>
    <numFmt numFmtId="221" formatCode="&quot;Period 28&quot;"/>
    <numFmt numFmtId="222" formatCode="&quot;Period 29&quot;"/>
    <numFmt numFmtId="223" formatCode="&quot;Period 30&quot;"/>
    <numFmt numFmtId="224" formatCode="&quot;Period 31&quot;"/>
    <numFmt numFmtId="225" formatCode="&quot;Period 32&quot;"/>
    <numFmt numFmtId="226" formatCode="&quot;Period 33&quot;"/>
    <numFmt numFmtId="227" formatCode="&quot;Period 34&quot;"/>
    <numFmt numFmtId="228" formatCode="&quot;Period 35&quot;"/>
    <numFmt numFmtId="229" formatCode="&quot;Period 36&quot;"/>
    <numFmt numFmtId="230" formatCode="&quot;Period 37&quot;"/>
    <numFmt numFmtId="231" formatCode="&quot;Period 38&quot;"/>
    <numFmt numFmtId="232" formatCode="&quot;Period 39&quot;"/>
    <numFmt numFmtId="233" formatCode="&quot;Period 40&quot;"/>
    <numFmt numFmtId="234" formatCode="&quot;Period 41&quot;"/>
    <numFmt numFmtId="235" formatCode="&quot;Period 42&quot;"/>
    <numFmt numFmtId="236" formatCode="&quot;Period 43&quot;"/>
    <numFmt numFmtId="237" formatCode="&quot;Period 44&quot;"/>
    <numFmt numFmtId="238" formatCode="&quot;Period 45&quot;"/>
    <numFmt numFmtId="239" formatCode="&quot;Period 46&quot;"/>
    <numFmt numFmtId="240" formatCode="&quot;Period 47&quot;"/>
    <numFmt numFmtId="241" formatCode="&quot;Period 48&quot;"/>
    <numFmt numFmtId="242" formatCode="&quot;Period 49&quot;"/>
    <numFmt numFmtId="243" formatCode="&quot;Period 50&quot;"/>
    <numFmt numFmtId="244" formatCode="&quot;Period 51&quot;"/>
    <numFmt numFmtId="245" formatCode="&quot;Period 52&quot;"/>
    <numFmt numFmtId="246" formatCode="&quot;Period 53&quot;"/>
    <numFmt numFmtId="247" formatCode="&quot;Period 54&quot;"/>
    <numFmt numFmtId="248" formatCode="&quot;Period 55&quot;"/>
    <numFmt numFmtId="249" formatCode="&quot;Period 56&quot;"/>
    <numFmt numFmtId="250" formatCode="&quot;Period 57&quot;"/>
    <numFmt numFmtId="251" formatCode="&quot;Period 58&quot;"/>
    <numFmt numFmtId="252" formatCode="&quot;Period 59&quot;"/>
    <numFmt numFmtId="253" formatCode="&quot;Period 60&quot;"/>
    <numFmt numFmtId="254" formatCode="&quot;Year 1&quot;"/>
    <numFmt numFmtId="255" formatCode="&quot;Year 2&quot;"/>
    <numFmt numFmtId="256" formatCode="&quot;Year 3&quot;"/>
    <numFmt numFmtId="257" formatCode="&quot;Year 4&quot;"/>
    <numFmt numFmtId="258" formatCode="&quot;Year 5&quot;"/>
    <numFmt numFmtId="259" formatCode="#,##0.0;[RED]\(#,##0.0\);\-"/>
    <numFmt numFmtId="260" formatCode="#,##0;[RED]\(#,##0\);\-"/>
    <numFmt numFmtId="261" formatCode="0.00"/>
    <numFmt numFmtId="262" formatCode="0.0"/>
    <numFmt numFmtId="263" formatCode="0.0,,\m;[RED]\(0.0,,&quot;m)&quot;;\-"/>
  </numFmts>
  <fonts count="58">
    <font>
      <sz val="10"/>
      <name val="Arial"/>
      <family val="2"/>
    </font>
    <font>
      <sz val="10"/>
      <name val="Arial"/>
      <family val="0"/>
    </font>
    <font>
      <sz val="10"/>
      <name val="Arial"/>
      <family val="0"/>
    </font>
    <font>
      <sz val="10"/>
      <name val="Arial"/>
      <family val="0"/>
    </font>
    <font>
      <sz val="10"/>
      <name val="Arial"/>
      <family val="0"/>
      <charset val="1"/>
    </font>
    <font>
      <b val="true"/>
      <sz val="20"/>
      <color rgb="FFFFFFFF"/>
      <name val="FreeSans"/>
      <family val="0"/>
      <charset val="1"/>
    </font>
    <font>
      <b val="true"/>
      <sz val="15"/>
      <color rgb="FF17375E"/>
      <name val="FreeSans"/>
      <family val="0"/>
      <charset val="1"/>
    </font>
    <font>
      <b val="true"/>
      <sz val="12"/>
      <color rgb="FFFFFFFF"/>
      <name val="FreeSans"/>
      <family val="0"/>
      <charset val="1"/>
    </font>
    <font>
      <sz val="10"/>
      <color rgb="FF1F1F1F"/>
      <name val="FreeSans"/>
      <family val="0"/>
      <charset val="1"/>
    </font>
    <font>
      <sz val="10"/>
      <color rgb="FF1F1F1F"/>
      <name val="Calibri"/>
      <family val="0"/>
      <charset val="1"/>
    </font>
    <font>
      <sz val="10"/>
      <color rgb="FF9C5700"/>
      <name val="FreeSans"/>
      <family val="0"/>
      <charset val="1"/>
    </font>
    <font>
      <i val="true"/>
      <sz val="11"/>
      <color rgb="FF17375E"/>
      <name val="FreeSans"/>
      <family val="0"/>
      <charset val="1"/>
    </font>
    <font>
      <b val="true"/>
      <sz val="10"/>
      <color rgb="FF17375E"/>
      <name val="Arial"/>
      <family val="0"/>
      <charset val="1"/>
    </font>
    <font>
      <b val="true"/>
      <sz val="15"/>
      <color rgb="FFFFFFFF"/>
      <name val="FreeSans"/>
      <family val="0"/>
      <charset val="1"/>
    </font>
    <font>
      <b val="true"/>
      <sz val="11"/>
      <color rgb="FF17375E"/>
      <name val="Arial"/>
      <family val="0"/>
      <charset val="1"/>
    </font>
    <font>
      <sz val="11"/>
      <name val="Calibri"/>
      <family val="0"/>
      <charset val="1"/>
    </font>
    <font>
      <b val="true"/>
      <sz val="11"/>
      <color rgb="FF17375E"/>
      <name val="Calibri"/>
      <family val="0"/>
      <charset val="1"/>
    </font>
    <font>
      <sz val="11"/>
      <name val="Arial"/>
      <family val="0"/>
      <charset val="1"/>
    </font>
    <font>
      <b val="true"/>
      <sz val="11"/>
      <color rgb="FF0563C1"/>
      <name val="Arial"/>
      <family val="0"/>
      <charset val="1"/>
    </font>
    <font>
      <b val="true"/>
      <sz val="10"/>
      <color theme="0"/>
      <name val="Arial"/>
      <family val="0"/>
      <charset val="1"/>
    </font>
    <font>
      <sz val="10"/>
      <color rgb="FF1F1F1F"/>
      <name val="Arial"/>
      <family val="0"/>
      <charset val="1"/>
    </font>
    <font>
      <b val="true"/>
      <sz val="10"/>
      <color rgb="FF1F1F1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10"/>
      <color rgb="FF9C5700"/>
      <name val="Arial"/>
      <family val="0"/>
      <charset val="1"/>
    </font>
    <font>
      <b val="true"/>
      <sz val="10"/>
      <color rgb="FFFFFFFF"/>
      <name val="Arial"/>
      <family val="0"/>
      <charset val="1"/>
    </font>
    <font>
      <b val="true"/>
      <sz val="10"/>
      <name val="Arial"/>
      <family val="0"/>
      <charset val="1"/>
    </font>
    <font>
      <sz val="10"/>
      <color rgb="FF17375E"/>
      <name val="Arial"/>
      <family val="0"/>
      <charset val="1"/>
    </font>
    <font>
      <i val="true"/>
      <sz val="10"/>
      <color rgb="FF1F1F1F"/>
      <name val="Arial"/>
      <family val="0"/>
      <charset val="1"/>
    </font>
    <font>
      <sz val="11"/>
      <name val="FreeSans"/>
      <family val="0"/>
      <charset val="1"/>
    </font>
    <font>
      <sz val="11"/>
      <color rgb="FF0000FF"/>
      <name val="Calibri"/>
      <family val="0"/>
      <charset val="1"/>
    </font>
    <font>
      <b val="true"/>
      <sz val="11"/>
      <color rgb="FF17375E"/>
      <name val="FreeSans"/>
      <family val="0"/>
      <charset val="1"/>
    </font>
    <font>
      <b val="true"/>
      <sz val="11"/>
      <color rgb="FFFFFFFF"/>
      <name val="FreeSans"/>
      <family val="0"/>
      <charset val="1"/>
    </font>
    <font>
      <sz val="9"/>
      <color rgb="FF9C5700"/>
      <name val="FreeSans"/>
      <family val="0"/>
      <charset val="1"/>
    </font>
    <font>
      <b val="true"/>
      <sz val="16"/>
      <color rgb="FFFFFFFF"/>
      <name val="FreeSans"/>
      <family val="0"/>
      <charset val="1"/>
    </font>
    <font>
      <b val="true"/>
      <sz val="11"/>
      <color rgb="FF16324F"/>
      <name val="FreeSans"/>
      <family val="0"/>
      <charset val="1"/>
    </font>
    <font>
      <sz val="11"/>
      <color rgb="FF0000FF"/>
      <name val="FreeSans"/>
      <family val="0"/>
      <charset val="1"/>
    </font>
    <font>
      <sz val="11"/>
      <color rgb="FF000000"/>
      <name val="Calibri"/>
      <family val="0"/>
      <charset val="1"/>
    </font>
    <font>
      <sz val="11"/>
      <color rgb="FF000000"/>
      <name val="FreeSans"/>
      <family val="0"/>
      <charset val="1"/>
    </font>
    <font>
      <b val="true"/>
      <sz val="11"/>
      <color rgb="FF16324F"/>
      <name val="Calibri"/>
      <family val="0"/>
      <charset val="1"/>
    </font>
    <font>
      <b val="true"/>
      <sz val="11"/>
      <color rgb="FF000000"/>
      <name val="FreeSans"/>
      <family val="0"/>
      <charset val="1"/>
    </font>
    <font>
      <b val="true"/>
      <sz val="11"/>
      <color rgb="FF000000"/>
      <name val="Calibri"/>
      <family val="0"/>
      <charset val="1"/>
    </font>
    <font>
      <sz val="9"/>
      <color rgb="FF17375E"/>
      <name val="FreeSans"/>
      <family val="0"/>
      <charset val="1"/>
    </font>
    <font>
      <sz val="9"/>
      <color rgb="FF1F1F1F"/>
      <name val="FreeSans"/>
      <family val="0"/>
      <charset val="1"/>
    </font>
    <font>
      <sz val="11"/>
      <color rgb="FF008000"/>
      <name val="Calibri"/>
      <family val="0"/>
      <charset val="1"/>
    </font>
    <font>
      <b val="true"/>
      <sz val="11"/>
      <name val="FreeSans"/>
      <family val="0"/>
      <charset val="1"/>
    </font>
    <font>
      <b val="true"/>
      <sz val="11"/>
      <name val="Calibri"/>
      <family val="0"/>
      <charset val="1"/>
    </font>
    <font>
      <b val="true"/>
      <sz val="10"/>
      <color rgb="FF006100"/>
      <name val="Arial"/>
      <family val="0"/>
      <charset val="1"/>
    </font>
    <font>
      <sz val="10"/>
      <color rgb="FF006100"/>
      <name val="Arial"/>
      <family val="0"/>
      <charset val="1"/>
    </font>
    <font>
      <b val="true"/>
      <sz val="10"/>
      <color rgb="FF9C5700"/>
      <name val="Arial"/>
      <family val="0"/>
      <charset val="1"/>
    </font>
    <font>
      <i val="true"/>
      <sz val="11"/>
      <color rgb="FF17365D"/>
      <name val="FreeSans"/>
      <family val="0"/>
      <charset val="1"/>
    </font>
    <font>
      <sz val="9"/>
      <color rgb="FF7F6000"/>
      <name val="FreeSans"/>
      <family val="0"/>
      <charset val="1"/>
    </font>
    <font>
      <b val="true"/>
      <sz val="13"/>
      <color rgb="FF1F4E78"/>
      <name val="Arial"/>
      <family val="0"/>
      <charset val="1"/>
    </font>
    <font>
      <b val="true"/>
      <sz val="16"/>
      <color rgb="FFFFFFFF"/>
      <name val="Arial"/>
      <family val="0"/>
      <charset val="1"/>
    </font>
    <font>
      <b val="true"/>
      <sz val="10"/>
      <color rgb="FF000000"/>
      <name val="Arial"/>
      <family val="0"/>
      <charset val="1"/>
    </font>
    <font>
      <b val="true"/>
      <sz val="10"/>
      <color rgb="FF7F6000"/>
      <name val="Arial"/>
      <family val="0"/>
      <charset val="1"/>
    </font>
    <font>
      <sz val="10"/>
      <color rgb="FF0000FF"/>
      <name val="Arial"/>
      <family val="0"/>
      <charset val="1"/>
    </font>
  </fonts>
  <fills count="12">
    <fill>
      <patternFill patternType="none"/>
    </fill>
    <fill>
      <patternFill patternType="gray125"/>
    </fill>
    <fill>
      <patternFill patternType="solid">
        <fgColor rgb="FF17375E"/>
        <bgColor rgb="FF17365D"/>
      </patternFill>
    </fill>
    <fill>
      <patternFill patternType="solid">
        <fgColor rgb="FFD9EAF7"/>
        <bgColor rgb="FFEAF2F8"/>
      </patternFill>
    </fill>
    <fill>
      <patternFill patternType="solid">
        <fgColor rgb="FF1F4E78"/>
        <bgColor rgb="FF17375E"/>
      </patternFill>
    </fill>
    <fill>
      <patternFill patternType="solid">
        <fgColor rgb="FFFFFFFF"/>
        <bgColor rgb="FFEEF5FA"/>
      </patternFill>
    </fill>
    <fill>
      <patternFill patternType="solid">
        <fgColor rgb="FFEAF2F8"/>
        <bgColor rgb="FFEEF5FA"/>
      </patternFill>
    </fill>
    <fill>
      <patternFill patternType="solid">
        <fgColor rgb="FFFFF2CC"/>
        <bgColor rgb="FFFCE4D6"/>
      </patternFill>
    </fill>
    <fill>
      <patternFill patternType="solid">
        <fgColor rgb="FF16324F"/>
        <bgColor rgb="FF17365D"/>
      </patternFill>
    </fill>
    <fill>
      <patternFill patternType="solid">
        <fgColor rgb="FFEEF5FA"/>
        <bgColor rgb="FFEAF2F8"/>
      </patternFill>
    </fill>
    <fill>
      <patternFill patternType="solid">
        <fgColor rgb="FFE2F0D9"/>
        <bgColor rgb="FFEAF2F8"/>
      </patternFill>
    </fill>
    <fill>
      <patternFill patternType="solid">
        <fgColor rgb="FF17365D"/>
        <bgColor rgb="FF17375E"/>
      </patternFill>
    </fill>
  </fills>
  <borders count="9">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7C9D6"/>
      </left>
      <right/>
      <top style="thin">
        <color rgb="FFB7C9D6"/>
      </top>
      <bottom style="thin">
        <color rgb="FFB7C9D6"/>
      </bottom>
      <diagonal/>
    </border>
    <border diagonalUp="false" diagonalDown="false">
      <left/>
      <right/>
      <top style="thin">
        <color rgb="FFB7C9D6"/>
      </top>
      <bottom style="thin">
        <color rgb="FFB7C9D6"/>
      </bottom>
      <diagonal/>
    </border>
    <border diagonalUp="false" diagonalDown="false">
      <left/>
      <right style="thin">
        <color rgb="FFB7C9D6"/>
      </right>
      <top style="thin">
        <color rgb="FFB7C9D6"/>
      </top>
      <bottom style="thin">
        <color rgb="FFB7C9D6"/>
      </bottom>
      <diagonal/>
    </border>
    <border diagonalUp="false" diagonalDown="false">
      <left/>
      <right/>
      <top style="thin">
        <color rgb="FFB7C9D6"/>
      </top>
      <bottom/>
      <diagonal/>
    </border>
    <border diagonalUp="false" diagonalDown="false">
      <left/>
      <right/>
      <top style="thin">
        <color rgb="FF16324F"/>
      </top>
      <bottom style="double">
        <color rgb="FF16324F"/>
      </bottom>
      <diagonal/>
    </border>
    <border diagonalUp="false" diagonalDown="false">
      <left style="thin">
        <color rgb="FFBFBFBF"/>
      </left>
      <right style="thin">
        <color rgb="FFBFBFBF"/>
      </right>
      <top style="thin">
        <color rgb="FFBFBFBF"/>
      </top>
      <bottom style="thin">
        <color rgb="FFBFBFBF"/>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xf numFmtId="168"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true" applyAlignment="true" applyProtection="true">
      <alignment horizontal="general" vertical="bottom" textRotation="0" wrapText="false" indent="0" shrinkToFit="false"/>
      <protection locked="true" hidden="false"/>
    </xf>
  </cellStyleXfs>
  <cellXfs count="3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true" applyBorder="true" applyAlignment="true" applyProtection="false">
      <alignment horizontal="general" vertical="bottom" textRotation="0" wrapText="false" indent="0" shrinkToFit="false"/>
      <protection locked="true" hidden="false"/>
    </xf>
    <xf numFmtId="164" fontId="5" fillId="2" borderId="0" xfId="24" applyFont="true" applyBorder="true" applyAlignment="true" applyProtection="false">
      <alignment horizontal="center" vertical="center" textRotation="0" wrapText="false" indent="0" shrinkToFit="false"/>
      <protection locked="true" hidden="false"/>
    </xf>
    <xf numFmtId="164" fontId="6" fillId="3" borderId="0" xfId="24" applyFont="true" applyBorder="true" applyAlignment="true" applyProtection="false">
      <alignment horizontal="center" vertical="center" textRotation="0" wrapText="true" indent="0" shrinkToFit="false"/>
      <protection locked="true" hidden="false"/>
    </xf>
    <xf numFmtId="164" fontId="7" fillId="4" borderId="1" xfId="24" applyFont="true" applyBorder="true" applyAlignment="true" applyProtection="false">
      <alignment horizontal="center" vertical="center" textRotation="0" wrapText="false" indent="0" shrinkToFit="false"/>
      <protection locked="true" hidden="false"/>
    </xf>
    <xf numFmtId="164" fontId="8" fillId="5" borderId="1" xfId="24" applyFont="true" applyBorder="true" applyAlignment="true" applyProtection="false">
      <alignment horizontal="center" vertical="center" textRotation="0" wrapText="false" indent="0" shrinkToFit="false"/>
      <protection locked="true" hidden="false"/>
    </xf>
    <xf numFmtId="164" fontId="8" fillId="6" borderId="1" xfId="24" applyFont="true" applyBorder="true" applyAlignment="true" applyProtection="false">
      <alignment horizontal="center" vertical="center" textRotation="0" wrapText="false" indent="0" shrinkToFit="false"/>
      <protection locked="true" hidden="false"/>
    </xf>
    <xf numFmtId="164" fontId="9" fillId="6" borderId="1" xfId="24" applyFont="true" applyBorder="true" applyAlignment="true" applyProtection="false">
      <alignment horizontal="center" vertical="center" textRotation="0" wrapText="false" indent="0" shrinkToFit="false"/>
      <protection locked="true" hidden="false"/>
    </xf>
    <xf numFmtId="164" fontId="10" fillId="7" borderId="1" xfId="24" applyFont="true" applyBorder="true" applyAlignment="true" applyProtection="false">
      <alignment horizontal="center" vertical="center" textRotation="0" wrapText="true" indent="0" shrinkToFit="false"/>
      <protection locked="true" hidden="false"/>
    </xf>
    <xf numFmtId="164" fontId="11" fillId="0" borderId="0" xfId="24" applyFont="true" applyBorder="true" applyAlignment="true" applyProtection="false">
      <alignment horizontal="center" vertical="bottom" textRotation="0" wrapText="false" indent="0" shrinkToFit="false"/>
      <protection locked="true" hidden="false"/>
    </xf>
    <xf numFmtId="164" fontId="12" fillId="0" borderId="0" xfId="24" applyFont="true" applyBorder="true" applyAlignment="true" applyProtection="false">
      <alignment horizontal="center" vertical="bottom" textRotation="0" wrapText="false" indent="0" shrinkToFit="false"/>
      <protection locked="true" hidden="false"/>
    </xf>
    <xf numFmtId="164" fontId="13" fillId="2" borderId="0" xfId="24" applyFont="true" applyBorder="true" applyAlignment="true" applyProtection="false">
      <alignment horizontal="center" vertical="center" textRotation="0" wrapText="false" indent="0" shrinkToFit="false"/>
      <protection locked="true" hidden="false"/>
    </xf>
    <xf numFmtId="164" fontId="14" fillId="3" borderId="2" xfId="24" applyFont="true" applyBorder="true" applyAlignment="true" applyProtection="false">
      <alignment horizontal="general" vertical="center" textRotation="0" wrapText="true" indent="0" shrinkToFit="false"/>
      <protection locked="true" hidden="false"/>
    </xf>
    <xf numFmtId="164" fontId="15" fillId="0" borderId="2" xfId="24" applyFont="true" applyBorder="true" applyAlignment="true" applyProtection="false">
      <alignment horizontal="center" vertical="center" textRotation="0" wrapText="false" indent="0" shrinkToFit="false"/>
      <protection locked="true" hidden="false"/>
    </xf>
    <xf numFmtId="164" fontId="16" fillId="0" borderId="2" xfId="24" applyFont="true" applyBorder="true" applyAlignment="true" applyProtection="false">
      <alignment horizontal="general" vertical="center" textRotation="0" wrapText="true" indent="0" shrinkToFit="false"/>
      <protection locked="true" hidden="false"/>
    </xf>
    <xf numFmtId="164" fontId="17" fillId="0" borderId="2" xfId="24" applyFont="true" applyBorder="true" applyAlignment="true" applyProtection="false">
      <alignment horizontal="general" vertical="center" textRotation="0" wrapText="true" indent="0" shrinkToFit="false"/>
      <protection locked="true" hidden="false"/>
    </xf>
    <xf numFmtId="164" fontId="18" fillId="0" borderId="2" xfId="24" applyFont="true" applyBorder="true" applyAlignment="true" applyProtection="false">
      <alignment horizontal="center" vertical="center" textRotation="0" wrapText="false" indent="0" shrinkToFit="false"/>
      <protection locked="true" hidden="false"/>
    </xf>
    <xf numFmtId="164" fontId="14" fillId="0" borderId="2" xfId="24" applyFont="true" applyBorder="true" applyAlignment="true" applyProtection="false">
      <alignment horizontal="general" vertical="center" textRotation="0" wrapText="true" indent="0" shrinkToFit="false"/>
      <protection locked="true" hidden="false"/>
    </xf>
    <xf numFmtId="164" fontId="19" fillId="8" borderId="0" xfId="24" applyFont="true" applyBorder="true" applyAlignment="true" applyProtection="false">
      <alignment horizontal="center" vertical="center" textRotation="0" wrapText="false" indent="0" shrinkToFit="false"/>
      <protection locked="true" hidden="false"/>
    </xf>
    <xf numFmtId="164" fontId="20" fillId="0" borderId="0" xfId="24" applyFont="true" applyBorder="true" applyAlignment="true" applyProtection="false">
      <alignment horizontal="general" vertical="bottom" textRotation="0" wrapText="false" indent="0" shrinkToFit="false"/>
      <protection locked="true" hidden="false"/>
    </xf>
    <xf numFmtId="164" fontId="21" fillId="3" borderId="3" xfId="24" applyFont="true" applyBorder="true" applyAlignment="true" applyProtection="false">
      <alignment horizontal="center" vertical="center" textRotation="0" wrapText="true" indent="0" shrinkToFit="false"/>
      <protection locked="true" hidden="false"/>
    </xf>
    <xf numFmtId="164" fontId="21" fillId="3" borderId="4" xfId="24" applyFont="true" applyBorder="true" applyAlignment="true" applyProtection="false">
      <alignment horizontal="center" vertical="center" textRotation="0" wrapText="true" indent="0" shrinkToFit="false"/>
      <protection locked="true" hidden="false"/>
    </xf>
    <xf numFmtId="164" fontId="21" fillId="3" borderId="5" xfId="24" applyFont="true" applyBorder="true" applyAlignment="true" applyProtection="false">
      <alignment horizontal="center" vertical="center" textRotation="0" wrapText="true" indent="0" shrinkToFit="false"/>
      <protection locked="true" hidden="false"/>
    </xf>
    <xf numFmtId="170" fontId="22" fillId="7" borderId="0" xfId="24" applyFont="true" applyBorder="true" applyAlignment="true" applyProtection="false">
      <alignment horizontal="general" vertical="bottom" textRotation="0" wrapText="false" indent="0" shrinkToFit="false"/>
      <protection locked="true" hidden="false"/>
    </xf>
    <xf numFmtId="170" fontId="20" fillId="7" borderId="0" xfId="24" applyFont="true" applyBorder="true" applyAlignment="true" applyProtection="false">
      <alignment horizontal="general" vertical="bottom" textRotation="0" wrapText="false" indent="0" shrinkToFit="false"/>
      <protection locked="true" hidden="false"/>
    </xf>
    <xf numFmtId="171" fontId="20" fillId="7" borderId="0" xfId="24" applyFont="true" applyBorder="true" applyAlignment="true" applyProtection="false">
      <alignment horizontal="general" vertical="bottom" textRotation="0" wrapText="false" indent="0" shrinkToFit="false"/>
      <protection locked="true" hidden="false"/>
    </xf>
    <xf numFmtId="171" fontId="20" fillId="0" borderId="0" xfId="24" applyFont="true" applyBorder="true" applyAlignment="true" applyProtection="false">
      <alignment horizontal="general" vertical="bottom" textRotation="0" wrapText="false" indent="0" shrinkToFit="false"/>
      <protection locked="true" hidden="false"/>
    </xf>
    <xf numFmtId="164" fontId="21" fillId="4" borderId="0" xfId="24" applyFont="true" applyBorder="true" applyAlignment="true" applyProtection="false">
      <alignment horizontal="left" vertical="center" textRotation="0" wrapText="false" indent="0" shrinkToFit="false"/>
      <protection locked="true" hidden="false"/>
    </xf>
    <xf numFmtId="164" fontId="20" fillId="0" borderId="6" xfId="24" applyFont="true" applyBorder="true" applyAlignment="true" applyProtection="false">
      <alignment horizontal="general" vertical="bottom" textRotation="0" wrapText="true" indent="0" shrinkToFit="false"/>
      <protection locked="true" hidden="false"/>
    </xf>
    <xf numFmtId="172" fontId="20" fillId="7" borderId="6" xfId="24" applyFont="true" applyBorder="true" applyAlignment="true" applyProtection="false">
      <alignment horizontal="general" vertical="bottom" textRotation="0" wrapText="true" indent="0" shrinkToFit="false"/>
      <protection locked="true" hidden="false"/>
    </xf>
    <xf numFmtId="164" fontId="20" fillId="0" borderId="0" xfId="24" applyFont="true" applyBorder="true" applyAlignment="true" applyProtection="false">
      <alignment horizontal="general" vertical="bottom" textRotation="0" wrapText="true" indent="0" shrinkToFit="false"/>
      <protection locked="true" hidden="false"/>
    </xf>
    <xf numFmtId="173" fontId="20" fillId="7" borderId="0" xfId="24" applyFont="true" applyBorder="true" applyAlignment="true" applyProtection="false">
      <alignment horizontal="general" vertical="bottom" textRotation="0" wrapText="true" indent="0" shrinkToFit="false"/>
      <protection locked="true" hidden="false"/>
    </xf>
    <xf numFmtId="174" fontId="20" fillId="7" borderId="0" xfId="24" applyFont="true" applyBorder="true" applyAlignment="true" applyProtection="false">
      <alignment horizontal="general" vertical="bottom" textRotation="0" wrapText="true" indent="0" shrinkToFit="false"/>
      <protection locked="true" hidden="false"/>
    </xf>
    <xf numFmtId="175" fontId="20" fillId="7" borderId="0" xfId="24" applyFont="true" applyBorder="true" applyAlignment="true" applyProtection="false">
      <alignment horizontal="general" vertical="bottom" textRotation="0" wrapText="true" indent="0" shrinkToFit="false"/>
      <protection locked="true" hidden="false"/>
    </xf>
    <xf numFmtId="170" fontId="20" fillId="7" borderId="0" xfId="24" applyFont="true" applyBorder="true" applyAlignment="true" applyProtection="false">
      <alignment horizontal="general" vertical="bottom" textRotation="0" wrapText="true" indent="0" shrinkToFit="false"/>
      <protection locked="true" hidden="false"/>
    </xf>
    <xf numFmtId="170" fontId="20" fillId="0" borderId="0" xfId="24" applyFont="true" applyBorder="true" applyAlignment="true" applyProtection="false">
      <alignment horizontal="general" vertical="bottom" textRotation="0" wrapText="true" indent="0" shrinkToFit="false"/>
      <protection locked="true" hidden="false"/>
    </xf>
    <xf numFmtId="176" fontId="20" fillId="7" borderId="0" xfId="24" applyFont="true" applyBorder="true" applyAlignment="true" applyProtection="false">
      <alignment horizontal="general" vertical="bottom" textRotation="0" wrapText="true" indent="0" shrinkToFit="false"/>
      <protection locked="true" hidden="false"/>
    </xf>
    <xf numFmtId="164" fontId="20" fillId="0" borderId="0" xfId="24" applyFont="true" applyBorder="true" applyAlignment="true" applyProtection="false">
      <alignment horizontal="right" vertical="bottom" textRotation="0" wrapText="true" indent="0" shrinkToFit="false"/>
      <protection locked="true" hidden="false"/>
    </xf>
    <xf numFmtId="171" fontId="20" fillId="7" borderId="0" xfId="24" applyFont="true" applyBorder="true" applyAlignment="true" applyProtection="false">
      <alignment horizontal="general" vertical="bottom" textRotation="0" wrapText="true" indent="0" shrinkToFit="false"/>
      <protection locked="true" hidden="false"/>
    </xf>
    <xf numFmtId="171" fontId="20" fillId="0" borderId="0" xfId="24" applyFont="true" applyBorder="true" applyAlignment="true" applyProtection="false">
      <alignment horizontal="general" vertical="bottom" textRotation="0" wrapText="true" indent="0" shrinkToFit="false"/>
      <protection locked="true" hidden="false"/>
    </xf>
    <xf numFmtId="177" fontId="20" fillId="7" borderId="0" xfId="24" applyFont="true" applyBorder="true" applyAlignment="true" applyProtection="false">
      <alignment horizontal="general" vertical="bottom" textRotation="0" wrapText="true" indent="0" shrinkToFit="false"/>
      <protection locked="true" hidden="false"/>
    </xf>
    <xf numFmtId="171" fontId="22" fillId="7" borderId="0" xfId="24" applyFont="true" applyBorder="true" applyAlignment="true" applyProtection="false">
      <alignment horizontal="general" vertical="bottom" textRotation="0" wrapText="true" indent="0" shrinkToFit="false"/>
      <protection locked="true" hidden="false"/>
    </xf>
    <xf numFmtId="178" fontId="22" fillId="7" borderId="0" xfId="24" applyFont="true" applyBorder="true" applyAlignment="true" applyProtection="false">
      <alignment horizontal="general" vertical="bottom" textRotation="0" wrapText="true" indent="0" shrinkToFit="false"/>
      <protection locked="true" hidden="false"/>
    </xf>
    <xf numFmtId="178" fontId="22" fillId="0" borderId="0" xfId="24" applyFont="true" applyBorder="true" applyAlignment="true" applyProtection="false">
      <alignment horizontal="general" vertical="bottom" textRotation="0" wrapText="true" indent="0" shrinkToFit="false"/>
      <protection locked="true" hidden="false"/>
    </xf>
    <xf numFmtId="178" fontId="22" fillId="0" borderId="0" xfId="24" applyFont="true" applyBorder="true" applyAlignment="true" applyProtection="false">
      <alignment horizontal="general" vertical="bottom" textRotation="0" wrapText="false" indent="0" shrinkToFit="false"/>
      <protection locked="true" hidden="false"/>
    </xf>
    <xf numFmtId="164" fontId="20" fillId="7" borderId="0" xfId="24" applyFont="true" applyBorder="true" applyAlignment="true" applyProtection="false">
      <alignment horizontal="general" vertical="bottom" textRotation="0" wrapText="true" indent="0" shrinkToFit="false"/>
      <protection locked="true" hidden="false"/>
    </xf>
    <xf numFmtId="164" fontId="21" fillId="0" borderId="0" xfId="24" applyFont="true" applyBorder="true" applyAlignment="true" applyProtection="false">
      <alignment horizontal="general" vertical="bottom" textRotation="0" wrapText="true" indent="0" shrinkToFit="false"/>
      <protection locked="true" hidden="false"/>
    </xf>
    <xf numFmtId="179" fontId="22" fillId="7" borderId="0" xfId="24" applyFont="true" applyBorder="true" applyAlignment="true" applyProtection="false">
      <alignment horizontal="general" vertical="bottom" textRotation="0" wrapText="true" indent="0" shrinkToFit="false"/>
      <protection locked="true" hidden="false"/>
    </xf>
    <xf numFmtId="179" fontId="22" fillId="7" borderId="0" xfId="24" applyFont="true" applyBorder="true" applyAlignment="true" applyProtection="false">
      <alignment horizontal="general" vertical="bottom" textRotation="0" wrapText="false" indent="0" shrinkToFit="false"/>
      <protection locked="true" hidden="false"/>
    </xf>
    <xf numFmtId="164" fontId="20" fillId="7" borderId="0" xfId="24" applyFont="true" applyBorder="true" applyAlignment="true" applyProtection="false">
      <alignment horizontal="general" vertical="bottom" textRotation="0" wrapText="false" indent="0" shrinkToFit="false"/>
      <protection locked="true" hidden="false"/>
    </xf>
    <xf numFmtId="164" fontId="19" fillId="4" borderId="0" xfId="24" applyFont="true" applyBorder="true" applyAlignment="true" applyProtection="false">
      <alignment horizontal="general" vertical="bottom" textRotation="0" wrapText="false" indent="0" shrinkToFit="false"/>
      <protection locked="true" hidden="false"/>
    </xf>
    <xf numFmtId="179" fontId="20" fillId="0" borderId="0" xfId="24" applyFont="true" applyBorder="true" applyAlignment="true" applyProtection="false">
      <alignment horizontal="general" vertical="bottom" textRotation="0" wrapText="true" indent="0" shrinkToFit="false"/>
      <protection locked="true" hidden="false"/>
    </xf>
    <xf numFmtId="180" fontId="20" fillId="0" borderId="0" xfId="24" applyFont="true" applyBorder="true" applyAlignment="true" applyProtection="false">
      <alignment horizontal="general" vertical="bottom" textRotation="0" wrapText="true" indent="0" shrinkToFit="false"/>
      <protection locked="true" hidden="false"/>
    </xf>
    <xf numFmtId="170" fontId="23" fillId="7" borderId="0" xfId="24" applyFont="true" applyBorder="true" applyAlignment="true" applyProtection="false">
      <alignment horizontal="general" vertical="bottom" textRotation="0" wrapText="true" indent="0" shrinkToFit="false"/>
      <protection locked="true" hidden="false"/>
    </xf>
    <xf numFmtId="170" fontId="22" fillId="7" borderId="0" xfId="24" applyFont="true" applyBorder="true" applyAlignment="true" applyProtection="false">
      <alignment horizontal="general" vertical="bottom" textRotation="0" wrapText="true" indent="0" shrinkToFit="false"/>
      <protection locked="true" hidden="false"/>
    </xf>
    <xf numFmtId="181" fontId="20" fillId="0" borderId="0" xfId="24" applyFont="true" applyBorder="true" applyAlignment="true" applyProtection="false">
      <alignment horizontal="general" vertical="bottom" textRotation="0" wrapText="true" indent="0" shrinkToFit="false"/>
      <protection locked="true" hidden="false"/>
    </xf>
    <xf numFmtId="180" fontId="24" fillId="0" borderId="0" xfId="24" applyFont="true" applyBorder="true" applyAlignment="true" applyProtection="false">
      <alignment horizontal="general" vertical="bottom" textRotation="0" wrapText="true" indent="0" shrinkToFit="false"/>
      <protection locked="true" hidden="false"/>
    </xf>
    <xf numFmtId="179" fontId="22" fillId="0" borderId="0" xfId="24" applyFont="true" applyBorder="true" applyAlignment="true" applyProtection="false">
      <alignment horizontal="general" vertical="bottom" textRotation="0" wrapText="true" indent="0" shrinkToFit="false"/>
      <protection locked="true" hidden="false"/>
    </xf>
    <xf numFmtId="164" fontId="19" fillId="4" borderId="0" xfId="24" applyFont="true" applyBorder="true" applyAlignment="true" applyProtection="false">
      <alignment horizontal="general" vertical="bottom" textRotation="0" wrapText="true" indent="0" shrinkToFit="false"/>
      <protection locked="true" hidden="false"/>
    </xf>
    <xf numFmtId="164" fontId="25" fillId="0" borderId="0" xfId="24" applyFont="true" applyBorder="true" applyAlignment="true" applyProtection="false">
      <alignment horizontal="general" vertical="bottom" textRotation="0" wrapText="true" indent="0" shrinkToFit="false"/>
      <protection locked="true" hidden="false"/>
    </xf>
    <xf numFmtId="164" fontId="25" fillId="7" borderId="0" xfId="24" applyFont="true" applyBorder="true" applyAlignment="true" applyProtection="false">
      <alignment horizontal="general" vertical="bottom" textRotation="0" wrapText="true" indent="0" shrinkToFit="false"/>
      <protection locked="true" hidden="false"/>
    </xf>
    <xf numFmtId="164" fontId="21" fillId="0" borderId="0" xfId="24" applyFont="true" applyBorder="true" applyAlignment="true" applyProtection="false">
      <alignment horizontal="general" vertical="bottom" textRotation="0" wrapText="false" indent="0" shrinkToFit="false"/>
      <protection locked="true" hidden="false"/>
    </xf>
    <xf numFmtId="170" fontId="21" fillId="0" borderId="0" xfId="24" applyFont="true" applyBorder="true" applyAlignment="true" applyProtection="false">
      <alignment horizontal="general" vertical="bottom" textRotation="0" wrapText="false" indent="0" shrinkToFit="false"/>
      <protection locked="true" hidden="false"/>
    </xf>
    <xf numFmtId="164" fontId="26" fillId="2" borderId="0" xfId="24" applyFont="true" applyBorder="true" applyAlignment="true" applyProtection="false">
      <alignment horizontal="left" vertical="bottom" textRotation="0" wrapText="false" indent="0" shrinkToFit="false"/>
      <protection locked="true" hidden="false"/>
    </xf>
    <xf numFmtId="170" fontId="4" fillId="0" borderId="2" xfId="24" applyFont="true" applyBorder="true" applyAlignment="true" applyProtection="false">
      <alignment horizontal="general" vertical="bottom" textRotation="0" wrapText="false" indent="0" shrinkToFit="false"/>
      <protection locked="true" hidden="false"/>
    </xf>
    <xf numFmtId="182" fontId="22" fillId="7" borderId="2" xfId="24" applyFont="true" applyBorder="true" applyAlignment="true" applyProtection="false">
      <alignment horizontal="general" vertical="bottom" textRotation="0" wrapText="false" indent="0" shrinkToFit="false"/>
      <protection locked="true" hidden="false"/>
    </xf>
    <xf numFmtId="170" fontId="22" fillId="7" borderId="2" xfId="24" applyFont="true" applyBorder="true" applyAlignment="true" applyProtection="false">
      <alignment horizontal="general" vertical="bottom" textRotation="0" wrapText="false" indent="0" shrinkToFit="false"/>
      <protection locked="true" hidden="false"/>
    </xf>
    <xf numFmtId="178" fontId="22" fillId="7" borderId="2" xfId="24" applyFont="true" applyBorder="true" applyAlignment="true" applyProtection="false">
      <alignment horizontal="general" vertical="bottom" textRotation="0" wrapText="false" indent="0" shrinkToFit="false"/>
      <protection locked="true" hidden="false"/>
    </xf>
    <xf numFmtId="183" fontId="22" fillId="7" borderId="2" xfId="24" applyFont="true" applyBorder="true" applyAlignment="true" applyProtection="false">
      <alignment horizontal="general" vertical="bottom" textRotation="0" wrapText="false" indent="0" shrinkToFit="false"/>
      <protection locked="true" hidden="false"/>
    </xf>
    <xf numFmtId="164" fontId="27" fillId="0" borderId="0" xfId="24" applyFont="true" applyBorder="true" applyAlignment="true" applyProtection="false">
      <alignment horizontal="general" vertical="bottom" textRotation="0" wrapText="false" indent="0" shrinkToFit="false"/>
      <protection locked="true" hidden="false"/>
    </xf>
    <xf numFmtId="170" fontId="23" fillId="7" borderId="2" xfId="24" applyFont="true" applyBorder="true" applyAlignment="true" applyProtection="false">
      <alignment horizontal="general" vertical="bottom" textRotation="0" wrapText="false" indent="0" shrinkToFit="false"/>
      <protection locked="true" hidden="false"/>
    </xf>
    <xf numFmtId="169" fontId="23" fillId="7" borderId="2" xfId="24" applyFont="true" applyBorder="true" applyAlignment="true" applyProtection="false">
      <alignment horizontal="general" vertical="bottom" textRotation="0" wrapText="false" indent="0" shrinkToFit="false"/>
      <protection locked="true" hidden="false"/>
    </xf>
    <xf numFmtId="164" fontId="28" fillId="6" borderId="0" xfId="24" applyFont="true" applyBorder="true" applyAlignment="true" applyProtection="false">
      <alignment horizontal="general" vertical="bottom" textRotation="0" wrapText="true" indent="0" shrinkToFit="false"/>
      <protection locked="true" hidden="false"/>
    </xf>
    <xf numFmtId="164" fontId="29" fillId="0" borderId="0" xfId="24" applyFont="true" applyBorder="true" applyAlignment="true" applyProtection="false">
      <alignment horizontal="general" vertical="bottom" textRotation="0" wrapText="true" indent="0" shrinkToFit="false"/>
      <protection locked="true" hidden="false"/>
    </xf>
    <xf numFmtId="164" fontId="30" fillId="0" borderId="0" xfId="24" applyFont="true" applyBorder="true" applyAlignment="true" applyProtection="false">
      <alignment horizontal="general" vertical="bottom" textRotation="0" wrapText="true" indent="0" shrinkToFit="false"/>
      <protection locked="true" hidden="false"/>
    </xf>
    <xf numFmtId="164" fontId="31" fillId="0" borderId="0" xfId="24" applyFont="true" applyBorder="true" applyAlignment="true" applyProtection="false">
      <alignment horizontal="general" vertical="bottom" textRotation="0" wrapText="true" indent="0" shrinkToFit="false"/>
      <protection locked="true" hidden="false"/>
    </xf>
    <xf numFmtId="184" fontId="20" fillId="7" borderId="6" xfId="24" applyFont="true" applyBorder="true" applyAlignment="true" applyProtection="false">
      <alignment horizontal="general" vertical="bottom" textRotation="0" wrapText="true" indent="0" shrinkToFit="false"/>
      <protection locked="true" hidden="false"/>
    </xf>
    <xf numFmtId="185" fontId="20" fillId="7" borderId="0" xfId="24" applyFont="true" applyBorder="true" applyAlignment="true" applyProtection="false">
      <alignment horizontal="general" vertical="bottom" textRotation="0" wrapText="true" indent="0" shrinkToFit="false"/>
      <protection locked="true" hidden="false"/>
    </xf>
    <xf numFmtId="164" fontId="32" fillId="3" borderId="1" xfId="24" applyFont="true" applyBorder="true" applyAlignment="true" applyProtection="false">
      <alignment horizontal="center" vertical="bottom" textRotation="0" wrapText="false" indent="0" shrinkToFit="false"/>
      <protection locked="true" hidden="false"/>
    </xf>
    <xf numFmtId="164" fontId="16" fillId="3" borderId="1" xfId="24" applyFont="true" applyBorder="true" applyAlignment="true" applyProtection="false">
      <alignment horizontal="center" vertical="bottom" textRotation="0" wrapText="false" indent="0" shrinkToFit="false"/>
      <protection locked="true" hidden="false"/>
    </xf>
    <xf numFmtId="186" fontId="15" fillId="0" borderId="2" xfId="24" applyFont="true" applyBorder="true" applyAlignment="true" applyProtection="false">
      <alignment horizontal="general" vertical="center" textRotation="0" wrapText="false" indent="0" shrinkToFit="false"/>
      <protection locked="true" hidden="false"/>
    </xf>
    <xf numFmtId="164" fontId="30" fillId="0" borderId="2" xfId="24" applyFont="true" applyBorder="true" applyAlignment="true" applyProtection="false">
      <alignment horizontal="general" vertical="center" textRotation="0" wrapText="false" indent="0" shrinkToFit="false"/>
      <protection locked="true" hidden="false"/>
    </xf>
    <xf numFmtId="170" fontId="15" fillId="0" borderId="2" xfId="24" applyFont="true" applyBorder="true" applyAlignment="true" applyProtection="false">
      <alignment horizontal="general" vertical="center" textRotation="0" wrapText="false" indent="0" shrinkToFit="false"/>
      <protection locked="true" hidden="false"/>
    </xf>
    <xf numFmtId="187" fontId="15" fillId="0" borderId="2" xfId="24" applyFont="true" applyBorder="true" applyAlignment="true" applyProtection="false">
      <alignment horizontal="general" vertical="center" textRotation="0" wrapText="false" indent="0" shrinkToFit="false"/>
      <protection locked="true" hidden="false"/>
    </xf>
    <xf numFmtId="188" fontId="15" fillId="0" borderId="2" xfId="24" applyFont="true" applyBorder="true" applyAlignment="true" applyProtection="false">
      <alignment horizontal="general" vertical="center" textRotation="0" wrapText="false" indent="0" shrinkToFit="false"/>
      <protection locked="true" hidden="false"/>
    </xf>
    <xf numFmtId="189" fontId="15" fillId="0" borderId="2" xfId="24" applyFont="true" applyBorder="true" applyAlignment="true" applyProtection="false">
      <alignment horizontal="general" vertical="center" textRotation="0" wrapText="false" indent="0" shrinkToFit="false"/>
      <protection locked="true" hidden="false"/>
    </xf>
    <xf numFmtId="190" fontId="15" fillId="0" borderId="2" xfId="24" applyFont="true" applyBorder="true" applyAlignment="true" applyProtection="false">
      <alignment horizontal="general" vertical="center" textRotation="0" wrapText="false" indent="0" shrinkToFit="false"/>
      <protection locked="true" hidden="false"/>
    </xf>
    <xf numFmtId="191" fontId="15" fillId="0" borderId="2" xfId="24" applyFont="true" applyBorder="true" applyAlignment="true" applyProtection="false">
      <alignment horizontal="general" vertical="center" textRotation="0" wrapText="false" indent="0" shrinkToFit="false"/>
      <protection locked="true" hidden="false"/>
    </xf>
    <xf numFmtId="192" fontId="15" fillId="0" borderId="2" xfId="24" applyFont="true" applyBorder="true" applyAlignment="true" applyProtection="false">
      <alignment horizontal="general" vertical="center" textRotation="0" wrapText="false" indent="0" shrinkToFit="false"/>
      <protection locked="true" hidden="false"/>
    </xf>
    <xf numFmtId="193" fontId="15" fillId="0" borderId="2" xfId="24" applyFont="true" applyBorder="true" applyAlignment="true" applyProtection="false">
      <alignment horizontal="general" vertical="center" textRotation="0" wrapText="false" indent="0" shrinkToFit="false"/>
      <protection locked="true" hidden="false"/>
    </xf>
    <xf numFmtId="164" fontId="33" fillId="4" borderId="0" xfId="24" applyFont="true" applyBorder="true" applyAlignment="true" applyProtection="false">
      <alignment horizontal="left" vertical="bottom" textRotation="0" wrapText="false" indent="0" shrinkToFit="false"/>
      <protection locked="true" hidden="false"/>
    </xf>
    <xf numFmtId="164" fontId="32" fillId="3" borderId="2" xfId="24" applyFont="true" applyBorder="true" applyAlignment="true" applyProtection="false">
      <alignment horizontal="general" vertical="center" textRotation="0" wrapText="true" indent="0" shrinkToFit="false"/>
      <protection locked="true" hidden="false"/>
    </xf>
    <xf numFmtId="164" fontId="15" fillId="0" borderId="2" xfId="24" applyFont="true" applyBorder="true" applyAlignment="true" applyProtection="false">
      <alignment horizontal="general" vertical="center" textRotation="0" wrapText="false" indent="0" shrinkToFit="false"/>
      <protection locked="true" hidden="false"/>
    </xf>
    <xf numFmtId="178" fontId="15" fillId="0" borderId="2" xfId="24" applyFont="true" applyBorder="true" applyAlignment="true" applyProtection="false">
      <alignment horizontal="general" vertical="center" textRotation="0" wrapText="false" indent="0" shrinkToFit="false"/>
      <protection locked="true" hidden="false"/>
    </xf>
    <xf numFmtId="164" fontId="34" fillId="7" borderId="0" xfId="24" applyFont="true" applyBorder="true" applyAlignment="true" applyProtection="false">
      <alignment horizontal="general" vertical="bottom" textRotation="0" wrapText="true" indent="0" shrinkToFit="false"/>
      <protection locked="true" hidden="false"/>
    </xf>
    <xf numFmtId="164" fontId="35" fillId="8" borderId="0" xfId="24" applyFont="true" applyBorder="true" applyAlignment="true" applyProtection="false">
      <alignment horizontal="center" vertical="center" textRotation="0" wrapText="false" indent="0" shrinkToFit="false"/>
      <protection locked="true" hidden="false"/>
    </xf>
    <xf numFmtId="164" fontId="36" fillId="3" borderId="3" xfId="24" applyFont="true" applyBorder="true" applyAlignment="true" applyProtection="false">
      <alignment horizontal="center" vertical="center" textRotation="0" wrapText="true" indent="0" shrinkToFit="false"/>
      <protection locked="true" hidden="false"/>
    </xf>
    <xf numFmtId="164" fontId="36" fillId="3" borderId="4" xfId="24" applyFont="true" applyBorder="true" applyAlignment="true" applyProtection="false">
      <alignment horizontal="center" vertical="center" textRotation="0" wrapText="true" indent="0" shrinkToFit="false"/>
      <protection locked="true" hidden="false"/>
    </xf>
    <xf numFmtId="164" fontId="36" fillId="3" borderId="5" xfId="24" applyFont="true" applyBorder="true" applyAlignment="true" applyProtection="false">
      <alignment horizontal="center" vertical="center" textRotation="0" wrapText="true" indent="0" shrinkToFit="false"/>
      <protection locked="true" hidden="false"/>
    </xf>
    <xf numFmtId="164" fontId="37" fillId="7" borderId="0" xfId="24" applyFont="true" applyBorder="true" applyAlignment="true" applyProtection="false">
      <alignment horizontal="general" vertical="bottom" textRotation="0" wrapText="false" indent="0" shrinkToFit="false"/>
      <protection locked="true" hidden="false"/>
    </xf>
    <xf numFmtId="171" fontId="31" fillId="7" borderId="0" xfId="24" applyFont="true" applyBorder="true" applyAlignment="true" applyProtection="false">
      <alignment horizontal="general" vertical="bottom" textRotation="0" wrapText="false" indent="0" shrinkToFit="false"/>
      <protection locked="true" hidden="false"/>
    </xf>
    <xf numFmtId="170" fontId="31" fillId="7" borderId="0" xfId="24" applyFont="true" applyBorder="true" applyAlignment="true" applyProtection="false">
      <alignment horizontal="general" vertical="bottom" textRotation="0" wrapText="false" indent="0" shrinkToFit="false"/>
      <protection locked="true" hidden="false"/>
    </xf>
    <xf numFmtId="164" fontId="30" fillId="0" borderId="0" xfId="24" applyFont="true" applyBorder="true" applyAlignment="true" applyProtection="false">
      <alignment horizontal="general" vertical="bottom" textRotation="0" wrapText="false" indent="0" shrinkToFit="false"/>
      <protection locked="true" hidden="false"/>
    </xf>
    <xf numFmtId="171" fontId="38" fillId="0" borderId="0" xfId="24" applyFont="true" applyBorder="true" applyAlignment="true" applyProtection="false">
      <alignment horizontal="general" vertical="bottom" textRotation="0" wrapText="false" indent="0" shrinkToFit="false"/>
      <protection locked="true" hidden="false"/>
    </xf>
    <xf numFmtId="164" fontId="38" fillId="0" borderId="0" xfId="24" applyFont="true" applyBorder="true" applyAlignment="true" applyProtection="false">
      <alignment horizontal="general" vertical="bottom" textRotation="0" wrapText="false" indent="0" shrinkToFit="false"/>
      <protection locked="true" hidden="false"/>
    </xf>
    <xf numFmtId="170" fontId="38" fillId="0" borderId="0" xfId="24" applyFont="true" applyBorder="true" applyAlignment="true" applyProtection="false">
      <alignment horizontal="general" vertical="bottom" textRotation="0" wrapText="false" indent="0" shrinkToFit="false"/>
      <protection locked="true" hidden="false"/>
    </xf>
    <xf numFmtId="164" fontId="39" fillId="0" borderId="0" xfId="24" applyFont="true" applyBorder="true" applyAlignment="true" applyProtection="false">
      <alignment horizontal="general" vertical="bottom" textRotation="0" wrapText="false" indent="0" shrinkToFit="false"/>
      <protection locked="true" hidden="false"/>
    </xf>
    <xf numFmtId="164" fontId="36" fillId="0" borderId="0" xfId="24" applyFont="true" applyBorder="true" applyAlignment="true" applyProtection="false">
      <alignment horizontal="general" vertical="bottom" textRotation="0" wrapText="false" indent="0" shrinkToFit="false"/>
      <protection locked="true" hidden="false"/>
    </xf>
    <xf numFmtId="164" fontId="35" fillId="8" borderId="0" xfId="24" applyFont="true" applyBorder="true" applyAlignment="true" applyProtection="false">
      <alignment horizontal="center" vertical="center" textRotation="0" wrapText="true" indent="0" shrinkToFit="false"/>
      <protection locked="true" hidden="false"/>
    </xf>
    <xf numFmtId="164" fontId="4" fillId="0" borderId="0" xfId="24" applyFont="true" applyBorder="true" applyAlignment="true" applyProtection="false">
      <alignment horizontal="general" vertical="bottom" textRotation="0" wrapText="true" indent="0" shrinkToFit="false"/>
      <protection locked="true" hidden="false"/>
    </xf>
    <xf numFmtId="164" fontId="40" fillId="3" borderId="4" xfId="24" applyFont="true" applyBorder="true" applyAlignment="true" applyProtection="false">
      <alignment horizontal="center" vertical="center" textRotation="0" wrapText="true" indent="0" shrinkToFit="false"/>
      <protection locked="true" hidden="false"/>
    </xf>
    <xf numFmtId="164" fontId="37" fillId="7" borderId="0" xfId="24" applyFont="true" applyBorder="true" applyAlignment="true" applyProtection="false">
      <alignment horizontal="general" vertical="bottom" textRotation="0" wrapText="true" indent="0" shrinkToFit="false"/>
      <protection locked="true" hidden="false"/>
    </xf>
    <xf numFmtId="182" fontId="31" fillId="7" borderId="0" xfId="24" applyFont="true" applyBorder="true" applyAlignment="true" applyProtection="false">
      <alignment horizontal="general" vertical="bottom" textRotation="0" wrapText="true" indent="0" shrinkToFit="false"/>
      <protection locked="true" hidden="false"/>
    </xf>
    <xf numFmtId="170" fontId="38" fillId="0" borderId="0" xfId="24" applyFont="true" applyBorder="true" applyAlignment="true" applyProtection="false">
      <alignment horizontal="general" vertical="bottom" textRotation="0" wrapText="true" indent="0" shrinkToFit="false"/>
      <protection locked="true" hidden="false"/>
    </xf>
    <xf numFmtId="170" fontId="41" fillId="9" borderId="7" xfId="24" applyFont="true" applyBorder="true" applyAlignment="true" applyProtection="false">
      <alignment horizontal="general" vertical="bottom" textRotation="0" wrapText="true" indent="0" shrinkToFit="false"/>
      <protection locked="true" hidden="false"/>
    </xf>
    <xf numFmtId="182" fontId="42" fillId="9" borderId="7" xfId="24" applyFont="true" applyBorder="true" applyAlignment="true" applyProtection="false">
      <alignment horizontal="general" vertical="bottom" textRotation="0" wrapText="true" indent="0" shrinkToFit="false"/>
      <protection locked="true" hidden="false"/>
    </xf>
    <xf numFmtId="164" fontId="23" fillId="0" borderId="0" xfId="24" applyFont="true" applyBorder="true" applyAlignment="true" applyProtection="false">
      <alignment horizontal="general" vertical="bottom" textRotation="0" wrapText="true" indent="0" shrinkToFit="false"/>
      <protection locked="true" hidden="false"/>
    </xf>
    <xf numFmtId="164" fontId="36" fillId="0" borderId="0" xfId="24" applyFont="true" applyBorder="true" applyAlignment="true" applyProtection="false">
      <alignment horizontal="general" vertical="bottom" textRotation="0" wrapText="true" indent="0" shrinkToFit="false"/>
      <protection locked="true" hidden="false"/>
    </xf>
    <xf numFmtId="164" fontId="43" fillId="6" borderId="0" xfId="24" applyFont="true" applyBorder="true" applyAlignment="true" applyProtection="false">
      <alignment horizontal="general" vertical="bottom" textRotation="0" wrapText="true" indent="0" shrinkToFit="false"/>
      <protection locked="true" hidden="false"/>
    </xf>
    <xf numFmtId="164" fontId="40" fillId="3" borderId="5" xfId="24" applyFont="true" applyBorder="true" applyAlignment="true" applyProtection="false">
      <alignment horizontal="center" vertical="center" textRotation="0" wrapText="true" indent="0" shrinkToFit="false"/>
      <protection locked="true" hidden="false"/>
    </xf>
    <xf numFmtId="182" fontId="31" fillId="7" borderId="0" xfId="24" applyFont="true" applyBorder="true" applyAlignment="true" applyProtection="false">
      <alignment horizontal="general" vertical="bottom" textRotation="0" wrapText="false" indent="0" shrinkToFit="false"/>
      <protection locked="true" hidden="false"/>
    </xf>
    <xf numFmtId="170" fontId="41" fillId="9" borderId="7" xfId="24" applyFont="true" applyBorder="true" applyAlignment="true" applyProtection="false">
      <alignment horizontal="general" vertical="bottom" textRotation="0" wrapText="false" indent="0" shrinkToFit="false"/>
      <protection locked="true" hidden="false"/>
    </xf>
    <xf numFmtId="164" fontId="23" fillId="0" borderId="0" xfId="24" applyFont="true" applyBorder="true" applyAlignment="true" applyProtection="false">
      <alignment horizontal="general" vertical="bottom" textRotation="0" wrapText="false" indent="0" shrinkToFit="false"/>
      <protection locked="true" hidden="false"/>
    </xf>
    <xf numFmtId="164" fontId="44" fillId="5" borderId="0" xfId="24" applyFont="true" applyBorder="true" applyAlignment="true" applyProtection="false">
      <alignment horizontal="general" vertical="bottom" textRotation="0" wrapText="true" indent="0" shrinkToFit="false"/>
      <protection locked="true" hidden="false"/>
    </xf>
    <xf numFmtId="194" fontId="31" fillId="7" borderId="0" xfId="24" applyFont="true" applyBorder="true" applyAlignment="true" applyProtection="false">
      <alignment horizontal="general" vertical="bottom" textRotation="0" wrapText="false" indent="0" shrinkToFit="false"/>
      <protection locked="true" hidden="false"/>
    </xf>
    <xf numFmtId="195" fontId="31" fillId="7" borderId="0" xfId="24" applyFont="true" applyBorder="true" applyAlignment="true" applyProtection="false">
      <alignment horizontal="general" vertical="bottom" textRotation="0" wrapText="false" indent="0" shrinkToFit="false"/>
      <protection locked="true" hidden="false"/>
    </xf>
    <xf numFmtId="196" fontId="31" fillId="7" borderId="0" xfId="24" applyFont="true" applyBorder="true" applyAlignment="true" applyProtection="false">
      <alignment horizontal="general" vertical="bottom" textRotation="0" wrapText="false" indent="0" shrinkToFit="false"/>
      <protection locked="true" hidden="false"/>
    </xf>
    <xf numFmtId="197" fontId="31" fillId="7" borderId="0" xfId="24" applyFont="true" applyBorder="true" applyAlignment="true" applyProtection="false">
      <alignment horizontal="general" vertical="bottom" textRotation="0" wrapText="false" indent="0" shrinkToFit="false"/>
      <protection locked="true" hidden="false"/>
    </xf>
    <xf numFmtId="198" fontId="31" fillId="7" borderId="0" xfId="24" applyFont="true" applyBorder="true" applyAlignment="true" applyProtection="false">
      <alignment horizontal="general" vertical="bottom" textRotation="0" wrapText="false" indent="0" shrinkToFit="false"/>
      <protection locked="true" hidden="false"/>
    </xf>
    <xf numFmtId="199" fontId="31" fillId="7" borderId="0" xfId="24" applyFont="true" applyBorder="true" applyAlignment="true" applyProtection="false">
      <alignment horizontal="general" vertical="bottom" textRotation="0" wrapText="false" indent="0" shrinkToFit="false"/>
      <protection locked="true" hidden="false"/>
    </xf>
    <xf numFmtId="200" fontId="31" fillId="7" borderId="0" xfId="24" applyFont="true" applyBorder="true" applyAlignment="true" applyProtection="false">
      <alignment horizontal="general" vertical="bottom" textRotation="0" wrapText="false" indent="0" shrinkToFit="false"/>
      <protection locked="true" hidden="false"/>
    </xf>
    <xf numFmtId="201" fontId="31" fillId="7" borderId="0" xfId="24" applyFont="true" applyBorder="true" applyAlignment="true" applyProtection="false">
      <alignment horizontal="general" vertical="bottom" textRotation="0" wrapText="false" indent="0" shrinkToFit="false"/>
      <protection locked="true" hidden="false"/>
    </xf>
    <xf numFmtId="202" fontId="31" fillId="7" borderId="0" xfId="24" applyFont="true" applyBorder="true" applyAlignment="true" applyProtection="false">
      <alignment horizontal="general" vertical="bottom" textRotation="0" wrapText="false" indent="0" shrinkToFit="false"/>
      <protection locked="true" hidden="false"/>
    </xf>
    <xf numFmtId="203" fontId="31" fillId="7" borderId="0" xfId="24" applyFont="true" applyBorder="true" applyAlignment="true" applyProtection="false">
      <alignment horizontal="general" vertical="bottom" textRotation="0" wrapText="false" indent="0" shrinkToFit="false"/>
      <protection locked="true" hidden="false"/>
    </xf>
    <xf numFmtId="204" fontId="31" fillId="7" borderId="0" xfId="24" applyFont="true" applyBorder="true" applyAlignment="true" applyProtection="false">
      <alignment horizontal="general" vertical="bottom" textRotation="0" wrapText="false" indent="0" shrinkToFit="false"/>
      <protection locked="true" hidden="false"/>
    </xf>
    <xf numFmtId="205" fontId="31" fillId="7" borderId="0" xfId="24" applyFont="true" applyBorder="true" applyAlignment="true" applyProtection="false">
      <alignment horizontal="general" vertical="bottom" textRotation="0" wrapText="false" indent="0" shrinkToFit="false"/>
      <protection locked="true" hidden="false"/>
    </xf>
    <xf numFmtId="206" fontId="31" fillId="7" borderId="0" xfId="24" applyFont="true" applyBorder="true" applyAlignment="true" applyProtection="false">
      <alignment horizontal="general" vertical="bottom" textRotation="0" wrapText="false" indent="0" shrinkToFit="false"/>
      <protection locked="true" hidden="false"/>
    </xf>
    <xf numFmtId="207" fontId="31" fillId="7" borderId="0" xfId="24" applyFont="true" applyBorder="true" applyAlignment="true" applyProtection="false">
      <alignment horizontal="general" vertical="bottom" textRotation="0" wrapText="false" indent="0" shrinkToFit="false"/>
      <protection locked="true" hidden="false"/>
    </xf>
    <xf numFmtId="208" fontId="31" fillId="7" borderId="0" xfId="24" applyFont="true" applyBorder="true" applyAlignment="true" applyProtection="false">
      <alignment horizontal="general" vertical="bottom" textRotation="0" wrapText="false" indent="0" shrinkToFit="false"/>
      <protection locked="true" hidden="false"/>
    </xf>
    <xf numFmtId="209" fontId="31" fillId="7" borderId="0" xfId="24" applyFont="true" applyBorder="true" applyAlignment="true" applyProtection="false">
      <alignment horizontal="general" vertical="bottom" textRotation="0" wrapText="false" indent="0" shrinkToFit="false"/>
      <protection locked="true" hidden="false"/>
    </xf>
    <xf numFmtId="210" fontId="31" fillId="7" borderId="0" xfId="24" applyFont="true" applyBorder="true" applyAlignment="true" applyProtection="false">
      <alignment horizontal="general" vertical="bottom" textRotation="0" wrapText="false" indent="0" shrinkToFit="false"/>
      <protection locked="true" hidden="false"/>
    </xf>
    <xf numFmtId="211" fontId="31" fillId="7" borderId="0" xfId="24" applyFont="true" applyBorder="true" applyAlignment="true" applyProtection="false">
      <alignment horizontal="general" vertical="bottom" textRotation="0" wrapText="false" indent="0" shrinkToFit="false"/>
      <protection locked="true" hidden="false"/>
    </xf>
    <xf numFmtId="212" fontId="31" fillId="7" borderId="0" xfId="24" applyFont="true" applyBorder="true" applyAlignment="true" applyProtection="false">
      <alignment horizontal="general" vertical="bottom" textRotation="0" wrapText="false" indent="0" shrinkToFit="false"/>
      <protection locked="true" hidden="false"/>
    </xf>
    <xf numFmtId="213" fontId="31" fillId="7" borderId="0" xfId="24" applyFont="true" applyBorder="true" applyAlignment="true" applyProtection="false">
      <alignment horizontal="general" vertical="bottom" textRotation="0" wrapText="false" indent="0" shrinkToFit="false"/>
      <protection locked="true" hidden="false"/>
    </xf>
    <xf numFmtId="214" fontId="31" fillId="7" borderId="0" xfId="24" applyFont="true" applyBorder="true" applyAlignment="true" applyProtection="false">
      <alignment horizontal="general" vertical="bottom" textRotation="0" wrapText="false" indent="0" shrinkToFit="false"/>
      <protection locked="true" hidden="false"/>
    </xf>
    <xf numFmtId="215" fontId="31" fillId="7" borderId="0" xfId="24" applyFont="true" applyBorder="true" applyAlignment="true" applyProtection="false">
      <alignment horizontal="general" vertical="bottom" textRotation="0" wrapText="false" indent="0" shrinkToFit="false"/>
      <protection locked="true" hidden="false"/>
    </xf>
    <xf numFmtId="216" fontId="31" fillId="7" borderId="0" xfId="24" applyFont="true" applyBorder="true" applyAlignment="true" applyProtection="false">
      <alignment horizontal="general" vertical="bottom" textRotation="0" wrapText="false" indent="0" shrinkToFit="false"/>
      <protection locked="true" hidden="false"/>
    </xf>
    <xf numFmtId="217" fontId="31" fillId="7" borderId="0" xfId="24" applyFont="true" applyBorder="true" applyAlignment="true" applyProtection="false">
      <alignment horizontal="general" vertical="bottom" textRotation="0" wrapText="false" indent="0" shrinkToFit="false"/>
      <protection locked="true" hidden="false"/>
    </xf>
    <xf numFmtId="218" fontId="31" fillId="7" borderId="0" xfId="24" applyFont="true" applyBorder="true" applyAlignment="true" applyProtection="false">
      <alignment horizontal="general" vertical="bottom" textRotation="0" wrapText="false" indent="0" shrinkToFit="false"/>
      <protection locked="true" hidden="false"/>
    </xf>
    <xf numFmtId="219" fontId="31" fillId="7" borderId="0" xfId="24" applyFont="true" applyBorder="true" applyAlignment="true" applyProtection="false">
      <alignment horizontal="general" vertical="bottom" textRotation="0" wrapText="false" indent="0" shrinkToFit="false"/>
      <protection locked="true" hidden="false"/>
    </xf>
    <xf numFmtId="220" fontId="31" fillId="7" borderId="0" xfId="24" applyFont="true" applyBorder="true" applyAlignment="true" applyProtection="false">
      <alignment horizontal="general" vertical="bottom" textRotation="0" wrapText="false" indent="0" shrinkToFit="false"/>
      <protection locked="true" hidden="false"/>
    </xf>
    <xf numFmtId="221" fontId="31" fillId="7" borderId="0" xfId="24" applyFont="true" applyBorder="true" applyAlignment="true" applyProtection="false">
      <alignment horizontal="general" vertical="bottom" textRotation="0" wrapText="false" indent="0" shrinkToFit="false"/>
      <protection locked="true" hidden="false"/>
    </xf>
    <xf numFmtId="222" fontId="31" fillId="7" borderId="0" xfId="24" applyFont="true" applyBorder="true" applyAlignment="true" applyProtection="false">
      <alignment horizontal="general" vertical="bottom" textRotation="0" wrapText="false" indent="0" shrinkToFit="false"/>
      <protection locked="true" hidden="false"/>
    </xf>
    <xf numFmtId="223" fontId="31" fillId="7" borderId="0" xfId="24" applyFont="true" applyBorder="true" applyAlignment="true" applyProtection="false">
      <alignment horizontal="general" vertical="bottom" textRotation="0" wrapText="false" indent="0" shrinkToFit="false"/>
      <protection locked="true" hidden="false"/>
    </xf>
    <xf numFmtId="224" fontId="31" fillId="7" borderId="0" xfId="24" applyFont="true" applyBorder="true" applyAlignment="true" applyProtection="false">
      <alignment horizontal="general" vertical="bottom" textRotation="0" wrapText="false" indent="0" shrinkToFit="false"/>
      <protection locked="true" hidden="false"/>
    </xf>
    <xf numFmtId="225" fontId="31" fillId="7" borderId="0" xfId="24" applyFont="true" applyBorder="true" applyAlignment="true" applyProtection="false">
      <alignment horizontal="general" vertical="bottom" textRotation="0" wrapText="false" indent="0" shrinkToFit="false"/>
      <protection locked="true" hidden="false"/>
    </xf>
    <xf numFmtId="226" fontId="31" fillId="7" borderId="0" xfId="24" applyFont="true" applyBorder="true" applyAlignment="true" applyProtection="false">
      <alignment horizontal="general" vertical="bottom" textRotation="0" wrapText="false" indent="0" shrinkToFit="false"/>
      <protection locked="true" hidden="false"/>
    </xf>
    <xf numFmtId="227" fontId="31" fillId="7" borderId="0" xfId="24" applyFont="true" applyBorder="true" applyAlignment="true" applyProtection="false">
      <alignment horizontal="general" vertical="bottom" textRotation="0" wrapText="false" indent="0" shrinkToFit="false"/>
      <protection locked="true" hidden="false"/>
    </xf>
    <xf numFmtId="228" fontId="31" fillId="7" borderId="0" xfId="24" applyFont="true" applyBorder="true" applyAlignment="true" applyProtection="false">
      <alignment horizontal="general" vertical="bottom" textRotation="0" wrapText="false" indent="0" shrinkToFit="false"/>
      <protection locked="true" hidden="false"/>
    </xf>
    <xf numFmtId="229" fontId="31" fillId="7" borderId="0" xfId="24" applyFont="true" applyBorder="true" applyAlignment="true" applyProtection="false">
      <alignment horizontal="general" vertical="bottom" textRotation="0" wrapText="false" indent="0" shrinkToFit="false"/>
      <protection locked="true" hidden="false"/>
    </xf>
    <xf numFmtId="230" fontId="31" fillId="7" borderId="0" xfId="24" applyFont="true" applyBorder="true" applyAlignment="true" applyProtection="false">
      <alignment horizontal="general" vertical="bottom" textRotation="0" wrapText="false" indent="0" shrinkToFit="false"/>
      <protection locked="true" hidden="false"/>
    </xf>
    <xf numFmtId="231" fontId="31" fillId="7" borderId="0" xfId="24" applyFont="true" applyBorder="true" applyAlignment="true" applyProtection="false">
      <alignment horizontal="general" vertical="bottom" textRotation="0" wrapText="false" indent="0" shrinkToFit="false"/>
      <protection locked="true" hidden="false"/>
    </xf>
    <xf numFmtId="232" fontId="31" fillId="7" borderId="0" xfId="24" applyFont="true" applyBorder="true" applyAlignment="true" applyProtection="false">
      <alignment horizontal="general" vertical="bottom" textRotation="0" wrapText="false" indent="0" shrinkToFit="false"/>
      <protection locked="true" hidden="false"/>
    </xf>
    <xf numFmtId="233" fontId="31" fillId="7" borderId="0" xfId="24" applyFont="true" applyBorder="true" applyAlignment="true" applyProtection="false">
      <alignment horizontal="general" vertical="bottom" textRotation="0" wrapText="false" indent="0" shrinkToFit="false"/>
      <protection locked="true" hidden="false"/>
    </xf>
    <xf numFmtId="234" fontId="31" fillId="7" borderId="0" xfId="24" applyFont="true" applyBorder="true" applyAlignment="true" applyProtection="false">
      <alignment horizontal="general" vertical="bottom" textRotation="0" wrapText="false" indent="0" shrinkToFit="false"/>
      <protection locked="true" hidden="false"/>
    </xf>
    <xf numFmtId="235" fontId="31" fillId="7" borderId="0" xfId="24" applyFont="true" applyBorder="true" applyAlignment="true" applyProtection="false">
      <alignment horizontal="general" vertical="bottom" textRotation="0" wrapText="false" indent="0" shrinkToFit="false"/>
      <protection locked="true" hidden="false"/>
    </xf>
    <xf numFmtId="236" fontId="31" fillId="7" borderId="0" xfId="24" applyFont="true" applyBorder="true" applyAlignment="true" applyProtection="false">
      <alignment horizontal="general" vertical="bottom" textRotation="0" wrapText="false" indent="0" shrinkToFit="false"/>
      <protection locked="true" hidden="false"/>
    </xf>
    <xf numFmtId="237" fontId="31" fillId="7" borderId="0" xfId="24" applyFont="true" applyBorder="true" applyAlignment="true" applyProtection="false">
      <alignment horizontal="general" vertical="bottom" textRotation="0" wrapText="false" indent="0" shrinkToFit="false"/>
      <protection locked="true" hidden="false"/>
    </xf>
    <xf numFmtId="238" fontId="31" fillId="7" borderId="0" xfId="24" applyFont="true" applyBorder="true" applyAlignment="true" applyProtection="false">
      <alignment horizontal="general" vertical="bottom" textRotation="0" wrapText="false" indent="0" shrinkToFit="false"/>
      <protection locked="true" hidden="false"/>
    </xf>
    <xf numFmtId="239" fontId="31" fillId="7" borderId="0" xfId="24" applyFont="true" applyBorder="true" applyAlignment="true" applyProtection="false">
      <alignment horizontal="general" vertical="bottom" textRotation="0" wrapText="false" indent="0" shrinkToFit="false"/>
      <protection locked="true" hidden="false"/>
    </xf>
    <xf numFmtId="240" fontId="31" fillId="7" borderId="0" xfId="24" applyFont="true" applyBorder="true" applyAlignment="true" applyProtection="false">
      <alignment horizontal="general" vertical="bottom" textRotation="0" wrapText="false" indent="0" shrinkToFit="false"/>
      <protection locked="true" hidden="false"/>
    </xf>
    <xf numFmtId="241" fontId="31" fillId="7" borderId="0" xfId="24" applyFont="true" applyBorder="true" applyAlignment="true" applyProtection="false">
      <alignment horizontal="general" vertical="bottom" textRotation="0" wrapText="false" indent="0" shrinkToFit="false"/>
      <protection locked="true" hidden="false"/>
    </xf>
    <xf numFmtId="242" fontId="31" fillId="7" borderId="0" xfId="24" applyFont="true" applyBorder="true" applyAlignment="true" applyProtection="false">
      <alignment horizontal="general" vertical="bottom" textRotation="0" wrapText="false" indent="0" shrinkToFit="false"/>
      <protection locked="true" hidden="false"/>
    </xf>
    <xf numFmtId="243" fontId="31" fillId="7" borderId="0" xfId="24" applyFont="true" applyBorder="true" applyAlignment="true" applyProtection="false">
      <alignment horizontal="general" vertical="bottom" textRotation="0" wrapText="false" indent="0" shrinkToFit="false"/>
      <protection locked="true" hidden="false"/>
    </xf>
    <xf numFmtId="244" fontId="31" fillId="7" borderId="0" xfId="24" applyFont="true" applyBorder="true" applyAlignment="true" applyProtection="false">
      <alignment horizontal="general" vertical="bottom" textRotation="0" wrapText="false" indent="0" shrinkToFit="false"/>
      <protection locked="true" hidden="false"/>
    </xf>
    <xf numFmtId="245" fontId="31" fillId="7" borderId="0" xfId="24" applyFont="true" applyBorder="true" applyAlignment="true" applyProtection="false">
      <alignment horizontal="general" vertical="bottom" textRotation="0" wrapText="false" indent="0" shrinkToFit="false"/>
      <protection locked="true" hidden="false"/>
    </xf>
    <xf numFmtId="246" fontId="31" fillId="7" borderId="0" xfId="24" applyFont="true" applyBorder="true" applyAlignment="true" applyProtection="false">
      <alignment horizontal="general" vertical="bottom" textRotation="0" wrapText="false" indent="0" shrinkToFit="false"/>
      <protection locked="true" hidden="false"/>
    </xf>
    <xf numFmtId="247" fontId="31" fillId="7" borderId="0" xfId="24" applyFont="true" applyBorder="true" applyAlignment="true" applyProtection="false">
      <alignment horizontal="general" vertical="bottom" textRotation="0" wrapText="false" indent="0" shrinkToFit="false"/>
      <protection locked="true" hidden="false"/>
    </xf>
    <xf numFmtId="248" fontId="31" fillId="7" borderId="0" xfId="24" applyFont="true" applyBorder="true" applyAlignment="true" applyProtection="false">
      <alignment horizontal="general" vertical="bottom" textRotation="0" wrapText="false" indent="0" shrinkToFit="false"/>
      <protection locked="true" hidden="false"/>
    </xf>
    <xf numFmtId="249" fontId="31" fillId="7" borderId="0" xfId="24" applyFont="true" applyBorder="true" applyAlignment="true" applyProtection="false">
      <alignment horizontal="general" vertical="bottom" textRotation="0" wrapText="false" indent="0" shrinkToFit="false"/>
      <protection locked="true" hidden="false"/>
    </xf>
    <xf numFmtId="250" fontId="31" fillId="7" borderId="0" xfId="24" applyFont="true" applyBorder="true" applyAlignment="true" applyProtection="false">
      <alignment horizontal="general" vertical="bottom" textRotation="0" wrapText="false" indent="0" shrinkToFit="false"/>
      <protection locked="true" hidden="false"/>
    </xf>
    <xf numFmtId="251" fontId="31" fillId="7" borderId="0" xfId="24" applyFont="true" applyBorder="true" applyAlignment="true" applyProtection="false">
      <alignment horizontal="general" vertical="bottom" textRotation="0" wrapText="false" indent="0" shrinkToFit="false"/>
      <protection locked="true" hidden="false"/>
    </xf>
    <xf numFmtId="252" fontId="31" fillId="7" borderId="0" xfId="24" applyFont="true" applyBorder="true" applyAlignment="true" applyProtection="false">
      <alignment horizontal="general" vertical="bottom" textRotation="0" wrapText="false" indent="0" shrinkToFit="false"/>
      <protection locked="true" hidden="false"/>
    </xf>
    <xf numFmtId="253" fontId="31" fillId="7" borderId="0" xfId="24" applyFont="true" applyBorder="true" applyAlignment="true" applyProtection="false">
      <alignment horizontal="general" vertical="bottom" textRotation="0" wrapText="false" indent="0" shrinkToFit="false"/>
      <protection locked="true" hidden="false"/>
    </xf>
    <xf numFmtId="254" fontId="37" fillId="7" borderId="0" xfId="24" applyFont="true" applyBorder="true" applyAlignment="true" applyProtection="false">
      <alignment horizontal="general" vertical="bottom" textRotation="0" wrapText="false" indent="0" shrinkToFit="false"/>
      <protection locked="true" hidden="false"/>
    </xf>
    <xf numFmtId="255" fontId="37" fillId="7" borderId="0" xfId="24" applyFont="true" applyBorder="true" applyAlignment="true" applyProtection="false">
      <alignment horizontal="general" vertical="bottom" textRotation="0" wrapText="false" indent="0" shrinkToFit="false"/>
      <protection locked="true" hidden="false"/>
    </xf>
    <xf numFmtId="256" fontId="37" fillId="7" borderId="0" xfId="24" applyFont="true" applyBorder="true" applyAlignment="true" applyProtection="false">
      <alignment horizontal="general" vertical="bottom" textRotation="0" wrapText="false" indent="0" shrinkToFit="false"/>
      <protection locked="true" hidden="false"/>
    </xf>
    <xf numFmtId="257" fontId="37" fillId="7" borderId="0" xfId="24" applyFont="true" applyBorder="true" applyAlignment="true" applyProtection="false">
      <alignment horizontal="general" vertical="bottom" textRotation="0" wrapText="false" indent="0" shrinkToFit="false"/>
      <protection locked="true" hidden="false"/>
    </xf>
    <xf numFmtId="258" fontId="37" fillId="7" borderId="0" xfId="24" applyFont="true" applyBorder="true" applyAlignment="true" applyProtection="false">
      <alignment horizontal="general" vertical="bottom" textRotation="0" wrapText="false" indent="0" shrinkToFit="false"/>
      <protection locked="true" hidden="false"/>
    </xf>
    <xf numFmtId="170" fontId="45" fillId="0" borderId="0" xfId="24" applyFont="true" applyBorder="true" applyAlignment="true" applyProtection="false">
      <alignment horizontal="general" vertical="bottom" textRotation="0" wrapText="false" indent="0" shrinkToFit="false"/>
      <protection locked="true" hidden="false"/>
    </xf>
    <xf numFmtId="170" fontId="45" fillId="0" borderId="0" xfId="24" applyFont="true" applyBorder="true" applyAlignment="true" applyProtection="false">
      <alignment horizontal="general" vertical="bottom" textRotation="0" wrapText="true" indent="0" shrinkToFit="false"/>
      <protection locked="true" hidden="false"/>
    </xf>
    <xf numFmtId="164" fontId="33" fillId="4" borderId="0" xfId="24" applyFont="true" applyBorder="true" applyAlignment="true" applyProtection="false">
      <alignment horizontal="general" vertical="bottom" textRotation="0" wrapText="false" indent="0" shrinkToFit="false"/>
      <protection locked="true" hidden="false"/>
    </xf>
    <xf numFmtId="164" fontId="32" fillId="3" borderId="2" xfId="24" applyFont="true" applyBorder="true" applyAlignment="true" applyProtection="false">
      <alignment horizontal="center" vertical="center" textRotation="0" wrapText="false" indent="0" shrinkToFit="false"/>
      <protection locked="true" hidden="false"/>
    </xf>
    <xf numFmtId="164" fontId="16" fillId="3" borderId="2" xfId="24" applyFont="true" applyBorder="true" applyAlignment="true" applyProtection="false">
      <alignment horizontal="center" vertical="center" textRotation="0" wrapText="false" indent="0" shrinkToFit="false"/>
      <protection locked="true" hidden="false"/>
    </xf>
    <xf numFmtId="259" fontId="45" fillId="0" borderId="0" xfId="24" applyFont="true" applyBorder="true" applyAlignment="true" applyProtection="false">
      <alignment horizontal="general" vertical="bottom" textRotation="0" wrapText="false" indent="0" shrinkToFit="false"/>
      <protection locked="true" hidden="false"/>
    </xf>
    <xf numFmtId="164" fontId="32" fillId="3" borderId="1" xfId="24" applyFont="true" applyBorder="true" applyAlignment="true" applyProtection="false">
      <alignment horizontal="center" vertical="center" textRotation="0" wrapText="false" indent="0" shrinkToFit="false"/>
      <protection locked="true" hidden="false"/>
    </xf>
    <xf numFmtId="164" fontId="16" fillId="3" borderId="1" xfId="24" applyFont="true" applyBorder="true" applyAlignment="true" applyProtection="false">
      <alignment horizontal="center" vertical="center" textRotation="0" wrapText="false" indent="0" shrinkToFit="false"/>
      <protection locked="true" hidden="false"/>
    </xf>
    <xf numFmtId="170" fontId="30" fillId="0" borderId="2" xfId="24" applyFont="true" applyBorder="true" applyAlignment="true" applyProtection="false">
      <alignment horizontal="general" vertical="center" textRotation="0" wrapText="false" indent="0" shrinkToFit="false"/>
      <protection locked="true" hidden="false"/>
    </xf>
    <xf numFmtId="164" fontId="4" fillId="0" borderId="0" xfId="24" applyFont="true" applyBorder="true" applyAlignment="false" applyProtection="false">
      <alignment horizontal="general" vertical="bottom" textRotation="0" wrapText="false" indent="0" shrinkToFit="false"/>
      <protection locked="true" hidden="false"/>
    </xf>
    <xf numFmtId="164" fontId="27" fillId="0" borderId="0" xfId="24" applyFont="true" applyBorder="true" applyAlignment="true" applyProtection="false">
      <alignment horizontal="general" vertical="bottom" textRotation="0" wrapText="true" indent="0" shrinkToFit="false"/>
      <protection locked="true" hidden="false"/>
    </xf>
    <xf numFmtId="178" fontId="4" fillId="0" borderId="0" xfId="24" applyFont="true" applyBorder="true" applyAlignment="true" applyProtection="false">
      <alignment horizontal="general" vertical="bottom" textRotation="0" wrapText="true" indent="0" shrinkToFit="false"/>
      <protection locked="true" hidden="false"/>
    </xf>
    <xf numFmtId="194" fontId="15" fillId="0" borderId="0" xfId="24" applyFont="true" applyBorder="true" applyAlignment="true" applyProtection="false">
      <alignment horizontal="general" vertical="bottom" textRotation="0" wrapText="false" indent="0" shrinkToFit="false"/>
      <protection locked="true" hidden="false"/>
    </xf>
    <xf numFmtId="195" fontId="15" fillId="0" borderId="0" xfId="24" applyFont="true" applyBorder="true" applyAlignment="true" applyProtection="false">
      <alignment horizontal="general" vertical="bottom" textRotation="0" wrapText="false" indent="0" shrinkToFit="false"/>
      <protection locked="true" hidden="false"/>
    </xf>
    <xf numFmtId="196" fontId="15" fillId="0" borderId="0" xfId="24" applyFont="true" applyBorder="true" applyAlignment="true" applyProtection="false">
      <alignment horizontal="general" vertical="bottom" textRotation="0" wrapText="false" indent="0" shrinkToFit="false"/>
      <protection locked="true" hidden="false"/>
    </xf>
    <xf numFmtId="197" fontId="15" fillId="0" borderId="0" xfId="24" applyFont="true" applyBorder="true" applyAlignment="true" applyProtection="false">
      <alignment horizontal="general" vertical="bottom" textRotation="0" wrapText="false" indent="0" shrinkToFit="false"/>
      <protection locked="true" hidden="false"/>
    </xf>
    <xf numFmtId="198" fontId="15" fillId="0" borderId="0" xfId="24" applyFont="true" applyBorder="true" applyAlignment="true" applyProtection="false">
      <alignment horizontal="general" vertical="bottom" textRotation="0" wrapText="false" indent="0" shrinkToFit="false"/>
      <protection locked="true" hidden="false"/>
    </xf>
    <xf numFmtId="199" fontId="15" fillId="0" borderId="0" xfId="24" applyFont="true" applyBorder="true" applyAlignment="true" applyProtection="false">
      <alignment horizontal="general" vertical="bottom" textRotation="0" wrapText="false" indent="0" shrinkToFit="false"/>
      <protection locked="true" hidden="false"/>
    </xf>
    <xf numFmtId="200" fontId="15" fillId="0" borderId="0" xfId="24" applyFont="true" applyBorder="true" applyAlignment="true" applyProtection="false">
      <alignment horizontal="general" vertical="bottom" textRotation="0" wrapText="false" indent="0" shrinkToFit="false"/>
      <protection locked="true" hidden="false"/>
    </xf>
    <xf numFmtId="201" fontId="15" fillId="0" borderId="0" xfId="24" applyFont="true" applyBorder="true" applyAlignment="true" applyProtection="false">
      <alignment horizontal="general" vertical="bottom" textRotation="0" wrapText="false" indent="0" shrinkToFit="false"/>
      <protection locked="true" hidden="false"/>
    </xf>
    <xf numFmtId="202" fontId="15" fillId="0" borderId="0" xfId="24" applyFont="true" applyBorder="true" applyAlignment="true" applyProtection="false">
      <alignment horizontal="general" vertical="bottom" textRotation="0" wrapText="false" indent="0" shrinkToFit="false"/>
      <protection locked="true" hidden="false"/>
    </xf>
    <xf numFmtId="203" fontId="15" fillId="0" borderId="0" xfId="24" applyFont="true" applyBorder="true" applyAlignment="true" applyProtection="false">
      <alignment horizontal="general" vertical="bottom" textRotation="0" wrapText="false" indent="0" shrinkToFit="false"/>
      <protection locked="true" hidden="false"/>
    </xf>
    <xf numFmtId="204" fontId="15" fillId="0" borderId="0" xfId="24" applyFont="true" applyBorder="true" applyAlignment="true" applyProtection="false">
      <alignment horizontal="general" vertical="bottom" textRotation="0" wrapText="false" indent="0" shrinkToFit="false"/>
      <protection locked="true" hidden="false"/>
    </xf>
    <xf numFmtId="205" fontId="15" fillId="0" borderId="0" xfId="24" applyFont="true" applyBorder="true" applyAlignment="true" applyProtection="false">
      <alignment horizontal="general" vertical="bottom" textRotation="0" wrapText="false" indent="0" shrinkToFit="false"/>
      <protection locked="true" hidden="false"/>
    </xf>
    <xf numFmtId="206" fontId="15" fillId="0" borderId="0" xfId="24" applyFont="true" applyBorder="true" applyAlignment="true" applyProtection="false">
      <alignment horizontal="general" vertical="bottom" textRotation="0" wrapText="false" indent="0" shrinkToFit="false"/>
      <protection locked="true" hidden="false"/>
    </xf>
    <xf numFmtId="207" fontId="15" fillId="0" borderId="0" xfId="24" applyFont="true" applyBorder="true" applyAlignment="true" applyProtection="false">
      <alignment horizontal="general" vertical="bottom" textRotation="0" wrapText="false" indent="0" shrinkToFit="false"/>
      <protection locked="true" hidden="false"/>
    </xf>
    <xf numFmtId="208" fontId="15" fillId="0" borderId="0" xfId="24" applyFont="true" applyBorder="true" applyAlignment="true" applyProtection="false">
      <alignment horizontal="general" vertical="bottom" textRotation="0" wrapText="false" indent="0" shrinkToFit="false"/>
      <protection locked="true" hidden="false"/>
    </xf>
    <xf numFmtId="209" fontId="15" fillId="0" borderId="0" xfId="24" applyFont="true" applyBorder="true" applyAlignment="true" applyProtection="false">
      <alignment horizontal="general" vertical="bottom" textRotation="0" wrapText="false" indent="0" shrinkToFit="false"/>
      <protection locked="true" hidden="false"/>
    </xf>
    <xf numFmtId="210" fontId="15" fillId="0" borderId="0" xfId="24" applyFont="true" applyBorder="true" applyAlignment="true" applyProtection="false">
      <alignment horizontal="general" vertical="bottom" textRotation="0" wrapText="false" indent="0" shrinkToFit="false"/>
      <protection locked="true" hidden="false"/>
    </xf>
    <xf numFmtId="211" fontId="15" fillId="0" borderId="0" xfId="24" applyFont="true" applyBorder="true" applyAlignment="true" applyProtection="false">
      <alignment horizontal="general" vertical="bottom" textRotation="0" wrapText="false" indent="0" shrinkToFit="false"/>
      <protection locked="true" hidden="false"/>
    </xf>
    <xf numFmtId="212" fontId="15" fillId="0" borderId="0" xfId="24" applyFont="true" applyBorder="true" applyAlignment="true" applyProtection="false">
      <alignment horizontal="general" vertical="bottom" textRotation="0" wrapText="false" indent="0" shrinkToFit="false"/>
      <protection locked="true" hidden="false"/>
    </xf>
    <xf numFmtId="213" fontId="15" fillId="0" borderId="0" xfId="24" applyFont="true" applyBorder="true" applyAlignment="true" applyProtection="false">
      <alignment horizontal="general" vertical="bottom" textRotation="0" wrapText="false" indent="0" shrinkToFit="false"/>
      <protection locked="true" hidden="false"/>
    </xf>
    <xf numFmtId="214" fontId="15" fillId="0" borderId="0" xfId="24" applyFont="true" applyBorder="true" applyAlignment="true" applyProtection="false">
      <alignment horizontal="general" vertical="bottom" textRotation="0" wrapText="false" indent="0" shrinkToFit="false"/>
      <protection locked="true" hidden="false"/>
    </xf>
    <xf numFmtId="215" fontId="15" fillId="0" borderId="0" xfId="24" applyFont="true" applyBorder="true" applyAlignment="true" applyProtection="false">
      <alignment horizontal="general" vertical="bottom" textRotation="0" wrapText="false" indent="0" shrinkToFit="false"/>
      <protection locked="true" hidden="false"/>
    </xf>
    <xf numFmtId="216" fontId="15" fillId="0" borderId="0" xfId="24" applyFont="true" applyBorder="true" applyAlignment="true" applyProtection="false">
      <alignment horizontal="general" vertical="bottom" textRotation="0" wrapText="false" indent="0" shrinkToFit="false"/>
      <protection locked="true" hidden="false"/>
    </xf>
    <xf numFmtId="217" fontId="15" fillId="0" borderId="0" xfId="24" applyFont="true" applyBorder="true" applyAlignment="true" applyProtection="false">
      <alignment horizontal="general" vertical="bottom" textRotation="0" wrapText="false" indent="0" shrinkToFit="false"/>
      <protection locked="true" hidden="false"/>
    </xf>
    <xf numFmtId="218" fontId="15" fillId="0" borderId="0" xfId="24" applyFont="true" applyBorder="true" applyAlignment="true" applyProtection="false">
      <alignment horizontal="general" vertical="bottom" textRotation="0" wrapText="false" indent="0" shrinkToFit="false"/>
      <protection locked="true" hidden="false"/>
    </xf>
    <xf numFmtId="219" fontId="15" fillId="0" borderId="0" xfId="24" applyFont="true" applyBorder="true" applyAlignment="true" applyProtection="false">
      <alignment horizontal="general" vertical="bottom" textRotation="0" wrapText="false" indent="0" shrinkToFit="false"/>
      <protection locked="true" hidden="false"/>
    </xf>
    <xf numFmtId="220" fontId="15" fillId="0" borderId="0" xfId="24" applyFont="true" applyBorder="true" applyAlignment="true" applyProtection="false">
      <alignment horizontal="general" vertical="bottom" textRotation="0" wrapText="false" indent="0" shrinkToFit="false"/>
      <protection locked="true" hidden="false"/>
    </xf>
    <xf numFmtId="221" fontId="15" fillId="0" borderId="0" xfId="24" applyFont="true" applyBorder="true" applyAlignment="true" applyProtection="false">
      <alignment horizontal="general" vertical="bottom" textRotation="0" wrapText="false" indent="0" shrinkToFit="false"/>
      <protection locked="true" hidden="false"/>
    </xf>
    <xf numFmtId="222" fontId="15" fillId="0" borderId="0" xfId="24" applyFont="true" applyBorder="true" applyAlignment="true" applyProtection="false">
      <alignment horizontal="general" vertical="bottom" textRotation="0" wrapText="false" indent="0" shrinkToFit="false"/>
      <protection locked="true" hidden="false"/>
    </xf>
    <xf numFmtId="223" fontId="15" fillId="0" borderId="0" xfId="24" applyFont="true" applyBorder="true" applyAlignment="true" applyProtection="false">
      <alignment horizontal="general" vertical="bottom" textRotation="0" wrapText="false" indent="0" shrinkToFit="false"/>
      <protection locked="true" hidden="false"/>
    </xf>
    <xf numFmtId="224" fontId="15" fillId="0" borderId="0" xfId="24" applyFont="true" applyBorder="true" applyAlignment="true" applyProtection="false">
      <alignment horizontal="general" vertical="bottom" textRotation="0" wrapText="false" indent="0" shrinkToFit="false"/>
      <protection locked="true" hidden="false"/>
    </xf>
    <xf numFmtId="225" fontId="15" fillId="0" borderId="0" xfId="24" applyFont="true" applyBorder="true" applyAlignment="true" applyProtection="false">
      <alignment horizontal="general" vertical="bottom" textRotation="0" wrapText="false" indent="0" shrinkToFit="false"/>
      <protection locked="true" hidden="false"/>
    </xf>
    <xf numFmtId="226" fontId="15" fillId="0" borderId="0" xfId="24" applyFont="true" applyBorder="true" applyAlignment="true" applyProtection="false">
      <alignment horizontal="general" vertical="bottom" textRotation="0" wrapText="false" indent="0" shrinkToFit="false"/>
      <protection locked="true" hidden="false"/>
    </xf>
    <xf numFmtId="227" fontId="15" fillId="0" borderId="0" xfId="24" applyFont="true" applyBorder="true" applyAlignment="true" applyProtection="false">
      <alignment horizontal="general" vertical="bottom" textRotation="0" wrapText="false" indent="0" shrinkToFit="false"/>
      <protection locked="true" hidden="false"/>
    </xf>
    <xf numFmtId="228" fontId="15" fillId="0" borderId="0" xfId="24" applyFont="true" applyBorder="true" applyAlignment="true" applyProtection="false">
      <alignment horizontal="general" vertical="bottom" textRotation="0" wrapText="false" indent="0" shrinkToFit="false"/>
      <protection locked="true" hidden="false"/>
    </xf>
    <xf numFmtId="229" fontId="15" fillId="0" borderId="0" xfId="24" applyFont="true" applyBorder="true" applyAlignment="true" applyProtection="false">
      <alignment horizontal="general" vertical="bottom" textRotation="0" wrapText="false" indent="0" shrinkToFit="false"/>
      <protection locked="true" hidden="false"/>
    </xf>
    <xf numFmtId="230" fontId="15" fillId="0" borderId="0" xfId="24" applyFont="true" applyBorder="true" applyAlignment="true" applyProtection="false">
      <alignment horizontal="general" vertical="bottom" textRotation="0" wrapText="false" indent="0" shrinkToFit="false"/>
      <protection locked="true" hidden="false"/>
    </xf>
    <xf numFmtId="231" fontId="15" fillId="0" borderId="0" xfId="24" applyFont="true" applyBorder="true" applyAlignment="true" applyProtection="false">
      <alignment horizontal="general" vertical="bottom" textRotation="0" wrapText="false" indent="0" shrinkToFit="false"/>
      <protection locked="true" hidden="false"/>
    </xf>
    <xf numFmtId="232" fontId="15" fillId="0" borderId="0" xfId="24" applyFont="true" applyBorder="true" applyAlignment="true" applyProtection="false">
      <alignment horizontal="general" vertical="bottom" textRotation="0" wrapText="false" indent="0" shrinkToFit="false"/>
      <protection locked="true" hidden="false"/>
    </xf>
    <xf numFmtId="233" fontId="15" fillId="0" borderId="0" xfId="24" applyFont="true" applyBorder="true" applyAlignment="true" applyProtection="false">
      <alignment horizontal="general" vertical="bottom" textRotation="0" wrapText="false" indent="0" shrinkToFit="false"/>
      <protection locked="true" hidden="false"/>
    </xf>
    <xf numFmtId="234" fontId="15" fillId="0" borderId="0" xfId="24" applyFont="true" applyBorder="true" applyAlignment="true" applyProtection="false">
      <alignment horizontal="general" vertical="bottom" textRotation="0" wrapText="false" indent="0" shrinkToFit="false"/>
      <protection locked="true" hidden="false"/>
    </xf>
    <xf numFmtId="235" fontId="15" fillId="0" borderId="0" xfId="24" applyFont="true" applyBorder="true" applyAlignment="true" applyProtection="false">
      <alignment horizontal="general" vertical="bottom" textRotation="0" wrapText="false" indent="0" shrinkToFit="false"/>
      <protection locked="true" hidden="false"/>
    </xf>
    <xf numFmtId="236" fontId="15" fillId="0" borderId="0" xfId="24" applyFont="true" applyBorder="true" applyAlignment="true" applyProtection="false">
      <alignment horizontal="general" vertical="bottom" textRotation="0" wrapText="false" indent="0" shrinkToFit="false"/>
      <protection locked="true" hidden="false"/>
    </xf>
    <xf numFmtId="237" fontId="15" fillId="0" borderId="0" xfId="24" applyFont="true" applyBorder="true" applyAlignment="true" applyProtection="false">
      <alignment horizontal="general" vertical="bottom" textRotation="0" wrapText="false" indent="0" shrinkToFit="false"/>
      <protection locked="true" hidden="false"/>
    </xf>
    <xf numFmtId="238" fontId="15" fillId="0" borderId="0" xfId="24" applyFont="true" applyBorder="true" applyAlignment="true" applyProtection="false">
      <alignment horizontal="general" vertical="bottom" textRotation="0" wrapText="false" indent="0" shrinkToFit="false"/>
      <protection locked="true" hidden="false"/>
    </xf>
    <xf numFmtId="239" fontId="15" fillId="0" borderId="0" xfId="24" applyFont="true" applyBorder="true" applyAlignment="true" applyProtection="false">
      <alignment horizontal="general" vertical="bottom" textRotation="0" wrapText="false" indent="0" shrinkToFit="false"/>
      <protection locked="true" hidden="false"/>
    </xf>
    <xf numFmtId="240" fontId="15" fillId="0" borderId="0" xfId="24" applyFont="true" applyBorder="true" applyAlignment="true" applyProtection="false">
      <alignment horizontal="general" vertical="bottom" textRotation="0" wrapText="false" indent="0" shrinkToFit="false"/>
      <protection locked="true" hidden="false"/>
    </xf>
    <xf numFmtId="241" fontId="15" fillId="0" borderId="0" xfId="24" applyFont="true" applyBorder="true" applyAlignment="true" applyProtection="false">
      <alignment horizontal="general" vertical="bottom" textRotation="0" wrapText="false" indent="0" shrinkToFit="false"/>
      <protection locked="true" hidden="false"/>
    </xf>
    <xf numFmtId="242" fontId="15" fillId="0" borderId="0" xfId="24" applyFont="true" applyBorder="true" applyAlignment="true" applyProtection="false">
      <alignment horizontal="general" vertical="bottom" textRotation="0" wrapText="false" indent="0" shrinkToFit="false"/>
      <protection locked="true" hidden="false"/>
    </xf>
    <xf numFmtId="243" fontId="15" fillId="0" borderId="0" xfId="24" applyFont="true" applyBorder="true" applyAlignment="true" applyProtection="false">
      <alignment horizontal="general" vertical="bottom" textRotation="0" wrapText="false" indent="0" shrinkToFit="false"/>
      <protection locked="true" hidden="false"/>
    </xf>
    <xf numFmtId="244" fontId="15" fillId="0" borderId="0" xfId="24" applyFont="true" applyBorder="true" applyAlignment="true" applyProtection="false">
      <alignment horizontal="general" vertical="bottom" textRotation="0" wrapText="false" indent="0" shrinkToFit="false"/>
      <protection locked="true" hidden="false"/>
    </xf>
    <xf numFmtId="245" fontId="15" fillId="0" borderId="0" xfId="24" applyFont="true" applyBorder="true" applyAlignment="true" applyProtection="false">
      <alignment horizontal="general" vertical="bottom" textRotation="0" wrapText="false" indent="0" shrinkToFit="false"/>
      <protection locked="true" hidden="false"/>
    </xf>
    <xf numFmtId="246" fontId="15" fillId="0" borderId="0" xfId="24" applyFont="true" applyBorder="true" applyAlignment="true" applyProtection="false">
      <alignment horizontal="general" vertical="bottom" textRotation="0" wrapText="false" indent="0" shrinkToFit="false"/>
      <protection locked="true" hidden="false"/>
    </xf>
    <xf numFmtId="247" fontId="15" fillId="0" borderId="0" xfId="24" applyFont="true" applyBorder="true" applyAlignment="true" applyProtection="false">
      <alignment horizontal="general" vertical="bottom" textRotation="0" wrapText="false" indent="0" shrinkToFit="false"/>
      <protection locked="true" hidden="false"/>
    </xf>
    <xf numFmtId="248" fontId="15" fillId="0" borderId="0" xfId="24" applyFont="true" applyBorder="true" applyAlignment="true" applyProtection="false">
      <alignment horizontal="general" vertical="bottom" textRotation="0" wrapText="false" indent="0" shrinkToFit="false"/>
      <protection locked="true" hidden="false"/>
    </xf>
    <xf numFmtId="249" fontId="15" fillId="0" borderId="0" xfId="24" applyFont="true" applyBorder="true" applyAlignment="true" applyProtection="false">
      <alignment horizontal="general" vertical="bottom" textRotation="0" wrapText="false" indent="0" shrinkToFit="false"/>
      <protection locked="true" hidden="false"/>
    </xf>
    <xf numFmtId="250" fontId="15" fillId="0" borderId="0" xfId="24" applyFont="true" applyBorder="true" applyAlignment="true" applyProtection="false">
      <alignment horizontal="general" vertical="bottom" textRotation="0" wrapText="false" indent="0" shrinkToFit="false"/>
      <protection locked="true" hidden="false"/>
    </xf>
    <xf numFmtId="251" fontId="15" fillId="0" borderId="0" xfId="24" applyFont="true" applyBorder="true" applyAlignment="true" applyProtection="false">
      <alignment horizontal="general" vertical="bottom" textRotation="0" wrapText="false" indent="0" shrinkToFit="false"/>
      <protection locked="true" hidden="false"/>
    </xf>
    <xf numFmtId="252" fontId="15" fillId="0" borderId="0" xfId="24" applyFont="true" applyBorder="true" applyAlignment="true" applyProtection="false">
      <alignment horizontal="general" vertical="bottom" textRotation="0" wrapText="false" indent="0" shrinkToFit="false"/>
      <protection locked="true" hidden="false"/>
    </xf>
    <xf numFmtId="253" fontId="15" fillId="0" borderId="0" xfId="24" applyFont="true" applyBorder="true" applyAlignment="true" applyProtection="false">
      <alignment horizontal="general" vertical="bottom" textRotation="0" wrapText="false" indent="0" shrinkToFit="false"/>
      <protection locked="true" hidden="false"/>
    </xf>
    <xf numFmtId="254" fontId="15" fillId="0" borderId="0" xfId="24" applyFont="true" applyBorder="true" applyAlignment="true" applyProtection="false">
      <alignment horizontal="general" vertical="bottom" textRotation="0" wrapText="false" indent="0" shrinkToFit="false"/>
      <protection locked="true" hidden="false"/>
    </xf>
    <xf numFmtId="255" fontId="15" fillId="0" borderId="0" xfId="24" applyFont="true" applyBorder="true" applyAlignment="true" applyProtection="false">
      <alignment horizontal="general" vertical="bottom" textRotation="0" wrapText="false" indent="0" shrinkToFit="false"/>
      <protection locked="true" hidden="false"/>
    </xf>
    <xf numFmtId="256" fontId="15" fillId="0" borderId="0" xfId="24" applyFont="true" applyBorder="true" applyAlignment="true" applyProtection="false">
      <alignment horizontal="general" vertical="bottom" textRotation="0" wrapText="false" indent="0" shrinkToFit="false"/>
      <protection locked="true" hidden="false"/>
    </xf>
    <xf numFmtId="257" fontId="15" fillId="0" borderId="0" xfId="24" applyFont="true" applyBorder="true" applyAlignment="true" applyProtection="false">
      <alignment horizontal="general" vertical="bottom" textRotation="0" wrapText="false" indent="0" shrinkToFit="false"/>
      <protection locked="true" hidden="false"/>
    </xf>
    <xf numFmtId="258" fontId="15" fillId="0" borderId="0" xfId="24" applyFont="true" applyBorder="true" applyAlignment="true" applyProtection="false">
      <alignment horizontal="general" vertical="bottom" textRotation="0" wrapText="false" indent="0" shrinkToFit="false"/>
      <protection locked="true" hidden="false"/>
    </xf>
    <xf numFmtId="177" fontId="15" fillId="0" borderId="0" xfId="24" applyFont="true" applyBorder="true" applyAlignment="true" applyProtection="false">
      <alignment horizontal="general" vertical="bottom" textRotation="0" wrapText="false" indent="0" shrinkToFit="false"/>
      <protection locked="true" hidden="false"/>
    </xf>
    <xf numFmtId="178" fontId="15" fillId="0" borderId="0" xfId="24" applyFont="true" applyBorder="true" applyAlignment="true" applyProtection="false">
      <alignment horizontal="general" vertical="bottom" textRotation="0" wrapText="false" indent="0" shrinkToFit="false"/>
      <protection locked="true" hidden="false"/>
    </xf>
    <xf numFmtId="164" fontId="32" fillId="0" borderId="0" xfId="24" applyFont="true" applyBorder="true" applyAlignment="true" applyProtection="false">
      <alignment horizontal="general" vertical="bottom" textRotation="0" wrapText="false" indent="0" shrinkToFit="false"/>
      <protection locked="true" hidden="false"/>
    </xf>
    <xf numFmtId="170" fontId="16" fillId="0" borderId="0" xfId="24" applyFont="true" applyBorder="true" applyAlignment="true" applyProtection="false">
      <alignment horizontal="general" vertical="bottom" textRotation="0" wrapText="false" indent="0" shrinkToFit="false"/>
      <protection locked="true" hidden="false"/>
    </xf>
    <xf numFmtId="170" fontId="15" fillId="0" borderId="0" xfId="24" applyFont="true" applyBorder="true" applyAlignment="true" applyProtection="false">
      <alignment horizontal="general" vertical="bottom" textRotation="0" wrapText="false" indent="0" shrinkToFit="false"/>
      <protection locked="true" hidden="false"/>
    </xf>
    <xf numFmtId="164" fontId="46" fillId="0" borderId="0" xfId="24" applyFont="true" applyBorder="true" applyAlignment="true" applyProtection="false">
      <alignment horizontal="general" vertical="bottom" textRotation="0" wrapText="false" indent="0" shrinkToFit="false"/>
      <protection locked="true" hidden="false"/>
    </xf>
    <xf numFmtId="170" fontId="47" fillId="0" borderId="0" xfId="24" applyFont="true" applyBorder="true" applyAlignment="true" applyProtection="false">
      <alignment horizontal="general" vertical="bottom" textRotation="0" wrapText="false" indent="0" shrinkToFit="false"/>
      <protection locked="true" hidden="false"/>
    </xf>
    <xf numFmtId="164" fontId="32" fillId="0" borderId="0" xfId="24" applyFont="true" applyBorder="true" applyAlignment="true" applyProtection="false">
      <alignment horizontal="general" vertical="bottom" textRotation="0" wrapText="true" indent="0" shrinkToFit="false"/>
      <protection locked="true" hidden="false"/>
    </xf>
    <xf numFmtId="164" fontId="46" fillId="0" borderId="0" xfId="24" applyFont="true" applyBorder="true" applyAlignment="true" applyProtection="false">
      <alignment horizontal="general" vertical="bottom" textRotation="0" wrapText="true" indent="0" shrinkToFit="false"/>
      <protection locked="true" hidden="false"/>
    </xf>
    <xf numFmtId="179" fontId="15" fillId="0" borderId="0" xfId="24" applyFont="true" applyBorder="true" applyAlignment="true" applyProtection="false">
      <alignment horizontal="general" vertical="bottom" textRotation="0" wrapText="false" indent="0" shrinkToFit="false"/>
      <protection locked="true" hidden="false"/>
    </xf>
    <xf numFmtId="179" fontId="16" fillId="0" borderId="0" xfId="24" applyFont="true" applyBorder="true" applyAlignment="true" applyProtection="false">
      <alignment horizontal="general" vertical="bottom" textRotation="0" wrapText="false" indent="0" shrinkToFit="false"/>
      <protection locked="true" hidden="false"/>
    </xf>
    <xf numFmtId="164" fontId="16" fillId="0" borderId="0" xfId="24" applyFont="true" applyBorder="true" applyAlignment="true" applyProtection="false">
      <alignment horizontal="general" vertical="bottom" textRotation="0" wrapText="false" indent="0" shrinkToFit="false"/>
      <protection locked="true" hidden="false"/>
    </xf>
    <xf numFmtId="178" fontId="16" fillId="0" borderId="0" xfId="24" applyFont="true" applyBorder="true" applyAlignment="true" applyProtection="false">
      <alignment horizontal="general" vertical="bottom" textRotation="0" wrapText="false" indent="0" shrinkToFit="false"/>
      <protection locked="true" hidden="false"/>
    </xf>
    <xf numFmtId="260" fontId="4" fillId="0" borderId="0" xfId="24" applyFont="true" applyBorder="true" applyAlignment="true" applyProtection="false">
      <alignment horizontal="general" vertical="bottom" textRotation="0" wrapText="false" indent="0" shrinkToFit="false"/>
      <protection locked="true" hidden="false"/>
    </xf>
    <xf numFmtId="164" fontId="26" fillId="2" borderId="0" xfId="24" applyFont="true" applyBorder="true" applyAlignment="true" applyProtection="false">
      <alignment horizontal="center" vertical="center" textRotation="0" wrapText="false" indent="0" shrinkToFit="false"/>
      <protection locked="true" hidden="false"/>
    </xf>
    <xf numFmtId="164" fontId="12" fillId="3" borderId="1" xfId="24" applyFont="true" applyBorder="true" applyAlignment="true" applyProtection="false">
      <alignment horizontal="center" vertical="center" textRotation="0" wrapText="false" indent="0" shrinkToFit="false"/>
      <protection locked="true" hidden="false"/>
    </xf>
    <xf numFmtId="164" fontId="26" fillId="4" borderId="0" xfId="24" applyFont="true" applyBorder="true" applyAlignment="true" applyProtection="false">
      <alignment horizontal="left" vertical="bottom" textRotation="0" wrapText="false" indent="0" shrinkToFit="false"/>
      <protection locked="true" hidden="false"/>
    </xf>
    <xf numFmtId="164" fontId="4" fillId="5" borderId="2" xfId="24" applyFont="true" applyBorder="true" applyAlignment="true" applyProtection="false">
      <alignment horizontal="general" vertical="center" textRotation="0" wrapText="false" indent="0" shrinkToFit="false"/>
      <protection locked="true" hidden="false"/>
    </xf>
    <xf numFmtId="170" fontId="4" fillId="5" borderId="2" xfId="24" applyFont="true" applyBorder="true" applyAlignment="true" applyProtection="false">
      <alignment horizontal="general" vertical="center" textRotation="0" wrapText="false" indent="0" shrinkToFit="false"/>
      <protection locked="true" hidden="false"/>
    </xf>
    <xf numFmtId="182" fontId="4" fillId="5" borderId="2" xfId="24" applyFont="true" applyBorder="true" applyAlignment="true" applyProtection="false">
      <alignment horizontal="general" vertical="center" textRotation="0" wrapText="false" indent="0" shrinkToFit="false"/>
      <protection locked="true" hidden="false"/>
    </xf>
    <xf numFmtId="164" fontId="4" fillId="0" borderId="2" xfId="24" applyFont="true" applyBorder="true" applyAlignment="true" applyProtection="false">
      <alignment horizontal="general" vertical="center" textRotation="0" wrapText="false" indent="0" shrinkToFit="false"/>
      <protection locked="true" hidden="false"/>
    </xf>
    <xf numFmtId="170" fontId="4" fillId="0" borderId="2" xfId="24" applyFont="true" applyBorder="true" applyAlignment="true" applyProtection="false">
      <alignment horizontal="general" vertical="center" textRotation="0" wrapText="false" indent="0" shrinkToFit="false"/>
      <protection locked="true" hidden="false"/>
    </xf>
    <xf numFmtId="164" fontId="26" fillId="4" borderId="2" xfId="24" applyFont="true" applyBorder="true" applyAlignment="true" applyProtection="false">
      <alignment horizontal="left" vertical="center" textRotation="0" wrapText="false" indent="0" shrinkToFit="false"/>
      <protection locked="true" hidden="false"/>
    </xf>
    <xf numFmtId="178" fontId="4" fillId="5" borderId="2" xfId="24" applyFont="true" applyBorder="true" applyAlignment="true" applyProtection="false">
      <alignment horizontal="general" vertical="center" textRotation="0" wrapText="false" indent="0" shrinkToFit="false"/>
      <protection locked="true" hidden="false"/>
    </xf>
    <xf numFmtId="181" fontId="4" fillId="5" borderId="2" xfId="24" applyFont="true" applyBorder="true" applyAlignment="true" applyProtection="false">
      <alignment horizontal="general" vertical="center" textRotation="0" wrapText="false" indent="0" shrinkToFit="false"/>
      <protection locked="true" hidden="false"/>
    </xf>
    <xf numFmtId="164" fontId="27" fillId="5" borderId="2" xfId="24" applyFont="true" applyBorder="true" applyAlignment="true" applyProtection="false">
      <alignment horizontal="general" vertical="center" textRotation="0" wrapText="false" indent="0" shrinkToFit="false"/>
      <protection locked="true" hidden="false"/>
    </xf>
    <xf numFmtId="170" fontId="27" fillId="5" borderId="2" xfId="24" applyFont="true" applyBorder="true" applyAlignment="true" applyProtection="false">
      <alignment horizontal="general" vertical="center" textRotation="0" wrapText="false" indent="0" shrinkToFit="false"/>
      <protection locked="true" hidden="false"/>
    </xf>
    <xf numFmtId="170" fontId="48" fillId="5" borderId="2" xfId="24" applyFont="true" applyBorder="true" applyAlignment="true" applyProtection="false">
      <alignment horizontal="general" vertical="center" textRotation="0" wrapText="false" indent="0" shrinkToFit="false"/>
      <protection locked="true" hidden="false"/>
    </xf>
    <xf numFmtId="170" fontId="27" fillId="0" borderId="0" xfId="24" applyFont="true" applyBorder="true" applyAlignment="true" applyProtection="false">
      <alignment horizontal="general" vertical="bottom" textRotation="0" wrapText="false" indent="0" shrinkToFit="false"/>
      <protection locked="true" hidden="false"/>
    </xf>
    <xf numFmtId="164" fontId="49" fillId="10" borderId="0" xfId="24" applyFont="true" applyBorder="true" applyAlignment="true" applyProtection="false">
      <alignment horizontal="general" vertical="bottom" textRotation="0" wrapText="true" indent="0" shrinkToFit="false"/>
      <protection locked="true" hidden="false"/>
    </xf>
    <xf numFmtId="164" fontId="12" fillId="3" borderId="1" xfId="24" applyFont="true" applyBorder="true" applyAlignment="true" applyProtection="false">
      <alignment horizontal="center" vertical="bottom" textRotation="0" wrapText="false" indent="0" shrinkToFit="false"/>
      <protection locked="true" hidden="false"/>
    </xf>
    <xf numFmtId="261" fontId="4" fillId="5" borderId="2" xfId="24" applyFont="true" applyBorder="true" applyAlignment="true" applyProtection="false">
      <alignment horizontal="general" vertical="center" textRotation="0" wrapText="false" indent="0" shrinkToFit="false"/>
      <protection locked="true" hidden="false"/>
    </xf>
    <xf numFmtId="179" fontId="4" fillId="5" borderId="2" xfId="24" applyFont="true" applyBorder="true" applyAlignment="true" applyProtection="false">
      <alignment horizontal="general" vertical="center" textRotation="0" wrapText="false" indent="0" shrinkToFit="false"/>
      <protection locked="true" hidden="false"/>
    </xf>
    <xf numFmtId="164" fontId="12" fillId="3" borderId="2" xfId="24" applyFont="true" applyBorder="true" applyAlignment="true" applyProtection="false">
      <alignment horizontal="general" vertical="center" textRotation="0" wrapText="true" indent="0" shrinkToFit="false"/>
      <protection locked="true" hidden="false"/>
    </xf>
    <xf numFmtId="170" fontId="12" fillId="3" borderId="2" xfId="24" applyFont="true" applyBorder="true" applyAlignment="true" applyProtection="false">
      <alignment horizontal="general" vertical="center" textRotation="0" wrapText="true" indent="0" shrinkToFit="false"/>
      <protection locked="true" hidden="false"/>
    </xf>
    <xf numFmtId="164" fontId="4" fillId="5" borderId="2" xfId="24" applyFont="true" applyBorder="true" applyAlignment="true" applyProtection="false">
      <alignment horizontal="general" vertical="center" textRotation="0" wrapText="true" indent="0" shrinkToFit="false"/>
      <protection locked="true" hidden="false"/>
    </xf>
    <xf numFmtId="170" fontId="4" fillId="5" borderId="2" xfId="24" applyFont="true" applyBorder="true" applyAlignment="true" applyProtection="false">
      <alignment horizontal="general" vertical="center" textRotation="0" wrapText="true" indent="0" shrinkToFit="false"/>
      <protection locked="true" hidden="false"/>
    </xf>
    <xf numFmtId="183" fontId="4" fillId="5" borderId="2" xfId="24" applyFont="true" applyBorder="true" applyAlignment="true" applyProtection="false">
      <alignment horizontal="general" vertical="center" textRotation="0" wrapText="false" indent="0" shrinkToFit="false"/>
      <protection locked="true" hidden="false"/>
    </xf>
    <xf numFmtId="164" fontId="12" fillId="3" borderId="2" xfId="24" applyFont="true" applyBorder="true" applyAlignment="true" applyProtection="false">
      <alignment horizontal="general" vertical="center" textRotation="0" wrapText="false" indent="0" shrinkToFit="false"/>
      <protection locked="true" hidden="false"/>
    </xf>
    <xf numFmtId="178" fontId="4" fillId="0" borderId="2" xfId="24" applyFont="true" applyBorder="true" applyAlignment="true" applyProtection="false">
      <alignment horizontal="general" vertical="center" textRotation="0" wrapText="false" indent="0" shrinkToFit="false"/>
      <protection locked="true" hidden="false"/>
    </xf>
    <xf numFmtId="164" fontId="12" fillId="3" borderId="2" xfId="24" applyFont="true" applyBorder="true" applyAlignment="true" applyProtection="false">
      <alignment horizontal="center" vertical="center" textRotation="0" wrapText="false" indent="0" shrinkToFit="false"/>
      <protection locked="true" hidden="false"/>
    </xf>
    <xf numFmtId="164" fontId="26" fillId="2" borderId="0" xfId="24" applyFont="true" applyBorder="true" applyAlignment="true" applyProtection="false">
      <alignment horizontal="center" vertical="center" textRotation="0" wrapText="true" indent="0" shrinkToFit="false"/>
      <protection locked="true" hidden="false"/>
    </xf>
    <xf numFmtId="164" fontId="48" fillId="10" borderId="0" xfId="24" applyFont="true" applyBorder="true" applyAlignment="true" applyProtection="false">
      <alignment horizontal="general" vertical="bottom" textRotation="0" wrapText="true" indent="0" shrinkToFit="false"/>
      <protection locked="true" hidden="false"/>
    </xf>
    <xf numFmtId="164" fontId="16" fillId="3" borderId="2" xfId="24" applyFont="true" applyBorder="true" applyAlignment="true" applyProtection="false">
      <alignment horizontal="general" vertical="center" textRotation="0" wrapText="true" indent="0" shrinkToFit="false"/>
      <protection locked="true" hidden="false"/>
    </xf>
    <xf numFmtId="164" fontId="15" fillId="0" borderId="2" xfId="24" applyFont="true" applyBorder="true" applyAlignment="true" applyProtection="false">
      <alignment horizontal="general" vertical="center" textRotation="0" wrapText="true" indent="0" shrinkToFit="false"/>
      <protection locked="true" hidden="false"/>
    </xf>
    <xf numFmtId="164" fontId="30" fillId="0" borderId="2" xfId="24" applyFont="true" applyBorder="true" applyAlignment="true" applyProtection="false">
      <alignment horizontal="general" vertical="center" textRotation="0" wrapText="true" indent="0" shrinkToFit="false"/>
      <protection locked="true" hidden="false"/>
    </xf>
    <xf numFmtId="164" fontId="12" fillId="3" borderId="1" xfId="24" applyFont="true" applyBorder="true" applyAlignment="true" applyProtection="false">
      <alignment horizontal="center" vertical="center" textRotation="0" wrapText="true" indent="0" shrinkToFit="false"/>
      <protection locked="true" hidden="false"/>
    </xf>
    <xf numFmtId="164" fontId="26" fillId="4" borderId="0" xfId="24" applyFont="true" applyBorder="true" applyAlignment="true" applyProtection="false">
      <alignment horizontal="left" vertical="bottom" textRotation="0" wrapText="true" indent="0" shrinkToFit="false"/>
      <protection locked="true" hidden="false"/>
    </xf>
    <xf numFmtId="164" fontId="27" fillId="5" borderId="2" xfId="24" applyFont="true" applyBorder="true" applyAlignment="true" applyProtection="false">
      <alignment horizontal="general" vertical="center" textRotation="0" wrapText="true" indent="0" shrinkToFit="false"/>
      <protection locked="true" hidden="false"/>
    </xf>
    <xf numFmtId="170" fontId="27" fillId="5" borderId="2" xfId="24" applyFont="true" applyBorder="true" applyAlignment="true" applyProtection="false">
      <alignment horizontal="general" vertical="center" textRotation="0" wrapText="true" indent="0" shrinkToFit="false"/>
      <protection locked="true" hidden="false"/>
    </xf>
    <xf numFmtId="178" fontId="4" fillId="5" borderId="2" xfId="24" applyFont="true" applyBorder="true" applyAlignment="true" applyProtection="false">
      <alignment horizontal="general" vertical="center" textRotation="0" wrapText="true" indent="0" shrinkToFit="false"/>
      <protection locked="true" hidden="false"/>
    </xf>
    <xf numFmtId="262" fontId="4" fillId="5" borderId="2" xfId="24" applyFont="true" applyBorder="true" applyAlignment="true" applyProtection="false">
      <alignment horizontal="general" vertical="center" textRotation="0" wrapText="true" indent="0" shrinkToFit="false"/>
      <protection locked="true" hidden="false"/>
    </xf>
    <xf numFmtId="164" fontId="4" fillId="0" borderId="2" xfId="24" applyFont="true" applyBorder="true" applyAlignment="true" applyProtection="false">
      <alignment horizontal="general" vertical="center" textRotation="0" wrapText="true" indent="0" shrinkToFit="false"/>
      <protection locked="true" hidden="false"/>
    </xf>
    <xf numFmtId="170" fontId="4" fillId="0" borderId="2" xfId="24" applyFont="true" applyBorder="true" applyAlignment="true" applyProtection="false">
      <alignment horizontal="general" vertical="center" textRotation="0" wrapText="true" indent="0" shrinkToFit="false"/>
      <protection locked="true" hidden="false"/>
    </xf>
    <xf numFmtId="164" fontId="26" fillId="4" borderId="2" xfId="24" applyFont="true" applyBorder="true" applyAlignment="true" applyProtection="false">
      <alignment horizontal="left" vertical="center" textRotation="0" wrapText="true" indent="0" shrinkToFit="false"/>
      <protection locked="true" hidden="false"/>
    </xf>
    <xf numFmtId="194" fontId="4" fillId="5" borderId="2" xfId="24" applyFont="true" applyBorder="true" applyAlignment="true" applyProtection="false">
      <alignment horizontal="general" vertical="center" textRotation="0" wrapText="false" indent="0" shrinkToFit="false"/>
      <protection locked="true" hidden="false"/>
    </xf>
    <xf numFmtId="195" fontId="4" fillId="5" borderId="2" xfId="24" applyFont="true" applyBorder="true" applyAlignment="true" applyProtection="false">
      <alignment horizontal="general" vertical="center" textRotation="0" wrapText="false" indent="0" shrinkToFit="false"/>
      <protection locked="true" hidden="false"/>
    </xf>
    <xf numFmtId="196" fontId="4" fillId="5" borderId="2" xfId="24" applyFont="true" applyBorder="true" applyAlignment="true" applyProtection="false">
      <alignment horizontal="general" vertical="center" textRotation="0" wrapText="false" indent="0" shrinkToFit="false"/>
      <protection locked="true" hidden="false"/>
    </xf>
    <xf numFmtId="197" fontId="4" fillId="5" borderId="2" xfId="24" applyFont="true" applyBorder="true" applyAlignment="true" applyProtection="false">
      <alignment horizontal="general" vertical="center" textRotation="0" wrapText="false" indent="0" shrinkToFit="false"/>
      <protection locked="true" hidden="false"/>
    </xf>
    <xf numFmtId="198" fontId="4" fillId="5" borderId="2" xfId="24" applyFont="true" applyBorder="true" applyAlignment="true" applyProtection="false">
      <alignment horizontal="general" vertical="center" textRotation="0" wrapText="false" indent="0" shrinkToFit="false"/>
      <protection locked="true" hidden="false"/>
    </xf>
    <xf numFmtId="199" fontId="4" fillId="5" borderId="2" xfId="24" applyFont="true" applyBorder="true" applyAlignment="true" applyProtection="false">
      <alignment horizontal="general" vertical="center" textRotation="0" wrapText="false" indent="0" shrinkToFit="false"/>
      <protection locked="true" hidden="false"/>
    </xf>
    <xf numFmtId="200" fontId="4" fillId="5" borderId="2" xfId="24" applyFont="true" applyBorder="true" applyAlignment="true" applyProtection="false">
      <alignment horizontal="general" vertical="center" textRotation="0" wrapText="false" indent="0" shrinkToFit="false"/>
      <protection locked="true" hidden="false"/>
    </xf>
    <xf numFmtId="201" fontId="4" fillId="5" borderId="2" xfId="24" applyFont="true" applyBorder="true" applyAlignment="true" applyProtection="false">
      <alignment horizontal="general" vertical="center" textRotation="0" wrapText="false" indent="0" shrinkToFit="false"/>
      <protection locked="true" hidden="false"/>
    </xf>
    <xf numFmtId="202" fontId="4" fillId="5" borderId="2" xfId="24" applyFont="true" applyBorder="true" applyAlignment="true" applyProtection="false">
      <alignment horizontal="general" vertical="center" textRotation="0" wrapText="false" indent="0" shrinkToFit="false"/>
      <protection locked="true" hidden="false"/>
    </xf>
    <xf numFmtId="203" fontId="4" fillId="5" borderId="2" xfId="24" applyFont="true" applyBorder="true" applyAlignment="true" applyProtection="false">
      <alignment horizontal="general" vertical="center" textRotation="0" wrapText="false" indent="0" shrinkToFit="false"/>
      <protection locked="true" hidden="false"/>
    </xf>
    <xf numFmtId="204" fontId="4" fillId="5" borderId="2" xfId="24" applyFont="true" applyBorder="true" applyAlignment="true" applyProtection="false">
      <alignment horizontal="general" vertical="center" textRotation="0" wrapText="false" indent="0" shrinkToFit="false"/>
      <protection locked="true" hidden="false"/>
    </xf>
    <xf numFmtId="205" fontId="4" fillId="5" borderId="2" xfId="24" applyFont="true" applyBorder="true" applyAlignment="true" applyProtection="false">
      <alignment horizontal="general" vertical="center" textRotation="0" wrapText="false" indent="0" shrinkToFit="false"/>
      <protection locked="true" hidden="false"/>
    </xf>
    <xf numFmtId="169" fontId="4" fillId="5" borderId="2" xfId="24" applyFont="true" applyBorder="true" applyAlignment="true" applyProtection="false">
      <alignment horizontal="general" vertical="center" textRotation="0" wrapText="false" indent="0" shrinkToFit="false"/>
      <protection locked="true" hidden="false"/>
    </xf>
    <xf numFmtId="164" fontId="21" fillId="4" borderId="0" xfId="24" applyFont="true" applyBorder="true" applyAlignment="true" applyProtection="false">
      <alignment horizontal="left" vertical="top" textRotation="0" wrapText="true" indent="0" shrinkToFit="false"/>
      <protection locked="true" hidden="false"/>
    </xf>
    <xf numFmtId="182" fontId="4" fillId="5" borderId="2" xfId="24" applyFont="true" applyBorder="true" applyAlignment="true" applyProtection="false">
      <alignment horizontal="general" vertical="top" textRotation="0" wrapText="true" indent="0" shrinkToFit="false"/>
      <protection locked="true" hidden="false"/>
    </xf>
    <xf numFmtId="164" fontId="4" fillId="5" borderId="2" xfId="24" applyFont="true" applyBorder="true" applyAlignment="true" applyProtection="false">
      <alignment horizontal="general" vertical="top" textRotation="0" wrapText="true" indent="0" shrinkToFit="false"/>
      <protection locked="true" hidden="false"/>
    </xf>
    <xf numFmtId="164" fontId="24" fillId="5" borderId="2" xfId="24" applyFont="true" applyBorder="true" applyAlignment="true" applyProtection="false">
      <alignment horizontal="general" vertical="top" textRotation="0" wrapText="true" indent="0" shrinkToFit="false"/>
      <protection locked="true" hidden="false"/>
    </xf>
    <xf numFmtId="164" fontId="4" fillId="0" borderId="0" xfId="24" applyFont="true" applyBorder="true" applyAlignment="true" applyProtection="false">
      <alignment horizontal="general" vertical="top" textRotation="0" wrapText="true" indent="0" shrinkToFit="false"/>
      <protection locked="true" hidden="false"/>
    </xf>
    <xf numFmtId="164" fontId="50" fillId="7" borderId="2" xfId="24" applyFont="true" applyBorder="true" applyAlignment="true" applyProtection="false">
      <alignment horizontal="general" vertical="top" textRotation="0" wrapText="true" indent="0" shrinkToFit="false"/>
      <protection locked="true" hidden="false"/>
    </xf>
    <xf numFmtId="164" fontId="24" fillId="5" borderId="2" xfId="24" applyFont="true" applyBorder="true" applyAlignment="true" applyProtection="false">
      <alignment horizontal="general" vertical="center" textRotation="0" wrapText="true" indent="0" shrinkToFit="false"/>
      <protection locked="true" hidden="false"/>
    </xf>
    <xf numFmtId="164" fontId="15" fillId="0" borderId="0" xfId="24" applyFont="true" applyBorder="true" applyAlignment="true" applyProtection="false">
      <alignment horizontal="right" vertical="bottom" textRotation="0" wrapText="false" indent="0" shrinkToFit="false"/>
      <protection locked="true" hidden="false"/>
    </xf>
    <xf numFmtId="164" fontId="12" fillId="3" borderId="1" xfId="24" applyFont="true" applyBorder="true" applyAlignment="true" applyProtection="false">
      <alignment horizontal="right" vertical="center" textRotation="0" wrapText="false" indent="0" shrinkToFit="false"/>
      <protection locked="true" hidden="false"/>
    </xf>
    <xf numFmtId="164" fontId="21" fillId="4" borderId="0" xfId="24" applyFont="true" applyBorder="true" applyAlignment="true" applyProtection="false">
      <alignment horizontal="right" vertical="center" textRotation="0" wrapText="false" indent="0" shrinkToFit="false"/>
      <protection locked="true" hidden="false"/>
    </xf>
    <xf numFmtId="164" fontId="4" fillId="5" borderId="2" xfId="24" applyFont="true" applyBorder="true" applyAlignment="true" applyProtection="false">
      <alignment horizontal="right" vertical="center" textRotation="0" wrapText="false" indent="0" shrinkToFit="false"/>
      <protection locked="true" hidden="false"/>
    </xf>
    <xf numFmtId="164" fontId="33" fillId="4" borderId="0" xfId="24" applyFont="true" applyBorder="true" applyAlignment="true" applyProtection="false">
      <alignment horizontal="right" vertical="center" textRotation="0" wrapText="false" indent="0" shrinkToFit="false"/>
      <protection locked="true" hidden="false"/>
    </xf>
    <xf numFmtId="164" fontId="51" fillId="5" borderId="2" xfId="24" applyFont="true" applyBorder="true" applyAlignment="true" applyProtection="false">
      <alignment horizontal="general" vertical="center" textRotation="0" wrapText="false" indent="0" shrinkToFit="false"/>
      <protection locked="true" hidden="false"/>
    </xf>
    <xf numFmtId="164" fontId="30" fillId="5" borderId="2" xfId="24" applyFont="true" applyBorder="true" applyAlignment="true" applyProtection="false">
      <alignment horizontal="right" vertical="center" textRotation="0" wrapText="false" indent="0" shrinkToFit="false"/>
      <protection locked="true" hidden="false"/>
    </xf>
    <xf numFmtId="164" fontId="15" fillId="5" borderId="2" xfId="24" applyFont="true" applyBorder="true" applyAlignment="true" applyProtection="false">
      <alignment horizontal="right" vertical="center" textRotation="0" wrapText="false" indent="0" shrinkToFit="false"/>
      <protection locked="true" hidden="false"/>
    </xf>
    <xf numFmtId="164" fontId="52" fillId="5" borderId="2" xfId="24" applyFont="true" applyBorder="true" applyAlignment="true" applyProtection="false">
      <alignment horizontal="general" vertical="center" textRotation="0" wrapText="false" indent="0" shrinkToFit="false"/>
      <protection locked="true" hidden="false"/>
    </xf>
    <xf numFmtId="164" fontId="53" fillId="0" borderId="0" xfId="24" applyFont="true" applyBorder="true" applyAlignment="true" applyProtection="false">
      <alignment horizontal="general" vertical="bottom" textRotation="0" wrapText="false" indent="0" shrinkToFit="false"/>
      <protection locked="true" hidden="false"/>
    </xf>
    <xf numFmtId="164" fontId="14" fillId="3" borderId="8" xfId="24" applyFont="true" applyBorder="true" applyAlignment="true" applyProtection="false">
      <alignment horizontal="center" vertical="top" textRotation="0" wrapText="true" indent="0" shrinkToFit="false"/>
      <protection locked="true" hidden="false"/>
    </xf>
    <xf numFmtId="164" fontId="4" fillId="0" borderId="8" xfId="24" applyFont="true" applyBorder="true" applyAlignment="true" applyProtection="false">
      <alignment horizontal="general" vertical="top" textRotation="0" wrapText="true" indent="0" shrinkToFit="false"/>
      <protection locked="true" hidden="false"/>
    </xf>
    <xf numFmtId="164" fontId="4" fillId="0" borderId="8" xfId="24" applyFont="true" applyBorder="true" applyAlignment="true" applyProtection="false">
      <alignment horizontal="center" vertical="top" textRotation="0" wrapText="true" indent="0" shrinkToFit="false"/>
      <protection locked="true" hidden="false"/>
    </xf>
    <xf numFmtId="164" fontId="54" fillId="11" borderId="0" xfId="24" applyFont="true" applyBorder="true" applyAlignment="true" applyProtection="false">
      <alignment horizontal="center" vertical="center" textRotation="0" wrapText="false" indent="0" shrinkToFit="false"/>
      <protection locked="true" hidden="false"/>
    </xf>
    <xf numFmtId="164" fontId="4" fillId="0" borderId="0" xfId="24" applyFont="true" applyBorder="true" applyAlignment="true" applyProtection="false">
      <alignment horizontal="general" vertical="center" textRotation="0" wrapText="false" indent="0" shrinkToFit="false"/>
      <protection locked="true" hidden="false"/>
    </xf>
    <xf numFmtId="164" fontId="55" fillId="3" borderId="1" xfId="24" applyFont="true" applyBorder="true" applyAlignment="true" applyProtection="false">
      <alignment horizontal="general" vertical="center" textRotation="0" wrapText="false" indent="0" shrinkToFit="false"/>
      <protection locked="true" hidden="false"/>
    </xf>
    <xf numFmtId="263" fontId="4" fillId="5" borderId="2" xfId="24" applyFont="true" applyBorder="true" applyAlignment="true" applyProtection="false">
      <alignment horizontal="general" vertical="center" textRotation="0" wrapText="false" indent="0" shrinkToFit="false"/>
      <protection locked="true" hidden="false"/>
    </xf>
    <xf numFmtId="164" fontId="26" fillId="11" borderId="0" xfId="24" applyFont="true" applyBorder="true" applyAlignment="true" applyProtection="false">
      <alignment horizontal="general" vertical="center" textRotation="0" wrapText="false" indent="0" shrinkToFit="false"/>
      <protection locked="true" hidden="false"/>
    </xf>
    <xf numFmtId="164" fontId="56" fillId="7" borderId="0" xfId="24" applyFont="true" applyBorder="true" applyAlignment="true" applyProtection="false">
      <alignment horizontal="general" vertical="center" textRotation="0" wrapText="true" indent="0" shrinkToFit="false"/>
      <protection locked="true" hidden="false"/>
    </xf>
    <xf numFmtId="164" fontId="22" fillId="0" borderId="2" xfId="24" applyFont="true" applyBorder="true" applyAlignment="true" applyProtection="false">
      <alignment horizontal="general" vertical="center" textRotation="0" wrapText="true" indent="0" shrinkToFit="false"/>
      <protection locked="true" hidden="false"/>
    </xf>
    <xf numFmtId="164" fontId="57" fillId="0" borderId="0" xfId="24" applyFont="true" applyBorder="true" applyAlignment="true" applyProtection="false">
      <alignment horizontal="general" vertical="bottom" textRotation="0" wrapText="true" indent="0" shrinkToFit="false"/>
      <protection locked="true" hidden="false"/>
    </xf>
    <xf numFmtId="164" fontId="56" fillId="7" borderId="0" xfId="24" applyFont="true" applyBorder="true" applyAlignment="true" applyProtection="false">
      <alignment horizontal="center" vertical="center" textRotation="0" wrapText="true" indent="0" shrinkToFit="false"/>
      <protection locked="true" hidden="false"/>
    </xf>
    <xf numFmtId="164" fontId="50" fillId="7" borderId="0" xfId="24" applyFont="true" applyBorder="true" applyAlignment="true" applyProtection="false">
      <alignment horizontal="center" vertical="center" textRotation="0" wrapText="true" indent="0" shrinkToFit="false"/>
      <protection locked="true" hidden="false"/>
    </xf>
    <xf numFmtId="164" fontId="4" fillId="0" borderId="0" xfId="24" applyFont="true" applyBorder="true" applyAlignment="true" applyProtection="false">
      <alignment horizontal="center" vertical="center" textRotation="0" wrapText="true" indent="0" shrinkToFit="false"/>
      <protection locked="true" hidden="false"/>
    </xf>
    <xf numFmtId="164" fontId="4" fillId="0" borderId="0" xfId="24" applyFont="true" applyBorder="true" applyAlignment="true" applyProtection="false">
      <alignment horizontal="general" vertical="center" textRotation="0" wrapText="true" indent="0" shrinkToFit="false"/>
      <protection locked="true" hidden="false"/>
    </xf>
    <xf numFmtId="164" fontId="50" fillId="7" borderId="0" xfId="24" applyFont="true" applyBorder="true" applyAlignment="true" applyProtection="false">
      <alignment horizontal="general"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Percent" xfId="2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0563C1"/>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8" min="1" style="1" width="15"/>
    <col collapsed="false" customWidth="true" hidden="false" outlineLevel="0" max="26" min="9" style="1" width="14"/>
  </cols>
  <sheetData>
    <row r="1" customFormat="false" ht="33.75" hidden="false" customHeight="true" outlineLevel="0" collapsed="false">
      <c r="A1" s="2" t="s">
        <v>0</v>
      </c>
      <c r="B1" s="2"/>
      <c r="C1" s="2"/>
      <c r="D1" s="2"/>
      <c r="E1" s="2"/>
      <c r="F1" s="2"/>
      <c r="G1" s="2"/>
      <c r="H1" s="2"/>
    </row>
    <row r="2" customFormat="false" ht="33.75" hidden="false" customHeight="true" outlineLevel="0" collapsed="false">
      <c r="A2" s="2"/>
      <c r="B2" s="2"/>
      <c r="C2" s="2"/>
      <c r="D2" s="2"/>
      <c r="E2" s="2"/>
      <c r="F2" s="2"/>
      <c r="G2" s="2"/>
      <c r="H2" s="2"/>
    </row>
    <row r="4" customFormat="false" ht="33.75" hidden="false" customHeight="true" outlineLevel="0" collapsed="false">
      <c r="A4" s="3" t="s">
        <v>1</v>
      </c>
      <c r="B4" s="3"/>
      <c r="C4" s="3"/>
      <c r="D4" s="3"/>
      <c r="E4" s="3"/>
      <c r="F4" s="3"/>
      <c r="G4" s="3"/>
      <c r="H4" s="3"/>
    </row>
    <row r="5" customFormat="false" ht="33.75" hidden="false" customHeight="true" outlineLevel="0" collapsed="false">
      <c r="A5" s="3"/>
      <c r="B5" s="3"/>
      <c r="C5" s="3"/>
      <c r="D5" s="3"/>
      <c r="E5" s="3"/>
      <c r="F5" s="3"/>
      <c r="G5" s="3"/>
      <c r="H5" s="3"/>
    </row>
    <row r="6" customFormat="false" ht="42" hidden="false" customHeight="true" outlineLevel="0" collapsed="false"/>
    <row r="8" customFormat="false" ht="27.75" hidden="false" customHeight="true" outlineLevel="0" collapsed="false">
      <c r="B8" s="4" t="s">
        <v>2</v>
      </c>
      <c r="C8" s="4"/>
      <c r="D8" s="4"/>
      <c r="E8" s="4"/>
      <c r="F8" s="4"/>
      <c r="G8" s="4"/>
    </row>
    <row r="9" customFormat="false" ht="24" hidden="false" customHeight="true" outlineLevel="0" collapsed="false">
      <c r="B9" s="5" t="s">
        <v>3</v>
      </c>
      <c r="C9" s="5"/>
      <c r="D9" s="5"/>
      <c r="E9" s="5"/>
      <c r="F9" s="5"/>
      <c r="G9" s="5"/>
    </row>
    <row r="10" customFormat="false" ht="24" hidden="false" customHeight="true" outlineLevel="0" collapsed="false">
      <c r="B10" s="6" t="s">
        <v>4</v>
      </c>
      <c r="C10" s="6"/>
      <c r="D10" s="6"/>
      <c r="E10" s="6"/>
      <c r="F10" s="6"/>
      <c r="G10" s="6"/>
    </row>
    <row r="11" customFormat="false" ht="24" hidden="false" customHeight="true" outlineLevel="0" collapsed="false">
      <c r="B11" s="5" t="s">
        <v>5</v>
      </c>
      <c r="C11" s="5"/>
      <c r="D11" s="5"/>
      <c r="E11" s="5"/>
      <c r="F11" s="5"/>
      <c r="G11" s="5"/>
    </row>
    <row r="12" customFormat="false" ht="24" hidden="false" customHeight="true" outlineLevel="0" collapsed="false">
      <c r="B12" s="7" t="s">
        <v>6</v>
      </c>
      <c r="C12" s="7"/>
      <c r="D12" s="7"/>
      <c r="E12" s="7"/>
      <c r="F12" s="7"/>
      <c r="G12" s="7"/>
    </row>
    <row r="13" customFormat="false" ht="24" hidden="false" customHeight="true" outlineLevel="0" collapsed="false">
      <c r="B13" s="5" t="s">
        <v>7</v>
      </c>
      <c r="C13" s="5"/>
      <c r="D13" s="5"/>
      <c r="E13" s="5"/>
      <c r="F13" s="5"/>
      <c r="G13" s="5"/>
    </row>
    <row r="14" customFormat="false" ht="24" hidden="false" customHeight="true" outlineLevel="0" collapsed="false">
      <c r="B14" s="6" t="s">
        <v>8</v>
      </c>
      <c r="C14" s="6"/>
      <c r="D14" s="6"/>
      <c r="E14" s="6"/>
      <c r="F14" s="6"/>
      <c r="G14" s="6"/>
    </row>
    <row r="16" customFormat="false" ht="21.75" hidden="false" customHeight="true" outlineLevel="0" collapsed="false"/>
    <row r="17" customFormat="false" ht="36" hidden="false" customHeight="true" outlineLevel="0" collapsed="false">
      <c r="B17" s="8" t="s">
        <v>9</v>
      </c>
      <c r="C17" s="8"/>
      <c r="D17" s="8"/>
      <c r="E17" s="8"/>
      <c r="F17" s="8"/>
      <c r="G17" s="8"/>
    </row>
    <row r="18" customFormat="false" ht="36" hidden="false" customHeight="true" outlineLevel="0" collapsed="false">
      <c r="B18" s="8"/>
      <c r="C18" s="8"/>
      <c r="D18" s="8"/>
      <c r="E18" s="8"/>
      <c r="F18" s="8"/>
      <c r="G18" s="8"/>
    </row>
    <row r="19" customFormat="false" ht="36" hidden="false" customHeight="true" outlineLevel="0" collapsed="false">
      <c r="B19" s="8"/>
      <c r="C19" s="8"/>
      <c r="D19" s="8"/>
      <c r="E19" s="8"/>
      <c r="F19" s="8"/>
      <c r="G19" s="8"/>
    </row>
    <row r="22" customFormat="false" ht="15" hidden="false" customHeight="true" outlineLevel="0" collapsed="false">
      <c r="B22" s="9" t="s">
        <v>10</v>
      </c>
      <c r="C22" s="9"/>
      <c r="D22" s="9"/>
      <c r="E22" s="9"/>
      <c r="F22" s="9"/>
      <c r="G22" s="9"/>
    </row>
    <row r="23" customFormat="false" ht="21.75" hidden="false" customHeight="true" outlineLevel="0" collapsed="false">
      <c r="B23" s="10" t="s">
        <v>11</v>
      </c>
    </row>
    <row r="24" customFormat="false" ht="55.5" hidden="false" customHeight="true" outlineLevel="0" collapsed="false">
      <c r="A24" s="8" t="s">
        <v>12</v>
      </c>
      <c r="B24" s="8"/>
      <c r="C24" s="8"/>
      <c r="D24" s="8"/>
      <c r="E24" s="8"/>
      <c r="F24" s="8"/>
      <c r="G24" s="8"/>
      <c r="H24" s="8"/>
    </row>
    <row r="25" customFormat="false" ht="55.5" hidden="false" customHeight="true" outlineLevel="0" collapsed="false"/>
    <row r="26" customFormat="false" ht="39.75" hidden="false" customHeight="true" outlineLevel="0" collapsed="false"/>
    <row r="27" customFormat="false" ht="39.75" hidden="false" customHeight="true" outlineLevel="0" collapsed="false"/>
    <row r="28" customFormat="false" ht="39.75" hidden="false" customHeight="true" outlineLevel="0" collapsed="false"/>
    <row r="29" customFormat="false" ht="39.75" hidden="false" customHeight="true" outlineLevel="0" collapsed="false"/>
    <row r="31" customFormat="false" ht="21.75" hidden="false" customHeight="true" outlineLevel="0" collapsed="false"/>
    <row r="33" customFormat="false" ht="49.5" hidden="false" customHeight="true" outlineLevel="0" collapsed="false"/>
  </sheetData>
  <mergeCells count="12">
    <mergeCell ref="A1:H2"/>
    <mergeCell ref="A4:H5"/>
    <mergeCell ref="B8:G8"/>
    <mergeCell ref="B9:G9"/>
    <mergeCell ref="B10:G10"/>
    <mergeCell ref="B11:G11"/>
    <mergeCell ref="B12:G12"/>
    <mergeCell ref="B13:G13"/>
    <mergeCell ref="B14:G14"/>
    <mergeCell ref="B17:G19"/>
    <mergeCell ref="B22:G22"/>
    <mergeCell ref="A24:H24"/>
  </mergeCells>
  <hyperlinks>
    <hyperlink ref="A24" location="'دليل الملف'!A1" display="للاطلاع على فهرس تفصيلي بكل ورقة في هذا الملف وما تعرضه ومنهجيتها، مع رابط مباشر لكل ورقة، انظر ورقة &quot;دليل الملف&quot;. / For a detailed guide to every sheet in this file, what it shows, and its methodology, with a direct link to each sheet, see the &quot;دليل الملف&quot; (File Guide) shee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95"/>
    <col collapsed="false" customWidth="true" hidden="false" outlineLevel="0" max="4" min="4" style="1" width="12"/>
  </cols>
  <sheetData>
    <row r="1" customFormat="false" ht="30.75" hidden="false" customHeight="true" outlineLevel="0" collapsed="false">
      <c r="A1" s="11" t="s">
        <v>13</v>
      </c>
      <c r="B1" s="11"/>
      <c r="C1" s="11"/>
      <c r="D1" s="11"/>
    </row>
    <row r="3" customFormat="false" ht="27.75" hidden="false" customHeight="true" outlineLevel="0" collapsed="false">
      <c r="A3" s="12" t="s">
        <v>14</v>
      </c>
      <c r="B3" s="12" t="s">
        <v>15</v>
      </c>
      <c r="C3" s="12" t="s">
        <v>16</v>
      </c>
      <c r="D3" s="12" t="s">
        <v>17</v>
      </c>
    </row>
    <row r="4" customFormat="false" ht="48" hidden="false" customHeight="true" outlineLevel="0" collapsed="false">
      <c r="A4" s="13" t="n">
        <v>1</v>
      </c>
      <c r="B4" s="14" t="s">
        <v>18</v>
      </c>
      <c r="C4" s="15" t="s">
        <v>19</v>
      </c>
      <c r="D4" s="16" t="str">
        <f aca="false">IFERROR(HYPERLINK("#'Cover'!A1","Open →"),"Open →")</f>
        <v>Open →</v>
      </c>
    </row>
    <row r="5" customFormat="false" ht="48" hidden="false" customHeight="true" outlineLevel="0" collapsed="false">
      <c r="A5" s="13" t="n">
        <v>2</v>
      </c>
      <c r="B5" s="14" t="s">
        <v>20</v>
      </c>
      <c r="C5" s="15" t="s">
        <v>21</v>
      </c>
      <c r="D5" s="16" t="str">
        <f aca="false">IFERROR(HYPERLINK("#'Assumptions'!A1","Open →"),"Open →")</f>
        <v>Open →</v>
      </c>
    </row>
    <row r="6" customFormat="false" ht="48" hidden="false" customHeight="true" outlineLevel="0" collapsed="false">
      <c r="A6" s="13" t="n">
        <v>3</v>
      </c>
      <c r="B6" s="14" t="s">
        <v>22</v>
      </c>
      <c r="C6" s="15" t="s">
        <v>23</v>
      </c>
      <c r="D6" s="16" t="str">
        <f aca="false">IFERROR(HYPERLINK("#'Capital'!A1","Open →"),"Open →")</f>
        <v>Open →</v>
      </c>
    </row>
    <row r="7" customFormat="false" ht="48" hidden="false" customHeight="true" outlineLevel="0" collapsed="false">
      <c r="A7" s="13" t="n">
        <v>4</v>
      </c>
      <c r="B7" s="14" t="s">
        <v>24</v>
      </c>
      <c r="C7" s="15" t="s">
        <v>25</v>
      </c>
      <c r="D7" s="16" t="str">
        <f aca="false">IFERROR(HYPERLINK("#'Products'!A1","Open →"),"Open →")</f>
        <v>Open →</v>
      </c>
    </row>
    <row r="8" customFormat="false" ht="48" hidden="false" customHeight="true" outlineLevel="0" collapsed="false">
      <c r="A8" s="13" t="n">
        <v>5</v>
      </c>
      <c r="B8" s="14" t="s">
        <v>26</v>
      </c>
      <c r="C8" s="15" t="s">
        <v>27</v>
      </c>
      <c r="D8" s="16" t="str">
        <f aca="false">IFERROR(HYPERLINK("#'Staff'!A1","Open →"),"Open →")</f>
        <v>Open →</v>
      </c>
    </row>
    <row r="9" customFormat="false" ht="48" hidden="false" customHeight="true" outlineLevel="0" collapsed="false">
      <c r="A9" s="13" t="n">
        <v>6</v>
      </c>
      <c r="B9" s="14" t="s">
        <v>28</v>
      </c>
      <c r="C9" s="15" t="s">
        <v>29</v>
      </c>
      <c r="D9" s="16" t="str">
        <f aca="false">IFERROR(HYPERLINK("#'Opex'!A1","Open →"),"Open →")</f>
        <v>Open →</v>
      </c>
    </row>
    <row r="10" customFormat="false" ht="48" hidden="false" customHeight="true" outlineLevel="0" collapsed="false">
      <c r="A10" s="13" t="n">
        <v>7</v>
      </c>
      <c r="B10" s="14" t="s">
        <v>30</v>
      </c>
      <c r="C10" s="15" t="s">
        <v>31</v>
      </c>
      <c r="D10" s="16" t="str">
        <f aca="false">IFERROR(HYPERLINK("#'Originations'!A1","Open →"),"Open →")</f>
        <v>Open →</v>
      </c>
    </row>
    <row r="11" customFormat="false" ht="48" hidden="false" customHeight="true" outlineLevel="0" collapsed="false">
      <c r="A11" s="13" t="n">
        <v>8</v>
      </c>
      <c r="B11" s="14" t="s">
        <v>32</v>
      </c>
      <c r="C11" s="15" t="s">
        <v>33</v>
      </c>
      <c r="D11" s="16" t="str">
        <f aca="false">IFERROR(HYPERLINK("#'Cohort Principal'!A1","Open →"),"Open →")</f>
        <v>Open →</v>
      </c>
    </row>
    <row r="12" customFormat="false" ht="48" hidden="false" customHeight="true" outlineLevel="0" collapsed="false">
      <c r="A12" s="13" t="n">
        <v>9</v>
      </c>
      <c r="B12" s="14" t="s">
        <v>34</v>
      </c>
      <c r="C12" s="15" t="s">
        <v>35</v>
      </c>
      <c r="D12" s="16" t="str">
        <f aca="false">IFERROR(HYPERLINK("#'Cohort Interest'!A1","Open →"),"Open →")</f>
        <v>Open →</v>
      </c>
    </row>
    <row r="13" customFormat="false" ht="48" hidden="false" customHeight="true" outlineLevel="0" collapsed="false">
      <c r="A13" s="13" t="n">
        <v>10</v>
      </c>
      <c r="B13" s="14" t="s">
        <v>36</v>
      </c>
      <c r="C13" s="15" t="s">
        <v>37</v>
      </c>
      <c r="D13" s="16" t="str">
        <f aca="false">IFERROR(HYPERLINK("#'Cohort Fees'!A1","Open →"),"Open →")</f>
        <v>Open →</v>
      </c>
    </row>
    <row r="14" customFormat="false" ht="48" hidden="false" customHeight="true" outlineLevel="0" collapsed="false">
      <c r="A14" s="13" t="n">
        <v>11</v>
      </c>
      <c r="B14" s="14" t="s">
        <v>38</v>
      </c>
      <c r="C14" s="15" t="s">
        <v>39</v>
      </c>
      <c r="D14" s="16" t="str">
        <f aca="false">IFERROR(HYPERLINK("#'Monthly Model'!A1","Open →"),"Open →")</f>
        <v>Open →</v>
      </c>
    </row>
    <row r="15" customFormat="false" ht="48" hidden="false" customHeight="true" outlineLevel="0" collapsed="false">
      <c r="A15" s="13" t="n">
        <v>12</v>
      </c>
      <c r="B15" s="14" t="s">
        <v>40</v>
      </c>
      <c r="C15" s="15" t="s">
        <v>41</v>
      </c>
      <c r="D15" s="16" t="str">
        <f aca="false">IFERROR(HYPERLINK("#'Income Statement'!A1","Open →"),"Open →")</f>
        <v>Open →</v>
      </c>
    </row>
    <row r="16" customFormat="false" ht="48" hidden="false" customHeight="true" outlineLevel="0" collapsed="false">
      <c r="A16" s="13" t="n">
        <v>13</v>
      </c>
      <c r="B16" s="14" t="s">
        <v>42</v>
      </c>
      <c r="C16" s="15" t="s">
        <v>43</v>
      </c>
      <c r="D16" s="16" t="str">
        <f aca="false">IFERROR(HYPERLINK("#'Balance Sheet'!A1","Open →"),"Open →")</f>
        <v>Open →</v>
      </c>
    </row>
    <row r="17" customFormat="false" ht="48" hidden="false" customHeight="true" outlineLevel="0" collapsed="false">
      <c r="A17" s="13" t="n">
        <v>14</v>
      </c>
      <c r="B17" s="14" t="s">
        <v>44</v>
      </c>
      <c r="C17" s="15" t="s">
        <v>45</v>
      </c>
      <c r="D17" s="16" t="str">
        <f aca="false">IFERROR(HYPERLINK("#'Cash Flow'!A1","Open →"),"Open →")</f>
        <v>Open →</v>
      </c>
    </row>
    <row r="18" customFormat="false" ht="48" hidden="false" customHeight="true" outlineLevel="0" collapsed="false">
      <c r="A18" s="13" t="n">
        <v>15</v>
      </c>
      <c r="B18" s="14" t="s">
        <v>46</v>
      </c>
      <c r="C18" s="15" t="s">
        <v>47</v>
      </c>
      <c r="D18" s="16" t="str">
        <f aca="false">IFERROR(HYPERLINK("#'Investments'!A1","Open →"),"Open →")</f>
        <v>Open →</v>
      </c>
    </row>
    <row r="19" customFormat="false" ht="48" hidden="false" customHeight="true" outlineLevel="0" collapsed="false">
      <c r="A19" s="13" t="n">
        <v>16</v>
      </c>
      <c r="B19" s="14" t="s">
        <v>48</v>
      </c>
      <c r="C19" s="15" t="s">
        <v>49</v>
      </c>
      <c r="D19" s="16" t="str">
        <f aca="false">IFERROR(HYPERLINK("#'Feasibility'!A1","Open →"),"Open →")</f>
        <v>Open →</v>
      </c>
    </row>
    <row r="20" customFormat="false" ht="48" hidden="false" customHeight="true" outlineLevel="0" collapsed="false">
      <c r="A20" s="13" t="n">
        <v>17</v>
      </c>
      <c r="B20" s="14" t="s">
        <v>50</v>
      </c>
      <c r="C20" s="15" t="s">
        <v>51</v>
      </c>
      <c r="D20" s="16" t="str">
        <f aca="false">IFERROR(HYPERLINK("#'Ratios'!A1","Open →"),"Open →")</f>
        <v>Open →</v>
      </c>
    </row>
    <row r="21" customFormat="false" ht="48" hidden="false" customHeight="true" outlineLevel="0" collapsed="false">
      <c r="A21" s="13" t="n">
        <v>18</v>
      </c>
      <c r="B21" s="14" t="s">
        <v>52</v>
      </c>
      <c r="C21" s="15" t="s">
        <v>53</v>
      </c>
      <c r="D21" s="16" t="str">
        <f aca="false">IFERROR(HYPERLINK("#'Scenarios'!A1","Open →"),"Open →")</f>
        <v>Open →</v>
      </c>
    </row>
    <row r="22" customFormat="false" ht="48" hidden="false" customHeight="true" outlineLevel="0" collapsed="false">
      <c r="A22" s="13" t="n">
        <v>19</v>
      </c>
      <c r="B22" s="14" t="s">
        <v>54</v>
      </c>
      <c r="C22" s="15" t="s">
        <v>55</v>
      </c>
      <c r="D22" s="16" t="str">
        <f aca="false">IFERROR(HYPERLINK("#'Sensitivity'!A1","Open →"),"Open →")</f>
        <v>Open →</v>
      </c>
    </row>
    <row r="23" customFormat="false" ht="48" hidden="false" customHeight="true" outlineLevel="0" collapsed="false">
      <c r="A23" s="13" t="n">
        <v>20</v>
      </c>
      <c r="B23" s="14" t="s">
        <v>56</v>
      </c>
      <c r="C23" s="15" t="s">
        <v>57</v>
      </c>
      <c r="D23" s="16" t="str">
        <f aca="false">IFERROR(HYPERLINK("#'Break Even'!A1","Open →"),"Open →")</f>
        <v>Open →</v>
      </c>
    </row>
    <row r="24" customFormat="false" ht="48" hidden="false" customHeight="true" outlineLevel="0" collapsed="false">
      <c r="A24" s="13" t="n">
        <v>21</v>
      </c>
      <c r="B24" s="14" t="s">
        <v>58</v>
      </c>
      <c r="C24" s="15" t="s">
        <v>59</v>
      </c>
      <c r="D24" s="16" t="str">
        <f aca="false">IFERROR(HYPERLINK("#'Compliance'!A1","Open →"),"Open →")</f>
        <v>Open →</v>
      </c>
    </row>
    <row r="25" customFormat="false" ht="48" hidden="false" customHeight="true" outlineLevel="0" collapsed="false">
      <c r="A25" s="13" t="n">
        <v>22</v>
      </c>
      <c r="B25" s="14" t="s">
        <v>60</v>
      </c>
      <c r="C25" s="15" t="s">
        <v>61</v>
      </c>
      <c r="D25" s="16" t="str">
        <f aca="false">IFERROR(HYPERLINK("#'Checks'!A1","Open →"),"Open →")</f>
        <v>Open →</v>
      </c>
    </row>
    <row r="26" customFormat="false" ht="48" hidden="false" customHeight="true" outlineLevel="0" collapsed="false">
      <c r="A26" s="13" t="n">
        <v>23</v>
      </c>
      <c r="B26" s="14" t="s">
        <v>62</v>
      </c>
      <c r="C26" s="15" t="s">
        <v>63</v>
      </c>
      <c r="D26" s="16" t="str">
        <f aca="false">IFERROR(HYPERLINK("#'Sources'!A1","Open →"),"Open →")</f>
        <v>Open →</v>
      </c>
    </row>
    <row r="27" customFormat="false" ht="48" hidden="false" customHeight="true" outlineLevel="0" collapsed="false">
      <c r="A27" s="13" t="n">
        <v>24</v>
      </c>
      <c r="B27" s="14" t="s">
        <v>64</v>
      </c>
      <c r="C27" s="15" t="s">
        <v>65</v>
      </c>
      <c r="D27" s="16" t="str">
        <f aca="false">IFERROR(HYPERLINK("#'Formula Map'!A1","Open →"),"Open →")</f>
        <v>Open →</v>
      </c>
    </row>
    <row r="28" customFormat="false" ht="48" hidden="false" customHeight="true" outlineLevel="0" collapsed="false">
      <c r="A28" s="13" t="n">
        <v>25</v>
      </c>
      <c r="B28" s="14" t="s">
        <v>66</v>
      </c>
      <c r="C28" s="15" t="s">
        <v>67</v>
      </c>
      <c r="D28" s="16" t="str">
        <f aca="false">IFERROR(HYPERLINK("#'Regulatory Capital Plan'!A1","Open →"),"Open →")</f>
        <v>Open →</v>
      </c>
    </row>
    <row r="29" customFormat="false" ht="48" hidden="false" customHeight="true" outlineLevel="0" collapsed="false">
      <c r="A29" s="13" t="n">
        <v>26</v>
      </c>
      <c r="B29" s="14" t="s">
        <v>68</v>
      </c>
      <c r="C29" s="15" t="s">
        <v>69</v>
      </c>
      <c r="D29" s="16" t="str">
        <f aca="false">IFERROR(HYPERLINK("#'Funding &amp; Liquidity'!A1","Open →"),"Open →")</f>
        <v>Open →</v>
      </c>
    </row>
    <row r="30" customFormat="false" ht="48" hidden="false" customHeight="true" outlineLevel="0" collapsed="false">
      <c r="A30" s="13" t="n">
        <v>27</v>
      </c>
      <c r="B30" s="14" t="s">
        <v>70</v>
      </c>
      <c r="C30" s="15" t="s">
        <v>71</v>
      </c>
      <c r="D30" s="16" t="str">
        <f aca="false">IFERROR(HYPERLINK("#'Scenario - Slower 2028'!A1","Open →"),"Open →")</f>
        <v>Open →</v>
      </c>
    </row>
    <row r="31" customFormat="false" ht="48" hidden="false" customHeight="true" outlineLevel="0" collapsed="false">
      <c r="A31" s="13" t="n">
        <v>28</v>
      </c>
      <c r="B31" s="14" t="s">
        <v>72</v>
      </c>
      <c r="C31" s="15" t="s">
        <v>73</v>
      </c>
      <c r="D31" s="16" t="str">
        <f aca="false">IFERROR(HYPERLINK("#'Scenario - Standby Capital'!A1","Open →"),"Open →")</f>
        <v>Open →</v>
      </c>
    </row>
    <row r="32" customFormat="false" ht="48" hidden="false" customHeight="true" outlineLevel="0" collapsed="false">
      <c r="A32" s="13" t="n">
        <v>29</v>
      </c>
      <c r="B32" s="17" t="s">
        <v>74</v>
      </c>
      <c r="C32" s="15" t="s">
        <v>75</v>
      </c>
      <c r="D32" s="16" t="str">
        <f aca="false">IFERROR(HYPERLINK("#'رد الملاحظات'!A1","Open →"),"Open →")</f>
        <v>Open →</v>
      </c>
    </row>
    <row r="33" customFormat="false" ht="48" hidden="false" customHeight="true" outlineLevel="0" collapsed="false">
      <c r="A33" s="13" t="n">
        <v>30</v>
      </c>
      <c r="B33" s="14" t="s">
        <v>76</v>
      </c>
      <c r="C33" s="15" t="s">
        <v>77</v>
      </c>
      <c r="D33" s="16" t="str">
        <f aca="false">IFERROR(HYPERLINK("#'Basel III'!A1","Open →"),"Open →")</f>
        <v>Open →</v>
      </c>
    </row>
    <row r="34" customFormat="false" ht="48" hidden="false" customHeight="true" outlineLevel="0" collapsed="false">
      <c r="A34" s="13" t="n">
        <v>31</v>
      </c>
      <c r="B34" s="14" t="s">
        <v>78</v>
      </c>
      <c r="C34" s="15" t="s">
        <v>79</v>
      </c>
      <c r="D34" s="16" t="str">
        <f aca="false">IFERROR(HYPERLINK("#'Regulatory Data Requirements'!A1","Open →"),"Open →")</f>
        <v>Open →</v>
      </c>
    </row>
    <row r="35" customFormat="false" ht="48" hidden="false" customHeight="true" outlineLevel="0" collapsed="false">
      <c r="A35" s="13" t="n">
        <v>32</v>
      </c>
      <c r="B35" s="17" t="s">
        <v>80</v>
      </c>
      <c r="C35" s="15" t="s">
        <v>81</v>
      </c>
      <c r="D35" s="16" t="str">
        <f aca="false">IFERROR(HYPERLINK("#'جاهزية التقديم'!A1","Open →"),"Open →")</f>
        <v>Open →</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54"/>
    <col collapsed="false" customWidth="true" hidden="false" outlineLevel="0" max="8" min="4" style="1" width="16"/>
    <col collapsed="false" customWidth="true" hidden="false" outlineLevel="0" max="26" min="9" style="1" width="14"/>
  </cols>
  <sheetData>
    <row r="1" customFormat="false" ht="18" hidden="false" customHeight="true" outlineLevel="0" collapsed="false">
      <c r="A1" s="18" t="s">
        <v>82</v>
      </c>
      <c r="B1" s="18"/>
      <c r="C1" s="18"/>
      <c r="D1" s="18"/>
      <c r="E1" s="18"/>
      <c r="F1" s="18"/>
    </row>
    <row r="2" customFormat="false" ht="18" hidden="false" customHeight="true" outlineLevel="0" collapsed="false">
      <c r="A2" s="19"/>
      <c r="B2" s="19"/>
      <c r="C2" s="19"/>
      <c r="D2" s="19"/>
      <c r="E2" s="19"/>
      <c r="F2" s="19"/>
    </row>
    <row r="3" customFormat="false" ht="18" hidden="false" customHeight="true" outlineLevel="0" collapsed="false">
      <c r="A3" s="20" t="s">
        <v>83</v>
      </c>
      <c r="B3" s="21" t="s">
        <v>84</v>
      </c>
      <c r="C3" s="21" t="s">
        <v>85</v>
      </c>
      <c r="D3" s="21" t="s">
        <v>86</v>
      </c>
      <c r="E3" s="21" t="s">
        <v>87</v>
      </c>
      <c r="F3" s="22" t="s">
        <v>88</v>
      </c>
    </row>
    <row r="4" customFormat="false" ht="18" hidden="false" customHeight="true" outlineLevel="0" collapsed="false">
      <c r="A4" s="19" t="s">
        <v>89</v>
      </c>
      <c r="B4" s="23" t="n">
        <v>27750000</v>
      </c>
      <c r="C4" s="23" t="n">
        <v>527500000</v>
      </c>
      <c r="D4" s="23" t="n">
        <v>700000000</v>
      </c>
      <c r="E4" s="23" t="n">
        <v>1350000000</v>
      </c>
      <c r="F4" s="23" t="n">
        <v>2500000000</v>
      </c>
    </row>
    <row r="5" customFormat="false" ht="18" hidden="false" customHeight="true" outlineLevel="0" collapsed="false">
      <c r="A5" s="19" t="s">
        <v>90</v>
      </c>
      <c r="B5" s="24" t="n">
        <f aca="false">B4</f>
        <v>27750000</v>
      </c>
      <c r="C5" s="24" t="n">
        <f aca="false">C4</f>
        <v>527500000</v>
      </c>
      <c r="D5" s="24" t="n">
        <f aca="false">D4</f>
        <v>700000000</v>
      </c>
      <c r="E5" s="24" t="n">
        <f aca="false">E4</f>
        <v>1350000000</v>
      </c>
      <c r="F5" s="24" t="n">
        <f aca="false">F4</f>
        <v>2500000000</v>
      </c>
    </row>
    <row r="6" customFormat="false" ht="18" hidden="false" customHeight="true" outlineLevel="0" collapsed="false">
      <c r="A6" s="19" t="s">
        <v>91</v>
      </c>
      <c r="B6" s="25" t="n">
        <v>0.34</v>
      </c>
      <c r="C6" s="25" t="n">
        <v>0.32</v>
      </c>
      <c r="D6" s="25" t="n">
        <v>0.3</v>
      </c>
      <c r="E6" s="25" t="n">
        <v>0.28</v>
      </c>
      <c r="F6" s="25" t="n">
        <v>0.26</v>
      </c>
    </row>
    <row r="7" customFormat="false" ht="18" hidden="false" customHeight="true" outlineLevel="0" collapsed="false">
      <c r="A7" s="19" t="s">
        <v>92</v>
      </c>
      <c r="B7" s="25" t="n">
        <v>0.21</v>
      </c>
      <c r="C7" s="25" t="n">
        <v>0.19</v>
      </c>
      <c r="D7" s="25" t="n">
        <v>0.17</v>
      </c>
      <c r="E7" s="25" t="n">
        <v>0.15</v>
      </c>
      <c r="F7" s="25" t="n">
        <v>0.14</v>
      </c>
    </row>
    <row r="8" customFormat="false" ht="18" hidden="false" customHeight="true" outlineLevel="0" collapsed="false">
      <c r="A8" s="19" t="s">
        <v>93</v>
      </c>
      <c r="B8" s="25" t="n">
        <v>0.03</v>
      </c>
      <c r="C8" s="25" t="n">
        <v>0.03</v>
      </c>
      <c r="D8" s="25" t="n">
        <v>0.03</v>
      </c>
      <c r="E8" s="25" t="n">
        <v>0.03</v>
      </c>
      <c r="F8" s="25" t="n">
        <v>0.03</v>
      </c>
    </row>
    <row r="9" customFormat="false" ht="18" hidden="false" customHeight="true" outlineLevel="0" collapsed="false">
      <c r="A9" s="19" t="s">
        <v>94</v>
      </c>
      <c r="B9" s="26" t="n">
        <v>0.24</v>
      </c>
      <c r="C9" s="26" t="n">
        <v>0.22</v>
      </c>
      <c r="D9" s="26" t="n">
        <v>0.2</v>
      </c>
      <c r="E9" s="26" t="n">
        <v>0.18</v>
      </c>
      <c r="F9" s="26" t="n">
        <v>0.17</v>
      </c>
    </row>
    <row r="10" customFormat="false" ht="18" hidden="false" customHeight="true" outlineLevel="0" collapsed="false">
      <c r="A10" s="19" t="s">
        <v>95</v>
      </c>
      <c r="B10" s="24" t="n">
        <v>150000</v>
      </c>
      <c r="C10" s="24" t="n">
        <v>315868.263473054</v>
      </c>
      <c r="D10" s="24" t="n">
        <v>888461.538461539</v>
      </c>
      <c r="E10" s="24" t="n">
        <v>1100000</v>
      </c>
      <c r="F10" s="24" t="n">
        <v>1350000</v>
      </c>
    </row>
    <row r="11" customFormat="false" ht="18" hidden="false" customHeight="true" outlineLevel="0" collapsed="false">
      <c r="A11" s="19" t="s">
        <v>96</v>
      </c>
      <c r="B11" s="24" t="n">
        <v>4302000</v>
      </c>
      <c r="C11" s="24" t="n">
        <v>500000</v>
      </c>
      <c r="D11" s="24" t="n">
        <v>1000000</v>
      </c>
      <c r="E11" s="24" t="n">
        <v>1500000</v>
      </c>
      <c r="F11" s="24" t="n">
        <v>2000000</v>
      </c>
    </row>
    <row r="12" customFormat="false" ht="18" hidden="false" customHeight="true" outlineLevel="0" collapsed="false">
      <c r="A12" s="19" t="s">
        <v>97</v>
      </c>
      <c r="B12" s="24" t="n">
        <v>8</v>
      </c>
      <c r="C12" s="24" t="n">
        <v>8</v>
      </c>
      <c r="D12" s="24" t="n">
        <v>8</v>
      </c>
      <c r="E12" s="24" t="n">
        <v>15</v>
      </c>
      <c r="F12" s="24" t="n">
        <v>22</v>
      </c>
    </row>
    <row r="13" customFormat="false" ht="18" hidden="false" customHeight="true" outlineLevel="0" collapsed="false">
      <c r="A13" s="19" t="s">
        <v>98</v>
      </c>
      <c r="B13" s="24" t="n">
        <v>2500000</v>
      </c>
      <c r="C13" s="24" t="n">
        <v>25000000</v>
      </c>
      <c r="D13" s="24" t="n">
        <v>25000000</v>
      </c>
      <c r="E13" s="24" t="n">
        <v>50000000</v>
      </c>
      <c r="F13" s="24" t="n">
        <v>100000000</v>
      </c>
    </row>
    <row r="14" customFormat="false" ht="18" hidden="false" customHeight="true" outlineLevel="0" collapsed="false">
      <c r="A14" s="19"/>
      <c r="B14" s="19"/>
      <c r="C14" s="19"/>
      <c r="D14" s="19"/>
      <c r="E14" s="19"/>
      <c r="F14" s="19"/>
    </row>
    <row r="15" customFormat="false" ht="18" hidden="false" customHeight="true" outlineLevel="0" collapsed="false">
      <c r="A15" s="27" t="s">
        <v>99</v>
      </c>
      <c r="B15" s="27"/>
      <c r="C15" s="27"/>
      <c r="D15" s="27"/>
      <c r="E15" s="27"/>
      <c r="F15" s="27"/>
    </row>
    <row r="16" customFormat="false" ht="30" hidden="false" customHeight="true" outlineLevel="0" collapsed="false">
      <c r="A16" s="28" t="s">
        <v>100</v>
      </c>
      <c r="B16" s="29" t="n">
        <v>46296</v>
      </c>
      <c r="C16" s="28" t="s">
        <v>101</v>
      </c>
      <c r="D16" s="19"/>
      <c r="E16" s="19"/>
      <c r="F16" s="19"/>
    </row>
    <row r="17" customFormat="false" ht="30" hidden="false" customHeight="true" outlineLevel="0" collapsed="false">
      <c r="A17" s="30" t="s">
        <v>102</v>
      </c>
      <c r="B17" s="31" t="n">
        <v>46388</v>
      </c>
      <c r="C17" s="30" t="s">
        <v>103</v>
      </c>
      <c r="D17" s="19"/>
      <c r="E17" s="19"/>
      <c r="F17" s="19"/>
    </row>
    <row r="18" customFormat="false" ht="30" hidden="false" customHeight="true" outlineLevel="0" collapsed="false">
      <c r="A18" s="30" t="s">
        <v>104</v>
      </c>
      <c r="B18" s="32" t="n">
        <v>46419</v>
      </c>
      <c r="C18" s="30" t="s">
        <v>105</v>
      </c>
      <c r="D18" s="19"/>
      <c r="E18" s="19"/>
      <c r="F18" s="19"/>
    </row>
    <row r="19" customFormat="false" ht="30" hidden="false" customHeight="true" outlineLevel="0" collapsed="false">
      <c r="A19" s="30" t="s">
        <v>106</v>
      </c>
      <c r="B19" s="33" t="n">
        <v>47026</v>
      </c>
      <c r="C19" s="30" t="s">
        <v>107</v>
      </c>
      <c r="D19" s="19"/>
      <c r="E19" s="19"/>
      <c r="F19" s="19"/>
    </row>
    <row r="20" customFormat="false" ht="30" hidden="false" customHeight="true" outlineLevel="0" collapsed="false">
      <c r="A20" s="30" t="s">
        <v>108</v>
      </c>
      <c r="B20" s="34" t="n">
        <v>75000000</v>
      </c>
      <c r="C20" s="30" t="s">
        <v>101</v>
      </c>
      <c r="D20" s="19"/>
      <c r="E20" s="19"/>
      <c r="F20" s="19"/>
    </row>
    <row r="21" customFormat="false" ht="30" hidden="false" customHeight="true" outlineLevel="0" collapsed="false">
      <c r="A21" s="30" t="s">
        <v>109</v>
      </c>
      <c r="B21" s="34" t="n">
        <v>15000000</v>
      </c>
      <c r="C21" s="30" t="s">
        <v>101</v>
      </c>
      <c r="D21" s="19"/>
      <c r="E21" s="19"/>
      <c r="F21" s="19"/>
    </row>
    <row r="22" customFormat="false" ht="30" hidden="false" customHeight="true" outlineLevel="0" collapsed="false">
      <c r="A22" s="30" t="s">
        <v>110</v>
      </c>
      <c r="B22" s="34" t="n">
        <v>1</v>
      </c>
      <c r="C22" s="30" t="s">
        <v>111</v>
      </c>
      <c r="D22" s="19"/>
      <c r="E22" s="19"/>
      <c r="F22" s="19"/>
    </row>
    <row r="23" customFormat="false" ht="30" hidden="false" customHeight="true" outlineLevel="0" collapsed="false">
      <c r="A23" s="30" t="s">
        <v>112</v>
      </c>
      <c r="B23" s="35" t="n">
        <f aca="false">C91/$B$22</f>
        <v>75000000</v>
      </c>
      <c r="C23" s="30" t="s">
        <v>113</v>
      </c>
      <c r="D23" s="19"/>
      <c r="E23" s="19"/>
      <c r="F23" s="19"/>
    </row>
    <row r="24" customFormat="false" ht="30" hidden="false" customHeight="true" outlineLevel="0" collapsed="false">
      <c r="A24" s="30" t="s">
        <v>114</v>
      </c>
      <c r="B24" s="36"/>
      <c r="C24" s="37" t="s">
        <v>115</v>
      </c>
      <c r="D24" s="19"/>
      <c r="E24" s="19"/>
      <c r="F24" s="19"/>
    </row>
    <row r="25" customFormat="false" ht="30" hidden="false" customHeight="true" outlineLevel="0" collapsed="false">
      <c r="A25" s="30" t="s">
        <v>116</v>
      </c>
      <c r="B25" s="38" t="n">
        <v>0.15</v>
      </c>
      <c r="C25" s="30" t="s">
        <v>117</v>
      </c>
      <c r="D25" s="19"/>
      <c r="E25" s="19"/>
      <c r="F25" s="19"/>
    </row>
    <row r="26" customFormat="false" ht="30" hidden="false" customHeight="true" outlineLevel="0" collapsed="false">
      <c r="A26" s="30" t="s">
        <v>118</v>
      </c>
      <c r="B26" s="38" t="n">
        <v>0.05</v>
      </c>
      <c r="C26" s="30" t="n">
        <v>0.07</v>
      </c>
      <c r="D26" s="19" t="n">
        <v>0.06</v>
      </c>
      <c r="E26" s="19" t="n">
        <v>0.06</v>
      </c>
      <c r="F26" s="19" t="n">
        <v>0.06</v>
      </c>
    </row>
    <row r="27" customFormat="false" ht="30" hidden="false" customHeight="true" outlineLevel="0" collapsed="false">
      <c r="A27" s="30" t="s">
        <v>119</v>
      </c>
      <c r="B27" s="38" t="n">
        <v>0.7</v>
      </c>
      <c r="C27" s="30" t="s">
        <v>120</v>
      </c>
      <c r="D27" s="19"/>
      <c r="E27" s="19"/>
      <c r="F27" s="19"/>
    </row>
    <row r="28" customFormat="false" ht="30" hidden="false" customHeight="true" outlineLevel="0" collapsed="false">
      <c r="A28" s="30" t="s">
        <v>121</v>
      </c>
      <c r="B28" s="39" t="n">
        <f aca="false">1-B27</f>
        <v>0.3</v>
      </c>
      <c r="C28" s="30" t="s">
        <v>122</v>
      </c>
      <c r="D28" s="19"/>
      <c r="E28" s="19"/>
      <c r="F28" s="19"/>
    </row>
    <row r="29" customFormat="false" ht="30" hidden="false" customHeight="true" outlineLevel="0" collapsed="false">
      <c r="A29" s="30" t="s">
        <v>123</v>
      </c>
      <c r="B29" s="40" t="n">
        <v>30</v>
      </c>
      <c r="C29" s="30" t="s">
        <v>124</v>
      </c>
      <c r="D29" s="19"/>
      <c r="E29" s="19"/>
      <c r="F29" s="19"/>
    </row>
    <row r="30" customFormat="false" ht="30" hidden="false" customHeight="true" outlineLevel="0" collapsed="false">
      <c r="A30" s="30" t="s">
        <v>125</v>
      </c>
      <c r="B30" s="38" t="n">
        <v>0.02</v>
      </c>
      <c r="C30" s="30" t="s">
        <v>126</v>
      </c>
      <c r="D30" s="19"/>
      <c r="E30" s="19"/>
      <c r="F30" s="19"/>
    </row>
    <row r="31" customFormat="false" ht="30" hidden="false" customHeight="true" outlineLevel="0" collapsed="false">
      <c r="A31" s="30" t="s">
        <v>127</v>
      </c>
      <c r="B31" s="38" t="n">
        <v>0.03</v>
      </c>
      <c r="C31" s="30" t="s">
        <v>128</v>
      </c>
      <c r="D31" s="19"/>
      <c r="E31" s="19"/>
      <c r="F31" s="19"/>
    </row>
    <row r="32" customFormat="false" ht="30" hidden="false" customHeight="true" outlineLevel="0" collapsed="false">
      <c r="A32" s="30" t="s">
        <v>129</v>
      </c>
      <c r="B32" s="38" t="n">
        <v>0.75</v>
      </c>
      <c r="C32" s="37" t="s">
        <v>130</v>
      </c>
      <c r="D32" s="19"/>
      <c r="E32" s="19"/>
      <c r="F32" s="19"/>
    </row>
    <row r="33" customFormat="false" ht="30" hidden="false" customHeight="true" outlineLevel="0" collapsed="false">
      <c r="A33" s="30" t="s">
        <v>131</v>
      </c>
      <c r="B33" s="38" t="n">
        <v>0.225</v>
      </c>
      <c r="C33" s="30" t="s">
        <v>132</v>
      </c>
      <c r="D33" s="19"/>
      <c r="E33" s="19"/>
      <c r="F33" s="19"/>
    </row>
    <row r="34" customFormat="false" ht="30" hidden="false" customHeight="true" outlineLevel="0" collapsed="false">
      <c r="A34" s="30" t="s">
        <v>133</v>
      </c>
      <c r="B34" s="41" t="n">
        <v>0.2</v>
      </c>
      <c r="C34" s="30" t="s">
        <v>134</v>
      </c>
      <c r="D34" s="19"/>
      <c r="E34" s="19"/>
      <c r="F34" s="19"/>
    </row>
    <row r="35" customFormat="false" ht="30" hidden="false" customHeight="true" outlineLevel="0" collapsed="false">
      <c r="A35" s="30" t="s">
        <v>135</v>
      </c>
      <c r="B35" s="38" t="n">
        <v>0.1</v>
      </c>
      <c r="C35" s="30" t="s">
        <v>136</v>
      </c>
      <c r="D35" s="19"/>
      <c r="E35" s="19"/>
      <c r="F35" s="19"/>
    </row>
    <row r="36" customFormat="false" ht="30" hidden="false" customHeight="true" outlineLevel="0" collapsed="false">
      <c r="A36" s="30" t="s">
        <v>137</v>
      </c>
      <c r="B36" s="42" t="n">
        <f aca="false">IFERROR(Staff!H10/SUM(Staff!H4:H9,Staff!H11:H20),0)</f>
        <v>0</v>
      </c>
      <c r="C36" s="43" t="n">
        <f aca="false">IFERROR(Staff!I10/SUM(Staff!I4:I9,Staff!I11:I20),0)</f>
        <v>0.166625075115775</v>
      </c>
      <c r="D36" s="44" t="n">
        <f aca="false">IFERROR(Staff!J10/SUM(Staff!J4:J9,Staff!J11:J20),0)</f>
        <v>0.362847172423909</v>
      </c>
      <c r="E36" s="44" t="n">
        <f aca="false">IFERROR(Staff!K10/SUM(Staff!K4:K9,Staff!K11:K20),0)</f>
        <v>0.299999999896254</v>
      </c>
      <c r="F36" s="44" t="n">
        <f aca="false">IFERROR(Staff!L10/SUM(Staff!L4:L9,Staff!L11:L20),0)</f>
        <v>0.300000000345822</v>
      </c>
    </row>
    <row r="37" customFormat="false" ht="30" hidden="false" customHeight="true" outlineLevel="0" collapsed="false">
      <c r="A37" s="30" t="s">
        <v>138</v>
      </c>
      <c r="B37" s="38" t="n">
        <v>0.005</v>
      </c>
      <c r="C37" s="30" t="s">
        <v>139</v>
      </c>
      <c r="D37" s="19"/>
      <c r="E37" s="19"/>
      <c r="F37" s="19"/>
    </row>
    <row r="38" customFormat="false" ht="30" hidden="false" customHeight="true" outlineLevel="0" collapsed="false">
      <c r="A38" s="30" t="s">
        <v>140</v>
      </c>
      <c r="B38" s="38" t="n">
        <v>0.002</v>
      </c>
      <c r="C38" s="30" t="s">
        <v>141</v>
      </c>
      <c r="D38" s="19"/>
      <c r="E38" s="19"/>
      <c r="F38" s="19"/>
    </row>
    <row r="39" customFormat="false" ht="30" hidden="false" customHeight="true" outlineLevel="0" collapsed="false">
      <c r="A39" s="30" t="s">
        <v>142</v>
      </c>
      <c r="B39" s="38" t="n">
        <v>0.25</v>
      </c>
      <c r="C39" s="30" t="s">
        <v>143</v>
      </c>
      <c r="D39" s="19"/>
      <c r="E39" s="19"/>
      <c r="F39" s="19"/>
    </row>
    <row r="40" customFormat="false" ht="30" hidden="false" customHeight="true" outlineLevel="0" collapsed="false">
      <c r="A40" s="30" t="s">
        <v>144</v>
      </c>
      <c r="B40" s="36" t="n">
        <v>8</v>
      </c>
      <c r="C40" s="30" t="s">
        <v>145</v>
      </c>
      <c r="D40" s="19"/>
      <c r="E40" s="19"/>
      <c r="F40" s="19"/>
    </row>
    <row r="41" customFormat="false" ht="30" hidden="false" customHeight="true" outlineLevel="0" collapsed="false">
      <c r="A41" s="30" t="s">
        <v>146</v>
      </c>
      <c r="B41" s="38" t="n">
        <v>0.05</v>
      </c>
      <c r="C41" s="30" t="s">
        <v>147</v>
      </c>
      <c r="D41" s="19"/>
      <c r="E41" s="19"/>
      <c r="F41" s="19"/>
    </row>
    <row r="42" customFormat="false" ht="30" hidden="false" customHeight="true" outlineLevel="0" collapsed="false">
      <c r="A42" s="30" t="s">
        <v>148</v>
      </c>
      <c r="B42" s="38" t="n">
        <v>0.5</v>
      </c>
      <c r="C42" s="30" t="s">
        <v>149</v>
      </c>
      <c r="D42" s="19"/>
      <c r="E42" s="19"/>
      <c r="F42" s="19"/>
    </row>
    <row r="43" customFormat="false" ht="30" hidden="false" customHeight="true" outlineLevel="0" collapsed="false">
      <c r="A43" s="30" t="s">
        <v>150</v>
      </c>
      <c r="B43" s="38" t="n">
        <v>0.98</v>
      </c>
      <c r="C43" s="30" t="s">
        <v>151</v>
      </c>
      <c r="D43" s="19"/>
      <c r="E43" s="19"/>
      <c r="F43" s="19"/>
    </row>
    <row r="44" customFormat="false" ht="30" hidden="false" customHeight="true" outlineLevel="0" collapsed="false">
      <c r="A44" s="30" t="s">
        <v>152</v>
      </c>
      <c r="B44" s="45" t="s">
        <v>153</v>
      </c>
      <c r="C44" s="30" t="s">
        <v>154</v>
      </c>
      <c r="D44" s="19"/>
      <c r="E44" s="19"/>
      <c r="F44" s="19"/>
    </row>
    <row r="45" customFormat="false" ht="30" hidden="false" customHeight="true" outlineLevel="0" collapsed="false">
      <c r="A45" s="46" t="s">
        <v>155</v>
      </c>
      <c r="B45" s="47" t="n">
        <v>3</v>
      </c>
      <c r="C45" s="47" t="n">
        <v>3.5</v>
      </c>
      <c r="D45" s="48" t="n">
        <v>7.5</v>
      </c>
      <c r="E45" s="48" t="n">
        <v>7.75</v>
      </c>
      <c r="F45" s="48" t="n">
        <v>8</v>
      </c>
    </row>
    <row r="46" customFormat="false" ht="60.75" hidden="false" customHeight="true" outlineLevel="0" collapsed="false">
      <c r="A46" s="20" t="s">
        <v>156</v>
      </c>
      <c r="B46" s="21" t="s">
        <v>157</v>
      </c>
      <c r="C46" s="21" t="s">
        <v>158</v>
      </c>
      <c r="D46" s="21" t="s">
        <v>159</v>
      </c>
      <c r="E46" s="21" t="s">
        <v>160</v>
      </c>
      <c r="F46" s="22"/>
    </row>
    <row r="47" customFormat="false" ht="18" hidden="false" customHeight="true" outlineLevel="0" collapsed="false">
      <c r="A47" s="19"/>
      <c r="B47" s="49" t="s">
        <v>161</v>
      </c>
      <c r="C47" s="19" t="s">
        <v>162</v>
      </c>
      <c r="D47" s="19" t="s">
        <v>163</v>
      </c>
      <c r="E47" s="49" t="s">
        <v>164</v>
      </c>
      <c r="F47" s="19"/>
    </row>
    <row r="48" customFormat="false" ht="18" hidden="false" customHeight="true" outlineLevel="0" collapsed="false">
      <c r="A48" s="19" t="s">
        <v>165</v>
      </c>
      <c r="B48" s="19" t="s">
        <v>166</v>
      </c>
      <c r="C48" s="19" t="s">
        <v>167</v>
      </c>
      <c r="D48" s="19" t="s">
        <v>168</v>
      </c>
      <c r="E48" s="19" t="s">
        <v>169</v>
      </c>
      <c r="F48" s="19"/>
    </row>
    <row r="49" customFormat="false" ht="18" hidden="false" customHeight="true" outlineLevel="0" collapsed="false">
      <c r="A49" s="19" t="s">
        <v>170</v>
      </c>
      <c r="B49" s="19" t="s">
        <v>171</v>
      </c>
      <c r="C49" s="19"/>
      <c r="D49" s="19"/>
      <c r="E49" s="19"/>
      <c r="F49" s="19"/>
    </row>
    <row r="50" customFormat="false" ht="18" hidden="false" customHeight="true" outlineLevel="0" collapsed="false">
      <c r="A50" s="50" t="s">
        <v>172</v>
      </c>
      <c r="B50" s="50"/>
      <c r="C50" s="50"/>
      <c r="D50" s="50"/>
      <c r="E50" s="50"/>
      <c r="F50" s="50"/>
    </row>
    <row r="51" customFormat="false" ht="24.75" hidden="false" customHeight="true" outlineLevel="0" collapsed="false">
      <c r="A51" s="30" t="s">
        <v>173</v>
      </c>
      <c r="B51" s="51" t="n">
        <v>4</v>
      </c>
      <c r="C51" s="51" t="n">
        <v>4</v>
      </c>
      <c r="D51" s="51" t="n">
        <v>9</v>
      </c>
      <c r="E51" s="51" t="n">
        <v>9</v>
      </c>
      <c r="F51" s="51" t="n">
        <v>9</v>
      </c>
    </row>
    <row r="52" customFormat="false" ht="24.75" hidden="false" customHeight="true" outlineLevel="0" collapsed="false">
      <c r="A52" s="30" t="s">
        <v>174</v>
      </c>
      <c r="B52" s="52" t="n">
        <v>0.75</v>
      </c>
      <c r="C52" s="52" t="n">
        <v>0.75</v>
      </c>
      <c r="D52" s="52" t="n">
        <v>0.75</v>
      </c>
      <c r="E52" s="52" t="n">
        <v>0.75</v>
      </c>
      <c r="F52" s="52" t="n">
        <v>0.75</v>
      </c>
    </row>
    <row r="53" customFormat="false" ht="24.75" hidden="false" customHeight="true" outlineLevel="0" collapsed="false">
      <c r="A53" s="46" t="s">
        <v>175</v>
      </c>
      <c r="B53" s="53" t="n">
        <v>0</v>
      </c>
      <c r="C53" s="53" t="n">
        <v>420000000</v>
      </c>
      <c r="D53" s="53" t="n">
        <v>850000000</v>
      </c>
      <c r="E53" s="53" t="n">
        <v>1600000000</v>
      </c>
      <c r="F53" s="53" t="n">
        <v>3000000000</v>
      </c>
    </row>
    <row r="54" customFormat="false" ht="24.75" hidden="false" customHeight="true" outlineLevel="0" collapsed="false">
      <c r="A54" s="30" t="s">
        <v>176</v>
      </c>
      <c r="B54" s="54" t="n">
        <v>0</v>
      </c>
      <c r="C54" s="54" t="n">
        <v>0</v>
      </c>
      <c r="D54" s="54" t="n">
        <v>0</v>
      </c>
      <c r="E54" s="54" t="n">
        <v>0</v>
      </c>
      <c r="F54" s="54" t="n">
        <v>0</v>
      </c>
    </row>
    <row r="55" customFormat="false" ht="24.75" hidden="false" customHeight="true" outlineLevel="0" collapsed="false">
      <c r="A55" s="30" t="s">
        <v>177</v>
      </c>
      <c r="B55" s="52" t="n">
        <v>0</v>
      </c>
      <c r="C55" s="52" t="n">
        <v>0</v>
      </c>
      <c r="D55" s="52" t="n">
        <v>0</v>
      </c>
      <c r="E55" s="52" t="n">
        <v>0</v>
      </c>
      <c r="F55" s="52" t="n">
        <v>0</v>
      </c>
    </row>
    <row r="56" customFormat="false" ht="24.75" hidden="false" customHeight="true" outlineLevel="0" collapsed="false">
      <c r="A56" s="30" t="s">
        <v>178</v>
      </c>
      <c r="B56" s="52" t="n">
        <v>0</v>
      </c>
      <c r="C56" s="52" t="n">
        <v>0</v>
      </c>
      <c r="D56" s="52" t="n">
        <v>0</v>
      </c>
      <c r="E56" s="52" t="n">
        <v>0</v>
      </c>
      <c r="F56" s="52" t="n">
        <v>0</v>
      </c>
    </row>
    <row r="57" customFormat="false" ht="24.75" hidden="false" customHeight="true" outlineLevel="0" collapsed="false">
      <c r="A57" s="30" t="s">
        <v>179</v>
      </c>
      <c r="B57" s="55" t="n">
        <v>0.12</v>
      </c>
      <c r="C57" s="55" t="n">
        <v>0.12</v>
      </c>
      <c r="D57" s="55" t="n">
        <v>0.12</v>
      </c>
      <c r="E57" s="55" t="n">
        <v>0.12</v>
      </c>
      <c r="F57" s="55" t="n">
        <v>0.12</v>
      </c>
    </row>
    <row r="58" customFormat="false" ht="24.75" hidden="false" customHeight="true" outlineLevel="0" collapsed="false">
      <c r="A58" s="30" t="s">
        <v>180</v>
      </c>
      <c r="B58" s="55" t="n">
        <v>1</v>
      </c>
      <c r="C58" s="55" t="n">
        <v>1</v>
      </c>
      <c r="D58" s="55" t="n">
        <v>1</v>
      </c>
      <c r="E58" s="55" t="n">
        <v>1</v>
      </c>
      <c r="F58" s="55" t="n">
        <v>1</v>
      </c>
    </row>
    <row r="59" customFormat="false" ht="24.75" hidden="false" customHeight="true" outlineLevel="0" collapsed="false">
      <c r="A59" s="30" t="s">
        <v>181</v>
      </c>
      <c r="B59" s="55" t="n">
        <v>1</v>
      </c>
      <c r="C59" s="55" t="n">
        <v>1</v>
      </c>
      <c r="D59" s="55" t="n">
        <v>1</v>
      </c>
      <c r="E59" s="55" t="n">
        <v>1</v>
      </c>
      <c r="F59" s="55" t="n">
        <v>1</v>
      </c>
    </row>
    <row r="60" customFormat="false" ht="24.75" hidden="false" customHeight="true" outlineLevel="0" collapsed="false">
      <c r="A60" s="30" t="s">
        <v>182</v>
      </c>
      <c r="B60" s="55" t="n">
        <v>0.3</v>
      </c>
      <c r="C60" s="55" t="n">
        <v>0.3</v>
      </c>
      <c r="D60" s="55" t="n">
        <v>0.3</v>
      </c>
      <c r="E60" s="55" t="n">
        <v>0.3</v>
      </c>
      <c r="F60" s="55" t="n">
        <v>0.3</v>
      </c>
    </row>
    <row r="61" customFormat="false" ht="24.75" hidden="false" customHeight="true" outlineLevel="0" collapsed="false">
      <c r="A61" s="30" t="s">
        <v>183</v>
      </c>
      <c r="B61" s="55" t="n">
        <v>0.18</v>
      </c>
      <c r="C61" s="55" t="n">
        <v>0.18</v>
      </c>
      <c r="D61" s="55" t="n">
        <v>0.18</v>
      </c>
      <c r="E61" s="55" t="n">
        <v>0.18</v>
      </c>
      <c r="F61" s="55" t="n">
        <v>0.18</v>
      </c>
    </row>
    <row r="62" customFormat="false" ht="24.75" hidden="false" customHeight="true" outlineLevel="0" collapsed="false">
      <c r="A62" s="30" t="s">
        <v>184</v>
      </c>
      <c r="B62" s="42" t="n">
        <v>0.9</v>
      </c>
      <c r="C62" s="42" t="n">
        <v>0.9</v>
      </c>
      <c r="D62" s="42" t="n">
        <v>0.95</v>
      </c>
      <c r="E62" s="42" t="n">
        <v>0.95</v>
      </c>
      <c r="F62" s="42" t="n">
        <v>0.95</v>
      </c>
    </row>
    <row r="63" customFormat="false" ht="24.75" hidden="false" customHeight="true" outlineLevel="0" collapsed="false">
      <c r="A63" s="30" t="s">
        <v>185</v>
      </c>
      <c r="B63" s="55" t="n">
        <v>0.8</v>
      </c>
      <c r="C63" s="55" t="n">
        <v>0.8</v>
      </c>
      <c r="D63" s="55" t="n">
        <v>0.8</v>
      </c>
      <c r="E63" s="55" t="n">
        <v>0.8</v>
      </c>
      <c r="F63" s="55" t="n">
        <v>0.8</v>
      </c>
    </row>
    <row r="64" customFormat="false" ht="24.75" hidden="false" customHeight="true" outlineLevel="0" collapsed="false">
      <c r="A64" s="30" t="s">
        <v>186</v>
      </c>
      <c r="B64" s="56" t="n">
        <f aca="false">Staff!C21</f>
        <v>36</v>
      </c>
      <c r="C64" s="56" t="n">
        <f aca="false">Staff!D21</f>
        <v>36</v>
      </c>
      <c r="D64" s="56" t="n">
        <f aca="false">Staff!E21</f>
        <v>36</v>
      </c>
      <c r="E64" s="56" t="n">
        <f aca="false">Staff!F21</f>
        <v>36</v>
      </c>
      <c r="F64" s="56" t="n">
        <f aca="false">Staff!G21</f>
        <v>36</v>
      </c>
    </row>
    <row r="65" customFormat="false" ht="24.75" hidden="false" customHeight="true" outlineLevel="0" collapsed="false">
      <c r="A65" s="30" t="s">
        <v>187</v>
      </c>
      <c r="B65" s="57" t="n">
        <v>1</v>
      </c>
      <c r="C65" s="57" t="n">
        <v>1</v>
      </c>
      <c r="D65" s="57" t="n">
        <v>1</v>
      </c>
      <c r="E65" s="57" t="n">
        <v>1</v>
      </c>
      <c r="F65" s="57" t="n">
        <v>1</v>
      </c>
    </row>
    <row r="66" customFormat="false" ht="24.75" hidden="false" customHeight="true" outlineLevel="0" collapsed="false">
      <c r="A66" s="30" t="s">
        <v>188</v>
      </c>
      <c r="B66" s="52" t="n">
        <f aca="false">IFERROR(Opex!H20/(SUMPRODUCT(Opex!$B$4:$B$18,Opex!$C$4:$C$18)*12),1)</f>
        <v>0.646153846153846</v>
      </c>
      <c r="C66" s="52" t="n">
        <f aca="false">IFERROR(Opex!I20/(SUMPRODUCT(Opex!$B$4:$B$18,Opex!$D$4:$D$18)*12*(1+$B$35)),1)</f>
        <v>0.981818181818182</v>
      </c>
      <c r="D66" s="52" t="n">
        <v>1</v>
      </c>
      <c r="E66" s="52" t="n">
        <v>1</v>
      </c>
      <c r="F66" s="52" t="n">
        <v>1</v>
      </c>
    </row>
    <row r="67" customFormat="false" ht="18" hidden="false" customHeight="true" outlineLevel="0" collapsed="false">
      <c r="A67" s="19" t="s">
        <v>189</v>
      </c>
      <c r="B67" s="19" t="s">
        <v>190</v>
      </c>
      <c r="C67" s="19"/>
      <c r="D67" s="19"/>
      <c r="E67" s="19"/>
      <c r="F67" s="19"/>
    </row>
    <row r="68" customFormat="false" ht="18" hidden="false" customHeight="true" outlineLevel="0" collapsed="false">
      <c r="A68" s="58" t="s">
        <v>191</v>
      </c>
      <c r="B68" s="58"/>
      <c r="C68" s="58"/>
      <c r="D68" s="58"/>
      <c r="E68" s="58"/>
      <c r="F68" s="58"/>
    </row>
    <row r="69" customFormat="false" ht="54" hidden="false" customHeight="true" outlineLevel="0" collapsed="false">
      <c r="A69" s="30" t="s">
        <v>192</v>
      </c>
      <c r="B69" s="30" t="s">
        <v>193</v>
      </c>
      <c r="C69" s="30"/>
      <c r="D69" s="30"/>
      <c r="E69" s="30"/>
      <c r="F69" s="30"/>
    </row>
    <row r="70" customFormat="false" ht="39.75" hidden="false" customHeight="true" outlineLevel="0" collapsed="false">
      <c r="A70" s="30" t="s">
        <v>194</v>
      </c>
      <c r="B70" s="59" t="s">
        <v>195</v>
      </c>
      <c r="C70" s="59"/>
      <c r="D70" s="59"/>
      <c r="E70" s="59"/>
      <c r="F70" s="59"/>
    </row>
    <row r="71" customFormat="false" ht="37.5" hidden="false" customHeight="true" outlineLevel="0" collapsed="false">
      <c r="A71" s="30" t="s">
        <v>196</v>
      </c>
      <c r="B71" s="59" t="s">
        <v>197</v>
      </c>
      <c r="C71" s="59"/>
      <c r="D71" s="59"/>
      <c r="E71" s="59"/>
      <c r="F71" s="59"/>
    </row>
    <row r="72" customFormat="false" ht="48" hidden="false" customHeight="true" outlineLevel="0" collapsed="false">
      <c r="A72" s="30" t="s">
        <v>198</v>
      </c>
      <c r="B72" s="60" t="s">
        <v>199</v>
      </c>
      <c r="C72" s="60"/>
      <c r="D72" s="60"/>
      <c r="E72" s="60"/>
      <c r="F72" s="60"/>
    </row>
    <row r="73" customFormat="false" ht="54" hidden="false" customHeight="true" outlineLevel="0" collapsed="false">
      <c r="A73" s="30" t="s">
        <v>200</v>
      </c>
      <c r="B73" s="30" t="s">
        <v>201</v>
      </c>
      <c r="C73" s="30"/>
      <c r="D73" s="30"/>
      <c r="E73" s="30"/>
      <c r="F73" s="30"/>
    </row>
    <row r="74" customFormat="false" ht="15" hidden="false" customHeight="true" outlineLevel="0" collapsed="false">
      <c r="A74" s="61" t="s">
        <v>202</v>
      </c>
      <c r="B74" s="62" t="n">
        <f aca="false">'Funding &amp; Liquidity'!B12</f>
        <v>0</v>
      </c>
      <c r="C74" s="62" t="n">
        <f aca="false">'Funding &amp; Liquidity'!C12</f>
        <v>71677562.91</v>
      </c>
      <c r="D74" s="62" t="n">
        <f aca="false">'Funding &amp; Liquidity'!D12</f>
        <v>292500000</v>
      </c>
      <c r="E74" s="62" t="n">
        <f aca="false">'Funding &amp; Liquidity'!E12</f>
        <v>615000000</v>
      </c>
      <c r="F74" s="62" t="n">
        <f aca="false">'Funding &amp; Liquidity'!F12</f>
        <v>1162500000</v>
      </c>
    </row>
    <row r="75" customFormat="false" ht="15" hidden="false" customHeight="true" outlineLevel="0" collapsed="false">
      <c r="A75" s="63" t="s">
        <v>203</v>
      </c>
      <c r="B75" s="63"/>
      <c r="C75" s="63"/>
      <c r="D75" s="63"/>
      <c r="E75" s="63"/>
      <c r="F75" s="63"/>
    </row>
    <row r="76" customFormat="false" ht="15" hidden="false" customHeight="true" outlineLevel="0" collapsed="false">
      <c r="A76" s="1" t="s">
        <v>204</v>
      </c>
      <c r="B76" s="64" t="n">
        <f aca="false">B4</f>
        <v>27750000</v>
      </c>
      <c r="C76" s="64" t="n">
        <f aca="false">C4</f>
        <v>527500000</v>
      </c>
      <c r="D76" s="64" t="n">
        <f aca="false">D4</f>
        <v>700000000</v>
      </c>
      <c r="E76" s="64" t="n">
        <f aca="false">E4</f>
        <v>1350000000</v>
      </c>
      <c r="F76" s="64" t="n">
        <f aca="false">F4</f>
        <v>2500000000</v>
      </c>
    </row>
    <row r="77" customFormat="false" ht="15" hidden="false" customHeight="true" outlineLevel="0" collapsed="false">
      <c r="A77" s="1" t="s">
        <v>205</v>
      </c>
      <c r="B77" s="65" t="n">
        <v>185</v>
      </c>
      <c r="C77" s="65" t="n">
        <v>1670</v>
      </c>
      <c r="D77" s="65" t="n">
        <v>788</v>
      </c>
      <c r="E77" s="65" t="n">
        <v>1227</v>
      </c>
      <c r="F77" s="65" t="n">
        <v>1852</v>
      </c>
    </row>
    <row r="78" customFormat="false" ht="15" hidden="false" customHeight="true" outlineLevel="0" collapsed="false">
      <c r="A78" s="1" t="s">
        <v>206</v>
      </c>
      <c r="B78" s="66" t="n">
        <v>7077695.91</v>
      </c>
      <c r="C78" s="66" t="n">
        <v>95570083.88</v>
      </c>
      <c r="D78" s="66" t="n">
        <v>390000000</v>
      </c>
      <c r="E78" s="66" t="n">
        <v>820000000</v>
      </c>
      <c r="F78" s="66" t="n">
        <v>1550000000</v>
      </c>
    </row>
    <row r="79" customFormat="false" ht="15" hidden="false" customHeight="true" outlineLevel="0" collapsed="false">
      <c r="A79" s="1" t="s">
        <v>207</v>
      </c>
      <c r="B79" s="66" t="n">
        <v>20672304.09</v>
      </c>
      <c r="C79" s="66" t="n">
        <v>452602220.2</v>
      </c>
      <c r="D79" s="66" t="n">
        <f aca="false">C79*(1-12/$B$29)+D76*(1-$B$25)</f>
        <v>866561332.12</v>
      </c>
      <c r="E79" s="66" t="n">
        <f aca="false">D79*(1-12/$B$29)+E76*(1-$B$25)</f>
        <v>1667436799.272</v>
      </c>
      <c r="F79" s="66" t="n">
        <f aca="false">E79*(1-12/$B$29)+F76*(1-$B$25)</f>
        <v>3125462079.5632</v>
      </c>
    </row>
    <row r="80" customFormat="false" ht="15" hidden="false" customHeight="true" outlineLevel="0" collapsed="false">
      <c r="A80" s="1" t="s">
        <v>208</v>
      </c>
      <c r="B80" s="66" t="n">
        <f aca="false">'Cohort Interest'!B8</f>
        <v>3538847.96</v>
      </c>
      <c r="C80" s="66" t="n">
        <f aca="false">'Cohort Interest'!C8</f>
        <v>45873640.26</v>
      </c>
      <c r="D80" s="66" t="n">
        <f aca="false">'Cohort Interest'!D8</f>
        <v>197874532.848</v>
      </c>
      <c r="E80" s="66" t="n">
        <f aca="false">'Cohort Interest'!E8</f>
        <v>354759738.39488</v>
      </c>
      <c r="F80" s="66" t="n">
        <f aca="false">'Cohort Interest'!F8</f>
        <v>623076854.248576</v>
      </c>
    </row>
    <row r="81" customFormat="false" ht="15" hidden="false" customHeight="true" outlineLevel="0" collapsed="false">
      <c r="A81" s="1" t="s">
        <v>209</v>
      </c>
      <c r="B81" s="66" t="n">
        <f aca="false">B76*B26</f>
        <v>1387500</v>
      </c>
      <c r="C81" s="66" t="n">
        <f aca="false">C76*C26</f>
        <v>36925000</v>
      </c>
      <c r="D81" s="66" t="n">
        <f aca="false">D76*D26</f>
        <v>42000000</v>
      </c>
      <c r="E81" s="66" t="n">
        <f aca="false">E76*E26</f>
        <v>81000000</v>
      </c>
      <c r="F81" s="66" t="n">
        <f aca="false">F76*F26</f>
        <v>150000000</v>
      </c>
    </row>
    <row r="82" customFormat="false" ht="15" hidden="false" customHeight="true" outlineLevel="0" collapsed="false">
      <c r="A82" s="1" t="s">
        <v>210</v>
      </c>
      <c r="B82" s="66" t="n">
        <v>3118262.4</v>
      </c>
      <c r="C82" s="66" t="n">
        <v>0</v>
      </c>
      <c r="D82" s="66" t="n">
        <f aca="false">D76*0.8%</f>
        <v>5600000</v>
      </c>
      <c r="E82" s="66" t="n">
        <f aca="false">E76*0.8%</f>
        <v>10800000</v>
      </c>
      <c r="F82" s="66" t="n">
        <f aca="false">F76*0.8%</f>
        <v>20000000</v>
      </c>
    </row>
    <row r="83" customFormat="false" ht="15" hidden="false" customHeight="true" outlineLevel="0" collapsed="false">
      <c r="A83" s="1" t="s">
        <v>211</v>
      </c>
      <c r="B83" s="66" t="n">
        <f aca="false">SUMIFS('Monthly Model'!$B$41:$BI$41,'Monthly Model'!$B$4:$BI$4,2027)</f>
        <v>0</v>
      </c>
      <c r="C83" s="66" t="n">
        <f aca="false">SUMIFS('Monthly Model'!$B$41:$BI$41,'Monthly Model'!$B$4:$BI$4,2028)</f>
        <v>37240500</v>
      </c>
      <c r="D83" s="66" t="n">
        <f aca="false">SUMIFS('Monthly Model'!$B$41:$BI$41,'Monthly Model'!$B$4:$BI$4,2029)</f>
        <v>102822500</v>
      </c>
      <c r="E83" s="66" t="n">
        <f aca="false">SUMIFS('Monthly Model'!$B$41:$BI$41,'Monthly Model'!$B$4:$BI$4,2030)</f>
        <v>176827500</v>
      </c>
      <c r="F83" s="66" t="n">
        <f aca="false">SUMIFS('Monthly Model'!$B$41:$BI$41,'Monthly Model'!$B$4:$BI$4,2031)</f>
        <v>325335375</v>
      </c>
    </row>
    <row r="84" customFormat="false" ht="15" hidden="false" customHeight="true" outlineLevel="0" collapsed="false">
      <c r="A84" s="1" t="s">
        <v>212</v>
      </c>
      <c r="B84" s="66" t="n">
        <f aca="false">B79*$B$31</f>
        <v>620169.1227</v>
      </c>
      <c r="C84" s="66" t="n">
        <f aca="false">C79*$B$31-B79*$B$31</f>
        <v>12957897.4833</v>
      </c>
      <c r="D84" s="66" t="n">
        <f aca="false">D79*$B$31-C79*$B$31</f>
        <v>12418773.3576</v>
      </c>
      <c r="E84" s="66" t="n">
        <f aca="false">E79*$B$31-D79*$B$31</f>
        <v>24026264.01456</v>
      </c>
      <c r="F84" s="66" t="n">
        <f aca="false">F79*$B$31-E79*$B$31</f>
        <v>43740758.408736</v>
      </c>
    </row>
    <row r="85" customFormat="false" ht="15" hidden="false" customHeight="true" outlineLevel="0" collapsed="false">
      <c r="A85" s="1" t="s">
        <v>213</v>
      </c>
      <c r="B85" s="66" t="n">
        <f aca="false">Staff!H21</f>
        <v>11156112</v>
      </c>
      <c r="C85" s="66" t="n">
        <f aca="false">Staff!I21</f>
        <v>15618000</v>
      </c>
      <c r="D85" s="66" t="n">
        <f aca="false">Staff!J21</f>
        <v>21893869</v>
      </c>
      <c r="E85" s="66" t="n">
        <f aca="false">Staff!K21</f>
        <v>25061090</v>
      </c>
      <c r="F85" s="66" t="n">
        <f aca="false">Staff!L21</f>
        <v>30073308</v>
      </c>
    </row>
    <row r="86" customFormat="false" ht="15" hidden="false" customHeight="true" outlineLevel="0" collapsed="false">
      <c r="A86" s="1" t="s">
        <v>214</v>
      </c>
      <c r="B86" s="66" t="n">
        <v>4435200</v>
      </c>
      <c r="C86" s="66" t="n">
        <v>7413120</v>
      </c>
      <c r="D86" s="66" t="n">
        <f aca="false">Opex!J19</f>
        <v>8305440</v>
      </c>
      <c r="E86" s="66" t="n">
        <f aca="false">Opex!K19</f>
        <v>12769614</v>
      </c>
      <c r="F86" s="66" t="n">
        <f aca="false">Opex!L19</f>
        <v>18043568.4</v>
      </c>
    </row>
    <row r="87" customFormat="false" ht="15" hidden="false" customHeight="true" outlineLevel="0" collapsed="false">
      <c r="A87" s="1" t="s">
        <v>215</v>
      </c>
      <c r="B87" s="66" t="n">
        <v>0</v>
      </c>
      <c r="C87" s="66" t="n">
        <v>0</v>
      </c>
      <c r="D87" s="66" t="n">
        <v>1000000</v>
      </c>
      <c r="E87" s="66" t="n">
        <v>1500000</v>
      </c>
      <c r="F87" s="66" t="n">
        <v>2000000</v>
      </c>
    </row>
    <row r="88" customFormat="false" ht="15" hidden="false" customHeight="true" outlineLevel="0" collapsed="false">
      <c r="A88" s="1" t="s">
        <v>131</v>
      </c>
      <c r="B88" s="66" t="n">
        <f aca="false">'Income Statement'!B46</f>
        <v>0</v>
      </c>
      <c r="C88" s="66" t="n">
        <f aca="false">'Income Statement'!C46</f>
        <v>315506.703149994</v>
      </c>
      <c r="D88" s="66" t="n">
        <f aca="false">'Income Statement'!D46</f>
        <v>22282638.86034</v>
      </c>
      <c r="E88" s="66" t="n">
        <f aca="false">'Income Statement'!E46</f>
        <v>46434435.835572</v>
      </c>
      <c r="F88" s="66" t="n">
        <f aca="false">'Income Statement'!F46</f>
        <v>84123864.9989639</v>
      </c>
    </row>
    <row r="89" customFormat="false" ht="15" hidden="false" customHeight="true" outlineLevel="0" collapsed="false">
      <c r="A89" s="1" t="s">
        <v>216</v>
      </c>
      <c r="B89" s="66" t="n">
        <f aca="false">B80+B81+B82-B83-B84-B85-B86-B87-B88</f>
        <v>-8166870.7627</v>
      </c>
      <c r="C89" s="66" t="n">
        <f aca="false">C80+C81+C82-C83-C84-C85-C86-C87-C88</f>
        <v>9253616.07354998</v>
      </c>
      <c r="D89" s="66" t="n">
        <f aca="false">D80+D81+D82-D83-D84-D85-D86-D87-D88</f>
        <v>76751311.63006</v>
      </c>
      <c r="E89" s="66" t="n">
        <f aca="false">E80+E81+E82-E83-E84-E85-E86-E87-E88</f>
        <v>159940834.544748</v>
      </c>
      <c r="F89" s="66" t="n">
        <f aca="false">F80+F81+F82-F83-F84-F85-F86-F87-F88</f>
        <v>289759979.440876</v>
      </c>
    </row>
    <row r="90" customFormat="false" ht="15" hidden="false" customHeight="true" outlineLevel="0" collapsed="false">
      <c r="A90" s="1" t="s">
        <v>217</v>
      </c>
      <c r="B90" s="66" t="n">
        <v>0</v>
      </c>
      <c r="C90" s="66" t="n">
        <v>370000000</v>
      </c>
      <c r="D90" s="66" t="n">
        <v>685000000</v>
      </c>
      <c r="E90" s="66" t="n">
        <v>1335000000</v>
      </c>
      <c r="F90" s="66" t="n">
        <v>2600000000</v>
      </c>
    </row>
    <row r="91" customFormat="false" ht="15" hidden="false" customHeight="true" outlineLevel="0" collapsed="false">
      <c r="A91" s="1" t="s">
        <v>218</v>
      </c>
      <c r="B91" s="66" t="n">
        <v>30000000</v>
      </c>
      <c r="C91" s="66" t="n">
        <v>75000000</v>
      </c>
      <c r="D91" s="66" t="n">
        <v>75000000</v>
      </c>
      <c r="E91" s="66" t="n">
        <v>75000000</v>
      </c>
      <c r="F91" s="66" t="n">
        <v>75000000</v>
      </c>
    </row>
    <row r="92" customFormat="false" ht="15" hidden="false" customHeight="true" outlineLevel="0" collapsed="false">
      <c r="A92" s="1" t="s">
        <v>219</v>
      </c>
      <c r="B92" s="66" t="n">
        <f aca="false">B89</f>
        <v>-8166870.7627</v>
      </c>
      <c r="C92" s="66" t="n">
        <f aca="false">B92+C89</f>
        <v>1086745.31084998</v>
      </c>
      <c r="D92" s="66" t="n">
        <f aca="false">C92+D89</f>
        <v>77838056.9409099</v>
      </c>
      <c r="E92" s="66" t="n">
        <f aca="false">D92+E89</f>
        <v>237778891.485658</v>
      </c>
      <c r="F92" s="66" t="n">
        <f aca="false">E92+F89</f>
        <v>527538870.926534</v>
      </c>
    </row>
    <row r="93" customFormat="false" ht="15" hidden="false" customHeight="true" outlineLevel="0" collapsed="false">
      <c r="A93" s="1" t="s">
        <v>220</v>
      </c>
      <c r="B93" s="66" t="n">
        <f aca="false">0</f>
        <v>0</v>
      </c>
      <c r="C93" s="66" t="n">
        <f aca="false">MAX(0,C89*$B$41)</f>
        <v>462680.803677499</v>
      </c>
      <c r="D93" s="66" t="n">
        <f aca="false">C93+MAX(0,D89*$B$41)</f>
        <v>4300246.3851805</v>
      </c>
      <c r="E93" s="66" t="n">
        <f aca="false">D93+MAX(0,E89*$B$41)</f>
        <v>12297288.1124179</v>
      </c>
      <c r="F93" s="66" t="n">
        <f aca="false">E93+MAX(0,F89*$B$41)</f>
        <v>26785287.0844617</v>
      </c>
    </row>
    <row r="94" customFormat="false" ht="15" hidden="false" customHeight="true" outlineLevel="0" collapsed="false">
      <c r="A94" s="1" t="s">
        <v>221</v>
      </c>
      <c r="B94" s="66" t="n">
        <f aca="false">B91+B92</f>
        <v>21833129.2373</v>
      </c>
      <c r="C94" s="66" t="n">
        <f aca="false">C91+C92</f>
        <v>76086745.31085</v>
      </c>
      <c r="D94" s="66" t="n">
        <f aca="false">D91+D92</f>
        <v>152838056.94091</v>
      </c>
      <c r="E94" s="66" t="n">
        <f aca="false">E91+E92</f>
        <v>312778891.485658</v>
      </c>
      <c r="F94" s="66" t="n">
        <f aca="false">F91+F92</f>
        <v>602538870.926534</v>
      </c>
    </row>
    <row r="95" customFormat="false" ht="15" hidden="false" customHeight="true" outlineLevel="0" collapsed="false">
      <c r="A95" s="1" t="s">
        <v>179</v>
      </c>
      <c r="B95" s="67" t="n">
        <v>0.12</v>
      </c>
      <c r="C95" s="67" t="n">
        <v>0.12</v>
      </c>
      <c r="D95" s="67" t="n">
        <v>0.12</v>
      </c>
      <c r="E95" s="67" t="n">
        <v>0.12</v>
      </c>
      <c r="F95" s="67" t="n">
        <v>0.12</v>
      </c>
    </row>
    <row r="96" customFormat="false" ht="15" hidden="false" customHeight="true" outlineLevel="0" collapsed="false">
      <c r="A96" s="1" t="s">
        <v>222</v>
      </c>
      <c r="B96" s="67" t="n">
        <v>0.18</v>
      </c>
      <c r="C96" s="67" t="n">
        <v>0.18</v>
      </c>
      <c r="D96" s="67" t="n">
        <v>0.18</v>
      </c>
      <c r="E96" s="67" t="n">
        <v>0.18</v>
      </c>
      <c r="F96" s="67" t="n">
        <v>0.18</v>
      </c>
    </row>
    <row r="97" customFormat="false" ht="15" hidden="false" customHeight="true" outlineLevel="0" collapsed="false">
      <c r="A97" s="1" t="s">
        <v>223</v>
      </c>
      <c r="B97" s="68" t="n">
        <v>12.5</v>
      </c>
      <c r="C97" s="68" t="n">
        <v>12.5</v>
      </c>
      <c r="D97" s="68" t="n">
        <v>12.5</v>
      </c>
      <c r="E97" s="68" t="n">
        <v>12.5</v>
      </c>
      <c r="F97" s="68" t="n">
        <v>12.5</v>
      </c>
    </row>
    <row r="98" customFormat="false" ht="43.5" hidden="false" customHeight="true" outlineLevel="0" collapsed="false">
      <c r="A98" s="69" t="s">
        <v>224</v>
      </c>
      <c r="B98" s="70" t="n">
        <f aca="false">'Cash Flow'!B25</f>
        <v>3220917.99</v>
      </c>
      <c r="C98" s="70" t="n">
        <f aca="false">'Cash Flow'!C25</f>
        <v>9502515.43684994</v>
      </c>
      <c r="D98" s="70" t="n">
        <f aca="false">'Cash Flow'!D25</f>
        <v>13213488.5045099</v>
      </c>
      <c r="E98" s="70" t="n">
        <f aca="false">'Cash Flow'!E25</f>
        <v>65805119.911818</v>
      </c>
      <c r="F98" s="70" t="n">
        <f aca="false">'Cash Flow'!F25</f>
        <v>240780577.47023</v>
      </c>
    </row>
    <row r="99" customFormat="false" ht="43.5" hidden="false" customHeight="true" outlineLevel="0" collapsed="false">
      <c r="A99" s="69" t="s">
        <v>225</v>
      </c>
      <c r="B99" s="70" t="n">
        <v>258076.28</v>
      </c>
      <c r="C99" s="70" t="n">
        <v>258076.28</v>
      </c>
      <c r="D99" s="70" t="n">
        <v>258076.28</v>
      </c>
      <c r="E99" s="70" t="n">
        <v>258076.28</v>
      </c>
      <c r="F99" s="70" t="n">
        <v>258076.28</v>
      </c>
    </row>
    <row r="100" customFormat="false" ht="43.5" hidden="false" customHeight="true" outlineLevel="0" collapsed="false">
      <c r="A100" s="69" t="s">
        <v>226</v>
      </c>
      <c r="B100" s="70" t="n">
        <v>6000000</v>
      </c>
      <c r="C100" s="70" t="n">
        <v>7500000</v>
      </c>
      <c r="D100" s="70" t="n">
        <v>21000000</v>
      </c>
      <c r="E100" s="70" t="n">
        <v>40500000</v>
      </c>
      <c r="F100" s="70" t="n">
        <v>75000000</v>
      </c>
    </row>
    <row r="101" customFormat="false" ht="15" hidden="false" customHeight="true" outlineLevel="0" collapsed="false">
      <c r="A101" s="69" t="s">
        <v>227</v>
      </c>
      <c r="B101" s="70" t="n">
        <v>0</v>
      </c>
      <c r="C101" s="70" t="n">
        <v>420000000</v>
      </c>
      <c r="D101" s="70" t="n">
        <v>850000000</v>
      </c>
      <c r="E101" s="70" t="n">
        <v>1600000000</v>
      </c>
      <c r="F101" s="70" t="n">
        <v>3000000000</v>
      </c>
    </row>
    <row r="102" customFormat="false" ht="37.5" hidden="false" customHeight="true" outlineLevel="0" collapsed="false">
      <c r="A102" s="69" t="s">
        <v>228</v>
      </c>
      <c r="B102" s="71" t="n">
        <v>0.8</v>
      </c>
      <c r="C102" s="71" t="n">
        <v>0.85</v>
      </c>
      <c r="D102" s="71" t="n">
        <v>0.9</v>
      </c>
      <c r="E102" s="71" t="n">
        <v>0.9</v>
      </c>
      <c r="F102" s="71" t="n">
        <v>0.9</v>
      </c>
    </row>
    <row r="103" customFormat="false" ht="43.5" hidden="false" customHeight="true" outlineLevel="0" collapsed="false">
      <c r="A103" s="60" t="s">
        <v>229</v>
      </c>
      <c r="B103" s="60"/>
      <c r="C103" s="60"/>
      <c r="D103" s="60"/>
      <c r="E103" s="60"/>
      <c r="F103" s="60"/>
    </row>
    <row r="104" customFormat="false" ht="39.75" hidden="false" customHeight="true" outlineLevel="0" collapsed="false">
      <c r="A104" s="72" t="s">
        <v>230</v>
      </c>
      <c r="B104" s="72"/>
      <c r="C104" s="72"/>
      <c r="D104" s="72"/>
      <c r="E104" s="72"/>
      <c r="F104" s="72"/>
    </row>
    <row r="105" customFormat="false" ht="30" hidden="false" customHeight="true" outlineLevel="0" collapsed="false">
      <c r="A105" s="73" t="s">
        <v>231</v>
      </c>
      <c r="B105" s="73"/>
      <c r="C105" s="73"/>
      <c r="D105" s="73"/>
      <c r="E105" s="73"/>
      <c r="F105" s="73"/>
    </row>
    <row r="106" customFormat="false" ht="27.75" hidden="false" customHeight="true" outlineLevel="0" collapsed="false">
      <c r="A106" s="74" t="s">
        <v>232</v>
      </c>
      <c r="B106" s="75" t="n">
        <v>0</v>
      </c>
      <c r="C106" s="75" t="n">
        <v>0</v>
      </c>
      <c r="D106" s="75" t="n">
        <v>0</v>
      </c>
      <c r="E106" s="75" t="n">
        <v>0</v>
      </c>
      <c r="F106" s="75" t="n">
        <v>0</v>
      </c>
    </row>
    <row r="107" customFormat="false" ht="27.75" hidden="false" customHeight="true" outlineLevel="0" collapsed="false">
      <c r="A107" s="74" t="s">
        <v>233</v>
      </c>
      <c r="B107" s="75" t="n">
        <v>1</v>
      </c>
      <c r="C107" s="75" t="n">
        <v>1</v>
      </c>
      <c r="D107" s="75" t="n">
        <v>1</v>
      </c>
      <c r="E107" s="75" t="n">
        <v>1</v>
      </c>
      <c r="F107" s="75" t="n">
        <v>1</v>
      </c>
    </row>
    <row r="108" customFormat="false" ht="27.75" hidden="false" customHeight="true" outlineLevel="0" collapsed="false">
      <c r="A108" s="74" t="s">
        <v>234</v>
      </c>
      <c r="B108" s="75" t="n">
        <v>0</v>
      </c>
      <c r="C108" s="75" t="n">
        <v>0</v>
      </c>
      <c r="D108" s="75" t="n">
        <v>0</v>
      </c>
      <c r="E108" s="75" t="n">
        <v>0</v>
      </c>
      <c r="F108" s="75" t="n">
        <v>0</v>
      </c>
    </row>
    <row r="110" customFormat="false" ht="15" hidden="false" customHeight="true" outlineLevel="0" collapsed="false">
      <c r="A110" s="50" t="s">
        <v>235</v>
      </c>
    </row>
    <row r="111" customFormat="false" ht="45.75" hidden="false" customHeight="true" outlineLevel="0" collapsed="false">
      <c r="A111" s="28" t="s">
        <v>236</v>
      </c>
      <c r="B111" s="76" t="s">
        <v>237</v>
      </c>
      <c r="C111" s="28" t="s">
        <v>238</v>
      </c>
    </row>
    <row r="112" customFormat="false" ht="23.25" hidden="false" customHeight="true" outlineLevel="0" collapsed="false">
      <c r="A112" s="30" t="s">
        <v>239</v>
      </c>
      <c r="B112" s="77"/>
      <c r="C112" s="30" t="s">
        <v>240</v>
      </c>
    </row>
    <row r="113" customFormat="false" ht="292.5" hidden="false" customHeight="true" outlineLevel="0" collapsed="false">
      <c r="A113" s="30" t="s">
        <v>241</v>
      </c>
      <c r="B113" s="60" t="s">
        <v>242</v>
      </c>
    </row>
    <row r="115" customFormat="false" ht="15" hidden="false" customHeight="true" outlineLevel="0" collapsed="false">
      <c r="A115" s="50" t="s">
        <v>243</v>
      </c>
    </row>
    <row r="116" customFormat="false" ht="15" hidden="false" customHeight="true" outlineLevel="0" collapsed="false">
      <c r="A116" s="28" t="s">
        <v>244</v>
      </c>
      <c r="B116" s="76" t="n">
        <v>0</v>
      </c>
      <c r="C116" s="28" t="n">
        <v>0</v>
      </c>
      <c r="D116" s="19" t="n">
        <v>0</v>
      </c>
      <c r="E116" s="19" t="n">
        <v>0</v>
      </c>
      <c r="F116" s="19" t="n">
        <v>0</v>
      </c>
    </row>
    <row r="117" customFormat="false" ht="15" hidden="false" customHeight="true" outlineLevel="0" collapsed="false">
      <c r="A117" s="28" t="s">
        <v>245</v>
      </c>
      <c r="B117" s="76" t="n">
        <v>0</v>
      </c>
      <c r="C117" s="28" t="n">
        <v>0</v>
      </c>
      <c r="D117" s="19" t="n">
        <v>0</v>
      </c>
      <c r="E117" s="19" t="n">
        <v>0</v>
      </c>
      <c r="F117" s="19" t="n">
        <v>0</v>
      </c>
    </row>
    <row r="118" customFormat="false" ht="15" hidden="false" customHeight="true" outlineLevel="0" collapsed="false">
      <c r="A118" s="28" t="s">
        <v>246</v>
      </c>
      <c r="B118" s="76" t="n">
        <v>0</v>
      </c>
      <c r="C118" s="28" t="n">
        <v>0</v>
      </c>
      <c r="D118" s="19" t="n">
        <v>0</v>
      </c>
      <c r="E118" s="19" t="n">
        <v>0</v>
      </c>
      <c r="F118" s="19" t="n">
        <v>0</v>
      </c>
    </row>
    <row r="119" customFormat="false" ht="15" hidden="false" customHeight="true" outlineLevel="0" collapsed="false">
      <c r="A119" s="28" t="s">
        <v>247</v>
      </c>
      <c r="B119" s="76" t="n">
        <v>0</v>
      </c>
      <c r="C119" s="28" t="n">
        <v>0</v>
      </c>
      <c r="D119" s="19" t="n">
        <v>0</v>
      </c>
      <c r="E119" s="19" t="n">
        <v>0</v>
      </c>
      <c r="F119" s="19" t="n">
        <v>0</v>
      </c>
    </row>
    <row r="120" customFormat="false" ht="23.25" hidden="false" customHeight="true" outlineLevel="0" collapsed="false">
      <c r="A120" s="28" t="s">
        <v>248</v>
      </c>
      <c r="B120" s="76" t="n">
        <v>0</v>
      </c>
      <c r="C120" s="28" t="n">
        <v>0</v>
      </c>
      <c r="D120" s="19" t="n">
        <v>0</v>
      </c>
      <c r="E120" s="19" t="n">
        <v>0</v>
      </c>
      <c r="F120" s="19" t="n">
        <v>0</v>
      </c>
    </row>
    <row r="121" customFormat="false" ht="15" hidden="false" customHeight="true" outlineLevel="0" collapsed="false">
      <c r="A121" s="1" t="s">
        <v>249</v>
      </c>
      <c r="B121" s="66" t="n">
        <f aca="false">SUM(B116:B120)</f>
        <v>0</v>
      </c>
      <c r="C121" s="66" t="n">
        <f aca="false">SUM(C116:C120)</f>
        <v>0</v>
      </c>
      <c r="D121" s="66" t="n">
        <f aca="false">SUM(D116:D120)</f>
        <v>0</v>
      </c>
      <c r="E121" s="66" t="n">
        <f aca="false">SUM(E116:E120)</f>
        <v>0</v>
      </c>
      <c r="F121" s="66" t="n">
        <f aca="false">SUM(F116:F120)</f>
        <v>0</v>
      </c>
    </row>
    <row r="122" customFormat="false" ht="15" hidden="false" customHeight="true" outlineLevel="0" collapsed="false">
      <c r="A122" s="28" t="s">
        <v>250</v>
      </c>
      <c r="B122" s="76" t="n">
        <v>0</v>
      </c>
      <c r="C122" s="28" t="n">
        <v>0</v>
      </c>
      <c r="D122" s="19" t="n">
        <v>0</v>
      </c>
      <c r="E122" s="19" t="n">
        <v>0</v>
      </c>
      <c r="F122" s="19" t="n">
        <v>0</v>
      </c>
    </row>
    <row r="123" customFormat="false" ht="23.25" hidden="false" customHeight="true" outlineLevel="0" collapsed="false">
      <c r="A123" s="28" t="s">
        <v>251</v>
      </c>
      <c r="B123" s="76" t="n">
        <v>0</v>
      </c>
      <c r="C123" s="28" t="n">
        <v>0</v>
      </c>
      <c r="D123" s="19" t="n">
        <v>0</v>
      </c>
      <c r="E123" s="19" t="n">
        <v>0</v>
      </c>
      <c r="F123" s="19" t="n">
        <v>0</v>
      </c>
    </row>
    <row r="124" customFormat="false" ht="15" hidden="false" customHeight="true" outlineLevel="0" collapsed="false">
      <c r="A124" s="1" t="s">
        <v>252</v>
      </c>
      <c r="B124" s="66" t="n">
        <f aca="false">B122+B123</f>
        <v>0</v>
      </c>
      <c r="C124" s="66" t="n">
        <f aca="false">C122+C123</f>
        <v>0</v>
      </c>
      <c r="D124" s="66" t="n">
        <f aca="false">D122+D123</f>
        <v>0</v>
      </c>
      <c r="E124" s="66" t="n">
        <f aca="false">E122+E123</f>
        <v>0</v>
      </c>
      <c r="F124" s="66" t="n">
        <f aca="false">F122+F123</f>
        <v>0</v>
      </c>
    </row>
    <row r="125" customFormat="false" ht="113.25" hidden="false" customHeight="true" outlineLevel="0" collapsed="false">
      <c r="A125" s="30" t="s">
        <v>253</v>
      </c>
      <c r="B125" s="60"/>
    </row>
  </sheetData>
  <mergeCells count="13">
    <mergeCell ref="A1:F1"/>
    <mergeCell ref="A15:F15"/>
    <mergeCell ref="A50:F50"/>
    <mergeCell ref="A68:F68"/>
    <mergeCell ref="B69:F69"/>
    <mergeCell ref="B70:F70"/>
    <mergeCell ref="B71:F71"/>
    <mergeCell ref="B72:F72"/>
    <mergeCell ref="B73:F73"/>
    <mergeCell ref="A75:F75"/>
    <mergeCell ref="A103:F103"/>
    <mergeCell ref="A104:F104"/>
    <mergeCell ref="A105:F10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1"/>
    <col collapsed="false" customWidth="true" hidden="false" outlineLevel="0" max="2" min="2" style="1" width="46"/>
    <col collapsed="false" customWidth="true" hidden="false" outlineLevel="0" max="3" min="3" style="1" width="24.29"/>
    <col collapsed="false" customWidth="true" hidden="false" outlineLevel="0" max="7" min="4" style="1" width="16"/>
    <col collapsed="false" customWidth="true" hidden="false" outlineLevel="0" max="26" min="8" style="1" width="14"/>
  </cols>
  <sheetData>
    <row r="1" customFormat="false" ht="30.75" hidden="false" customHeight="true" outlineLevel="0" collapsed="false">
      <c r="A1" s="11" t="s">
        <v>254</v>
      </c>
      <c r="B1" s="11"/>
      <c r="C1" s="11"/>
      <c r="D1" s="11"/>
      <c r="E1" s="11"/>
      <c r="F1" s="11"/>
      <c r="G1" s="11"/>
    </row>
    <row r="3" customFormat="false" ht="15" hidden="false" customHeight="true" outlineLevel="0" collapsed="false">
      <c r="A3" s="78" t="s">
        <v>255</v>
      </c>
      <c r="B3" s="78" t="s">
        <v>256</v>
      </c>
      <c r="C3" s="78" t="s">
        <v>257</v>
      </c>
      <c r="D3" s="79" t="s">
        <v>258</v>
      </c>
      <c r="E3" s="79" t="s">
        <v>259</v>
      </c>
      <c r="F3" s="79" t="s">
        <v>260</v>
      </c>
      <c r="G3" s="79" t="s">
        <v>261</v>
      </c>
    </row>
    <row r="4" customFormat="false" ht="15" hidden="false" customHeight="true" outlineLevel="0" collapsed="false">
      <c r="A4" s="80" t="n">
        <v>46296</v>
      </c>
      <c r="B4" s="81" t="s">
        <v>262</v>
      </c>
      <c r="C4" s="82" t="n">
        <v>15000000</v>
      </c>
      <c r="D4" s="82" t="n">
        <v>3750000</v>
      </c>
      <c r="E4" s="82" t="n">
        <v>3750000</v>
      </c>
      <c r="F4" s="82" t="n">
        <v>3750000</v>
      </c>
      <c r="G4" s="82" t="n">
        <v>3750000</v>
      </c>
    </row>
    <row r="5" customFormat="false" ht="15" hidden="false" customHeight="true" outlineLevel="0" collapsed="false">
      <c r="A5" s="83" t="n">
        <v>46478</v>
      </c>
      <c r="B5" s="81" t="s">
        <v>263</v>
      </c>
      <c r="C5" s="82" t="n">
        <v>3750000</v>
      </c>
      <c r="D5" s="82" t="n">
        <v>937500</v>
      </c>
      <c r="E5" s="82" t="n">
        <v>937500</v>
      </c>
      <c r="F5" s="82" t="n">
        <v>937500</v>
      </c>
      <c r="G5" s="82" t="n">
        <v>937500</v>
      </c>
    </row>
    <row r="6" customFormat="false" ht="15" hidden="false" customHeight="true" outlineLevel="0" collapsed="false">
      <c r="A6" s="84" t="n">
        <v>46569</v>
      </c>
      <c r="B6" s="81" t="s">
        <v>263</v>
      </c>
      <c r="C6" s="82" t="n">
        <v>3750000</v>
      </c>
      <c r="D6" s="82" t="n">
        <v>937500</v>
      </c>
      <c r="E6" s="82" t="n">
        <v>937500</v>
      </c>
      <c r="F6" s="82" t="n">
        <v>937500</v>
      </c>
      <c r="G6" s="82" t="n">
        <v>937500</v>
      </c>
    </row>
    <row r="7" customFormat="false" ht="15" hidden="false" customHeight="true" outlineLevel="0" collapsed="false">
      <c r="A7" s="85" t="n">
        <v>46661</v>
      </c>
      <c r="B7" s="81" t="s">
        <v>263</v>
      </c>
      <c r="C7" s="82" t="n">
        <v>3750000</v>
      </c>
      <c r="D7" s="82" t="n">
        <v>937500</v>
      </c>
      <c r="E7" s="82" t="n">
        <v>937500</v>
      </c>
      <c r="F7" s="82" t="n">
        <v>937500</v>
      </c>
      <c r="G7" s="82" t="n">
        <v>937500</v>
      </c>
    </row>
    <row r="8" customFormat="false" ht="15" hidden="false" customHeight="true" outlineLevel="0" collapsed="false">
      <c r="A8" s="86" t="n">
        <v>46752</v>
      </c>
      <c r="B8" s="81" t="s">
        <v>264</v>
      </c>
      <c r="C8" s="82" t="n">
        <v>3750000</v>
      </c>
      <c r="D8" s="82" t="n">
        <v>937500</v>
      </c>
      <c r="E8" s="82" t="n">
        <v>937500</v>
      </c>
      <c r="F8" s="82" t="n">
        <v>937500</v>
      </c>
      <c r="G8" s="82" t="n">
        <v>937500</v>
      </c>
    </row>
    <row r="9" customFormat="false" ht="15" hidden="false" customHeight="true" outlineLevel="0" collapsed="false">
      <c r="A9" s="87" t="n">
        <v>46783</v>
      </c>
      <c r="B9" s="81" t="s">
        <v>265</v>
      </c>
      <c r="C9" s="82" t="n">
        <v>15000000</v>
      </c>
      <c r="D9" s="82" t="n">
        <v>3750000</v>
      </c>
      <c r="E9" s="82" t="n">
        <v>3750000</v>
      </c>
      <c r="F9" s="82" t="n">
        <v>3750000</v>
      </c>
      <c r="G9" s="82" t="n">
        <v>3750000</v>
      </c>
    </row>
    <row r="10" customFormat="false" ht="15" hidden="false" customHeight="true" outlineLevel="0" collapsed="false">
      <c r="A10" s="88" t="n">
        <v>46904</v>
      </c>
      <c r="B10" s="81" t="s">
        <v>265</v>
      </c>
      <c r="C10" s="82" t="n">
        <v>15000000</v>
      </c>
      <c r="D10" s="82" t="n">
        <v>3750000</v>
      </c>
      <c r="E10" s="82" t="n">
        <v>3750000</v>
      </c>
      <c r="F10" s="82" t="n">
        <v>3750000</v>
      </c>
      <c r="G10" s="82" t="n">
        <v>3750000</v>
      </c>
    </row>
    <row r="11" customFormat="false" ht="15" hidden="false" customHeight="true" outlineLevel="0" collapsed="false">
      <c r="A11" s="89" t="n">
        <v>47026</v>
      </c>
      <c r="B11" s="81" t="s">
        <v>266</v>
      </c>
      <c r="C11" s="82" t="n">
        <v>15000000</v>
      </c>
      <c r="D11" s="82" t="n">
        <v>3750000</v>
      </c>
      <c r="E11" s="82" t="n">
        <v>3750000</v>
      </c>
      <c r="F11" s="82" t="n">
        <v>3750000</v>
      </c>
      <c r="G11" s="82" t="n">
        <v>3750000</v>
      </c>
    </row>
    <row r="13" customFormat="false" ht="15" hidden="false" customHeight="true" outlineLevel="0" collapsed="false">
      <c r="A13" s="90" t="s">
        <v>267</v>
      </c>
      <c r="B13" s="90"/>
      <c r="C13" s="90"/>
      <c r="D13" s="90"/>
      <c r="E13" s="90"/>
      <c r="F13" s="90"/>
      <c r="G13" s="90"/>
    </row>
    <row r="14" customFormat="false" ht="15" hidden="false" customHeight="true" outlineLevel="0" collapsed="false">
      <c r="A14" s="81" t="s">
        <v>268</v>
      </c>
      <c r="B14" s="82" t="n">
        <v>75000000</v>
      </c>
    </row>
    <row r="15" customFormat="false" ht="15" hidden="false" customHeight="true" outlineLevel="0" collapsed="false">
      <c r="A15" s="81" t="s">
        <v>109</v>
      </c>
      <c r="B15" s="82" t="n">
        <v>15000000</v>
      </c>
    </row>
    <row r="16" customFormat="false" ht="15" hidden="false" customHeight="true" outlineLevel="0" collapsed="false">
      <c r="A16" s="81" t="s">
        <v>269</v>
      </c>
      <c r="B16" s="82" t="n">
        <v>75000000</v>
      </c>
    </row>
    <row r="17" customFormat="false" ht="15" hidden="false" customHeight="true" outlineLevel="0" collapsed="false">
      <c r="A17" s="81" t="s">
        <v>270</v>
      </c>
      <c r="B17" s="82" t="n">
        <v>1</v>
      </c>
    </row>
    <row r="18" customFormat="false" ht="15" hidden="false" customHeight="true" outlineLevel="0" collapsed="false">
      <c r="A18" s="81" t="s">
        <v>271</v>
      </c>
      <c r="B18" s="82" t="n">
        <v>75000000</v>
      </c>
    </row>
    <row r="19" customFormat="false" ht="15" hidden="false" customHeight="true" outlineLevel="0" collapsed="false">
      <c r="A19" s="81" t="s">
        <v>272</v>
      </c>
      <c r="B19" s="82" t="n">
        <f aca="false">B14/B17</f>
        <v>75000000</v>
      </c>
    </row>
    <row r="20" customFormat="false" ht="15" hidden="false" customHeight="true" outlineLevel="0" collapsed="false">
      <c r="A20" s="90" t="s">
        <v>273</v>
      </c>
      <c r="B20" s="90"/>
      <c r="C20" s="90"/>
      <c r="D20" s="90"/>
      <c r="E20" s="90"/>
      <c r="F20" s="90"/>
      <c r="G20" s="90"/>
    </row>
    <row r="21" customFormat="false" ht="52.5" hidden="false" customHeight="true" outlineLevel="0" collapsed="false">
      <c r="A21" s="91" t="s">
        <v>274</v>
      </c>
      <c r="B21" s="91" t="s">
        <v>275</v>
      </c>
      <c r="C21" s="91" t="s">
        <v>276</v>
      </c>
      <c r="D21" s="91" t="s">
        <v>277</v>
      </c>
      <c r="E21" s="91" t="s">
        <v>278</v>
      </c>
      <c r="F21" s="91" t="s">
        <v>279</v>
      </c>
      <c r="G21" s="91" t="s">
        <v>280</v>
      </c>
    </row>
    <row r="22" customFormat="false" ht="15" hidden="false" customHeight="true" outlineLevel="0" collapsed="false">
      <c r="A22" s="92" t="s">
        <v>258</v>
      </c>
      <c r="B22" s="93" t="n">
        <v>0.25</v>
      </c>
      <c r="C22" s="82" t="n">
        <v>18750000</v>
      </c>
      <c r="D22" s="82" t="n">
        <v>64519.07</v>
      </c>
      <c r="E22" s="82" t="n">
        <v>18814519.07</v>
      </c>
      <c r="F22" s="82" t="n">
        <v>20000000</v>
      </c>
      <c r="G22" s="82" t="n">
        <v>1185480.93</v>
      </c>
    </row>
    <row r="23" customFormat="false" ht="15" hidden="false" customHeight="true" outlineLevel="0" collapsed="false">
      <c r="A23" s="92" t="s">
        <v>259</v>
      </c>
      <c r="B23" s="93" t="n">
        <v>0.25</v>
      </c>
      <c r="C23" s="82" t="n">
        <v>18750000</v>
      </c>
      <c r="D23" s="82" t="n">
        <v>64519.07</v>
      </c>
      <c r="E23" s="82" t="n">
        <v>18814519.07</v>
      </c>
      <c r="F23" s="82" t="n">
        <v>20000000</v>
      </c>
      <c r="G23" s="82" t="n">
        <v>1185480.93</v>
      </c>
    </row>
    <row r="24" customFormat="false" ht="15" hidden="false" customHeight="true" outlineLevel="0" collapsed="false">
      <c r="A24" s="92" t="s">
        <v>260</v>
      </c>
      <c r="B24" s="93" t="n">
        <v>0.25</v>
      </c>
      <c r="C24" s="82" t="n">
        <v>18750000</v>
      </c>
      <c r="D24" s="82" t="n">
        <v>64519.07</v>
      </c>
      <c r="E24" s="82" t="n">
        <v>18814519.07</v>
      </c>
      <c r="F24" s="82" t="n">
        <v>20000000</v>
      </c>
      <c r="G24" s="82" t="n">
        <v>1185480.93</v>
      </c>
    </row>
    <row r="25" customFormat="false" ht="15" hidden="false" customHeight="true" outlineLevel="0" collapsed="false">
      <c r="A25" s="92" t="s">
        <v>261</v>
      </c>
      <c r="B25" s="93" t="n">
        <v>0.25</v>
      </c>
      <c r="C25" s="82" t="n">
        <v>18750000</v>
      </c>
      <c r="D25" s="82" t="n">
        <v>64519.07</v>
      </c>
      <c r="E25" s="82" t="n">
        <v>18814519.07</v>
      </c>
      <c r="F25" s="82" t="n">
        <v>20000000</v>
      </c>
      <c r="G25" s="82" t="n">
        <v>1185480.93</v>
      </c>
    </row>
    <row r="27" customFormat="false" ht="43.5" hidden="false" customHeight="true" outlineLevel="0" collapsed="false">
      <c r="A27" s="94" t="s">
        <v>281</v>
      </c>
      <c r="B27" s="94"/>
      <c r="C27" s="94"/>
      <c r="D27" s="94"/>
      <c r="E27" s="94"/>
      <c r="F27" s="94"/>
      <c r="G27" s="94"/>
    </row>
  </sheetData>
  <mergeCells count="4">
    <mergeCell ref="A1:G1"/>
    <mergeCell ref="A13:G13"/>
    <mergeCell ref="A20:G20"/>
    <mergeCell ref="A27:G2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6" min="2" style="1" width="14"/>
  </cols>
  <sheetData>
    <row r="1" customFormat="false" ht="30" hidden="false" customHeight="true" outlineLevel="0" collapsed="false">
      <c r="A1" s="95" t="s">
        <v>282</v>
      </c>
      <c r="B1" s="95"/>
      <c r="C1" s="95"/>
      <c r="D1" s="95"/>
      <c r="E1" s="95"/>
      <c r="F1" s="95"/>
      <c r="G1" s="95"/>
      <c r="H1" s="95"/>
      <c r="I1" s="95"/>
      <c r="J1" s="95"/>
    </row>
    <row r="3" customFormat="false" ht="23.25" hidden="false" customHeight="true" outlineLevel="0" collapsed="false">
      <c r="A3" s="96" t="s">
        <v>283</v>
      </c>
      <c r="B3" s="97" t="s">
        <v>284</v>
      </c>
      <c r="C3" s="97" t="s">
        <v>285</v>
      </c>
      <c r="D3" s="97" t="s">
        <v>286</v>
      </c>
      <c r="E3" s="97" t="s">
        <v>287</v>
      </c>
      <c r="F3" s="97" t="s">
        <v>288</v>
      </c>
      <c r="G3" s="97" t="s">
        <v>289</v>
      </c>
      <c r="H3" s="97" t="s">
        <v>290</v>
      </c>
      <c r="I3" s="97" t="s">
        <v>291</v>
      </c>
      <c r="J3" s="98" t="s">
        <v>292</v>
      </c>
    </row>
    <row r="4" customFormat="false" ht="15" hidden="false" customHeight="true" outlineLevel="0" collapsed="false">
      <c r="A4" s="99" t="s">
        <v>293</v>
      </c>
      <c r="B4" s="100" t="n">
        <v>0.25</v>
      </c>
      <c r="C4" s="101" t="n">
        <v>250000</v>
      </c>
      <c r="D4" s="101" t="n">
        <v>50000</v>
      </c>
      <c r="E4" s="101" t="n">
        <v>500000</v>
      </c>
      <c r="F4" s="100" t="n">
        <v>0.1</v>
      </c>
      <c r="G4" s="100" t="n">
        <v>0.2</v>
      </c>
      <c r="H4" s="99" t="n">
        <v>12</v>
      </c>
      <c r="I4" s="99" t="n">
        <v>60</v>
      </c>
      <c r="J4" s="99" t="s">
        <v>294</v>
      </c>
    </row>
    <row r="5" customFormat="false" ht="15" hidden="false" customHeight="true" outlineLevel="0" collapsed="false">
      <c r="A5" s="99" t="s">
        <v>295</v>
      </c>
      <c r="B5" s="100" t="n">
        <v>0.2</v>
      </c>
      <c r="C5" s="101" t="n">
        <v>300000</v>
      </c>
      <c r="D5" s="101" t="n">
        <v>50000</v>
      </c>
      <c r="E5" s="101" t="n">
        <v>500000</v>
      </c>
      <c r="F5" s="100" t="n">
        <v>0.1</v>
      </c>
      <c r="G5" s="100" t="n">
        <v>0.2</v>
      </c>
      <c r="H5" s="99" t="n">
        <v>6</v>
      </c>
      <c r="I5" s="99" t="n">
        <v>48</v>
      </c>
      <c r="J5" s="99" t="s">
        <v>296</v>
      </c>
    </row>
    <row r="6" customFormat="false" ht="15" hidden="false" customHeight="true" outlineLevel="0" collapsed="false">
      <c r="A6" s="99" t="s">
        <v>297</v>
      </c>
      <c r="B6" s="100" t="n">
        <v>0.2</v>
      </c>
      <c r="C6" s="101" t="n">
        <v>150000</v>
      </c>
      <c r="D6" s="101" t="n">
        <v>50000</v>
      </c>
      <c r="E6" s="101" t="n">
        <v>500000</v>
      </c>
      <c r="F6" s="100" t="n">
        <v>0.1</v>
      </c>
      <c r="G6" s="100" t="n">
        <v>0.2</v>
      </c>
      <c r="H6" s="99" t="n">
        <v>12</v>
      </c>
      <c r="I6" s="99" t="n">
        <v>60</v>
      </c>
      <c r="J6" s="99" t="s">
        <v>298</v>
      </c>
    </row>
    <row r="7" customFormat="false" ht="15" hidden="false" customHeight="true" outlineLevel="0" collapsed="false">
      <c r="A7" s="99" t="s">
        <v>299</v>
      </c>
      <c r="B7" s="100" t="n">
        <v>0.25</v>
      </c>
      <c r="C7" s="101" t="n">
        <v>500000</v>
      </c>
      <c r="D7" s="101" t="n">
        <v>100000</v>
      </c>
      <c r="E7" s="101" t="n">
        <v>1000000</v>
      </c>
      <c r="F7" s="100" t="n">
        <v>0.1</v>
      </c>
      <c r="G7" s="100" t="n">
        <v>0.2</v>
      </c>
      <c r="H7" s="99" t="n">
        <v>12</v>
      </c>
      <c r="I7" s="99" t="n">
        <v>60</v>
      </c>
      <c r="J7" s="99" t="s">
        <v>300</v>
      </c>
    </row>
    <row r="8" customFormat="false" ht="15" hidden="false" customHeight="true" outlineLevel="0" collapsed="false">
      <c r="A8" s="99" t="s">
        <v>301</v>
      </c>
      <c r="B8" s="100" t="n">
        <v>0.1</v>
      </c>
      <c r="C8" s="101" t="n">
        <v>275000</v>
      </c>
      <c r="D8" s="101" t="n">
        <v>50000</v>
      </c>
      <c r="E8" s="101" t="n">
        <v>500000</v>
      </c>
      <c r="F8" s="100" t="n">
        <v>0.1</v>
      </c>
      <c r="G8" s="100" t="n">
        <v>0.2</v>
      </c>
      <c r="H8" s="99" t="n">
        <v>6</v>
      </c>
      <c r="I8" s="99" t="n">
        <v>48</v>
      </c>
      <c r="J8" s="99" t="s">
        <v>302</v>
      </c>
    </row>
    <row r="10" customFormat="false" ht="15" hidden="false" customHeight="true" outlineLevel="0" collapsed="false">
      <c r="A10" s="96" t="s">
        <v>303</v>
      </c>
      <c r="B10" s="97" t="s">
        <v>304</v>
      </c>
      <c r="C10" s="98" t="s">
        <v>305</v>
      </c>
    </row>
    <row r="11" customFormat="false" ht="15" hidden="false" customHeight="true" outlineLevel="0" collapsed="false">
      <c r="A11" s="102" t="s">
        <v>306</v>
      </c>
      <c r="B11" s="103" t="n">
        <f aca="false">SUM(B4:B8)</f>
        <v>1</v>
      </c>
      <c r="C11" s="104" t="str">
        <f aca="false">IF(ABS(B11-100%)&lt;0.0001,"OK","راجع المزيج")</f>
        <v>OK</v>
      </c>
    </row>
    <row r="12" customFormat="false" ht="15" hidden="false" customHeight="true" outlineLevel="0" collapsed="false">
      <c r="A12" s="102" t="s">
        <v>307</v>
      </c>
      <c r="B12" s="105" t="n">
        <f aca="false">SUMPRODUCT(B4:B8,C4:C8)</f>
        <v>305000</v>
      </c>
      <c r="C12" s="106" t="s">
        <v>308</v>
      </c>
    </row>
    <row r="14" customFormat="false" ht="14.25" hidden="false" customHeight="true" outlineLevel="0" collapsed="false">
      <c r="A14" s="107" t="s">
        <v>309</v>
      </c>
      <c r="B14" s="74" t="s">
        <v>310</v>
      </c>
      <c r="C14" s="74"/>
      <c r="D14" s="74"/>
      <c r="E14" s="74"/>
      <c r="F14" s="74"/>
      <c r="G14" s="74"/>
      <c r="H14" s="74"/>
      <c r="I14" s="74"/>
      <c r="J14" s="74"/>
    </row>
    <row r="15" customFormat="false" ht="14.25" hidden="false" customHeight="true" outlineLevel="0" collapsed="false">
      <c r="A15" s="107" t="s">
        <v>311</v>
      </c>
      <c r="B15" s="74" t="s">
        <v>312</v>
      </c>
      <c r="C15" s="74"/>
      <c r="D15" s="74"/>
      <c r="E15" s="74"/>
      <c r="F15" s="74"/>
      <c r="G15" s="74"/>
      <c r="H15" s="74"/>
      <c r="I15" s="74"/>
      <c r="J15" s="74"/>
    </row>
    <row r="16" customFormat="false" ht="14.25" hidden="false" customHeight="true" outlineLevel="0" collapsed="false">
      <c r="A16" s="107" t="s">
        <v>313</v>
      </c>
      <c r="B16" s="74" t="s">
        <v>314</v>
      </c>
      <c r="C16" s="74"/>
      <c r="D16" s="74"/>
      <c r="E16" s="74"/>
      <c r="F16" s="74"/>
      <c r="G16" s="74"/>
      <c r="H16" s="74"/>
      <c r="I16" s="74"/>
      <c r="J16" s="74"/>
    </row>
    <row r="17" customFormat="false" ht="14.25" hidden="false" customHeight="true" outlineLevel="0" collapsed="false">
      <c r="A17" s="107" t="s">
        <v>315</v>
      </c>
      <c r="B17" s="74" t="s">
        <v>316</v>
      </c>
      <c r="C17" s="74"/>
      <c r="D17" s="74"/>
      <c r="E17" s="74"/>
      <c r="F17" s="74"/>
      <c r="G17" s="74"/>
      <c r="H17" s="74"/>
      <c r="I17" s="74"/>
      <c r="J17" s="74"/>
    </row>
  </sheetData>
  <mergeCells count="5">
    <mergeCell ref="A1:J1"/>
    <mergeCell ref="B14:J14"/>
    <mergeCell ref="B15:J15"/>
    <mergeCell ref="B16:J16"/>
    <mergeCell ref="B17:J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12" min="8" style="1" width="15"/>
    <col collapsed="false" customWidth="true" hidden="false" outlineLevel="0" max="13" min="13" style="1" width="48"/>
    <col collapsed="false" customWidth="true" hidden="false" outlineLevel="0" max="26" min="14" style="1" width="14"/>
  </cols>
  <sheetData>
    <row r="1" customFormat="false" ht="30" hidden="false" customHeight="true" outlineLevel="0" collapsed="false">
      <c r="A1" s="108" t="s">
        <v>317</v>
      </c>
      <c r="B1" s="108"/>
      <c r="C1" s="108"/>
      <c r="D1" s="108"/>
      <c r="E1" s="108"/>
      <c r="F1" s="108"/>
      <c r="G1" s="108"/>
      <c r="H1" s="108"/>
      <c r="I1" s="108"/>
      <c r="J1" s="108"/>
      <c r="K1" s="108"/>
      <c r="L1" s="108"/>
      <c r="M1" s="108"/>
    </row>
    <row r="2" customFormat="false" ht="15" hidden="false" customHeight="false" outlineLevel="0" collapsed="false">
      <c r="A2" s="109"/>
      <c r="B2" s="109"/>
      <c r="C2" s="109"/>
      <c r="D2" s="109"/>
      <c r="E2" s="109"/>
      <c r="F2" s="109"/>
      <c r="G2" s="109"/>
      <c r="H2" s="109"/>
      <c r="I2" s="109"/>
      <c r="J2" s="109"/>
      <c r="K2" s="109"/>
      <c r="L2" s="109"/>
      <c r="M2" s="109"/>
    </row>
    <row r="3" customFormat="false" ht="50.25" hidden="false" customHeight="true" outlineLevel="0" collapsed="false">
      <c r="A3" s="96" t="s">
        <v>318</v>
      </c>
      <c r="B3" s="97" t="s">
        <v>319</v>
      </c>
      <c r="C3" s="110" t="s">
        <v>320</v>
      </c>
      <c r="D3" s="110" t="s">
        <v>321</v>
      </c>
      <c r="E3" s="110" t="s">
        <v>322</v>
      </c>
      <c r="F3" s="110" t="s">
        <v>323</v>
      </c>
      <c r="G3" s="110" t="s">
        <v>324</v>
      </c>
      <c r="H3" s="110" t="s">
        <v>325</v>
      </c>
      <c r="I3" s="110" t="s">
        <v>326</v>
      </c>
      <c r="J3" s="110" t="s">
        <v>327</v>
      </c>
      <c r="K3" s="110" t="s">
        <v>328</v>
      </c>
      <c r="L3" s="110" t="s">
        <v>329</v>
      </c>
      <c r="M3" s="98" t="s">
        <v>330</v>
      </c>
    </row>
    <row r="4" customFormat="false" ht="24" hidden="false" customHeight="true" outlineLevel="0" collapsed="false">
      <c r="A4" s="111" t="s">
        <v>331</v>
      </c>
      <c r="B4" s="112" t="n">
        <v>150000</v>
      </c>
      <c r="C4" s="112" t="n">
        <v>1</v>
      </c>
      <c r="D4" s="112" t="n">
        <v>1</v>
      </c>
      <c r="E4" s="112" t="n">
        <v>1</v>
      </c>
      <c r="F4" s="112" t="n">
        <v>1</v>
      </c>
      <c r="G4" s="112" t="n">
        <v>1</v>
      </c>
      <c r="H4" s="113" t="n">
        <f aca="false">ROUND($B4*C4*12*(1+Assumptions!$B$34)^0,2)</f>
        <v>1800000</v>
      </c>
      <c r="I4" s="113" t="n">
        <f aca="false">ROUND($B4*D4*12*(1+Assumptions!$B$34)^1,2)</f>
        <v>2160000</v>
      </c>
      <c r="J4" s="113" t="n">
        <f aca="false">ROUND($B4*E4*12*(1+Assumptions!$B$34)^2,2)</f>
        <v>2592000</v>
      </c>
      <c r="K4" s="113" t="n">
        <f aca="false">ROUND($B4*F4*12*(1+Assumptions!$B$34)^3,2)</f>
        <v>3110400</v>
      </c>
      <c r="L4" s="113" t="n">
        <f aca="false">ROUND($B4*G4*12*(1+Assumptions!$B$34)^4,2)</f>
        <v>3732480</v>
      </c>
      <c r="M4" s="111" t="s">
        <v>332</v>
      </c>
    </row>
    <row r="5" customFormat="false" ht="24" hidden="false" customHeight="true" outlineLevel="0" collapsed="false">
      <c r="A5" s="111" t="s">
        <v>333</v>
      </c>
      <c r="B5" s="112" t="n">
        <v>120000</v>
      </c>
      <c r="C5" s="112" t="n">
        <v>1</v>
      </c>
      <c r="D5" s="112" t="n">
        <v>1</v>
      </c>
      <c r="E5" s="112" t="n">
        <v>1</v>
      </c>
      <c r="F5" s="112" t="n">
        <v>1</v>
      </c>
      <c r="G5" s="112" t="n">
        <v>1</v>
      </c>
      <c r="H5" s="113" t="n">
        <f aca="false">ROUND($B5*C5*12*(1+Assumptions!$B$34)^0,2)</f>
        <v>1440000</v>
      </c>
      <c r="I5" s="113" t="n">
        <f aca="false">ROUND($B5*D5*12*(1+Assumptions!$B$34)^1,2)</f>
        <v>1728000</v>
      </c>
      <c r="J5" s="113" t="n">
        <f aca="false">ROUND($B5*E5*12*(1+Assumptions!$B$34)^2,2)</f>
        <v>2073600</v>
      </c>
      <c r="K5" s="113" t="n">
        <f aca="false">ROUND($B5*F5*12*(1+Assumptions!$B$34)^3,2)</f>
        <v>2488320</v>
      </c>
      <c r="L5" s="113" t="n">
        <f aca="false">ROUND($B5*G5*12*(1+Assumptions!$B$34)^4,2)</f>
        <v>2985984</v>
      </c>
      <c r="M5" s="111" t="s">
        <v>334</v>
      </c>
    </row>
    <row r="6" customFormat="false" ht="24" hidden="false" customHeight="true" outlineLevel="0" collapsed="false">
      <c r="A6" s="111" t="s">
        <v>335</v>
      </c>
      <c r="B6" s="112" t="n">
        <v>65000</v>
      </c>
      <c r="C6" s="112" t="n">
        <v>1</v>
      </c>
      <c r="D6" s="112" t="n">
        <v>1</v>
      </c>
      <c r="E6" s="112" t="n">
        <v>1</v>
      </c>
      <c r="F6" s="112" t="n">
        <v>1</v>
      </c>
      <c r="G6" s="112" t="n">
        <v>1</v>
      </c>
      <c r="H6" s="113" t="n">
        <f aca="false">ROUND($B6*C6*12*(1+Assumptions!$B$34)^0,2)</f>
        <v>780000</v>
      </c>
      <c r="I6" s="113" t="n">
        <f aca="false">ROUND($B6*D6*12*(1+Assumptions!$B$34)^1,2)</f>
        <v>936000</v>
      </c>
      <c r="J6" s="113" t="n">
        <f aca="false">ROUND($B6*E6*12*(1+Assumptions!$B$34)^2,2)</f>
        <v>1123200</v>
      </c>
      <c r="K6" s="113" t="n">
        <f aca="false">ROUND($B6*F6*12*(1+Assumptions!$B$34)^3,2)</f>
        <v>1347840</v>
      </c>
      <c r="L6" s="113" t="n">
        <f aca="false">ROUND($B6*G6*12*(1+Assumptions!$B$34)^4,2)</f>
        <v>1617408</v>
      </c>
      <c r="M6" s="111" t="s">
        <v>336</v>
      </c>
    </row>
    <row r="7" customFormat="false" ht="24" hidden="false" customHeight="true" outlineLevel="0" collapsed="false">
      <c r="A7" s="111" t="s">
        <v>337</v>
      </c>
      <c r="B7" s="112" t="n">
        <v>35000</v>
      </c>
      <c r="C7" s="112" t="n">
        <v>1</v>
      </c>
      <c r="D7" s="112" t="n">
        <v>1</v>
      </c>
      <c r="E7" s="112" t="n">
        <v>1</v>
      </c>
      <c r="F7" s="112" t="n">
        <v>1</v>
      </c>
      <c r="G7" s="112" t="n">
        <v>1</v>
      </c>
      <c r="H7" s="113" t="n">
        <f aca="false">ROUND($B7*C7*12*(1+Assumptions!$B$34)^0,2)</f>
        <v>420000</v>
      </c>
      <c r="I7" s="113" t="n">
        <f aca="false">ROUND($B7*D7*12*(1+Assumptions!$B$34)^1,2)</f>
        <v>504000</v>
      </c>
      <c r="J7" s="113" t="n">
        <f aca="false">ROUND($B7*E7*12*(1+Assumptions!$B$34)^2,2)</f>
        <v>604800</v>
      </c>
      <c r="K7" s="113" t="n">
        <f aca="false">ROUND($B7*F7*12*(1+Assumptions!$B$34)^3,2)</f>
        <v>725760</v>
      </c>
      <c r="L7" s="113" t="n">
        <f aca="false">ROUND($B7*G7*12*(1+Assumptions!$B$34)^4,2)</f>
        <v>870912</v>
      </c>
      <c r="M7" s="111" t="s">
        <v>338</v>
      </c>
    </row>
    <row r="8" customFormat="false" ht="24" hidden="false" customHeight="true" outlineLevel="0" collapsed="false">
      <c r="A8" s="111" t="s">
        <v>339</v>
      </c>
      <c r="B8" s="112" t="n">
        <v>60000</v>
      </c>
      <c r="C8" s="112" t="n">
        <v>1</v>
      </c>
      <c r="D8" s="112" t="n">
        <v>1</v>
      </c>
      <c r="E8" s="112" t="n">
        <v>1</v>
      </c>
      <c r="F8" s="112" t="n">
        <v>1</v>
      </c>
      <c r="G8" s="112" t="n">
        <v>1</v>
      </c>
      <c r="H8" s="113" t="n">
        <f aca="false">ROUND($B8*C8*12*(1+Assumptions!$B$34)^0,2)</f>
        <v>720000</v>
      </c>
      <c r="I8" s="113" t="n">
        <f aca="false">ROUND($B8*D8*12*(1+Assumptions!$B$34)^1,2)</f>
        <v>864000</v>
      </c>
      <c r="J8" s="113" t="n">
        <f aca="false">ROUND($B8*E8*12*(1+Assumptions!$B$34)^2,2)</f>
        <v>1036800</v>
      </c>
      <c r="K8" s="113" t="n">
        <f aca="false">ROUND($B8*F8*12*(1+Assumptions!$B$34)^3,2)</f>
        <v>1244160</v>
      </c>
      <c r="L8" s="113" t="n">
        <f aca="false">ROUND($B8*G8*12*(1+Assumptions!$B$34)^4,2)</f>
        <v>1492992</v>
      </c>
      <c r="M8" s="111" t="s">
        <v>340</v>
      </c>
    </row>
    <row r="9" customFormat="false" ht="24" hidden="false" customHeight="true" outlineLevel="0" collapsed="false">
      <c r="A9" s="111" t="s">
        <v>341</v>
      </c>
      <c r="B9" s="112" t="n">
        <v>36000</v>
      </c>
      <c r="C9" s="112" t="n">
        <v>3</v>
      </c>
      <c r="D9" s="112" t="n">
        <v>3</v>
      </c>
      <c r="E9" s="112" t="n">
        <v>3</v>
      </c>
      <c r="F9" s="112" t="n">
        <v>3</v>
      </c>
      <c r="G9" s="112" t="n">
        <v>3</v>
      </c>
      <c r="H9" s="113" t="n">
        <f aca="false">ROUND($B9*C9*12*(1+Assumptions!$B$34)^0,2)</f>
        <v>1296000</v>
      </c>
      <c r="I9" s="113" t="n">
        <f aca="false">ROUND($B9*D9*12*(1+Assumptions!$B$34)^1,2)</f>
        <v>1555200</v>
      </c>
      <c r="J9" s="113" t="n">
        <f aca="false">ROUND($B9*E9*12*(1+Assumptions!$B$34)^2,2)</f>
        <v>1866240</v>
      </c>
      <c r="K9" s="113" t="n">
        <f aca="false">ROUND($B9*F9*12*(1+Assumptions!$B$34)^3,2)</f>
        <v>2239488</v>
      </c>
      <c r="L9" s="113" t="n">
        <f aca="false">ROUND($B9*G9*12*(1+Assumptions!$B$34)^4,2)</f>
        <v>2687385.6</v>
      </c>
      <c r="M9" s="111" t="s">
        <v>342</v>
      </c>
    </row>
    <row r="10" customFormat="false" ht="24" hidden="false" customHeight="true" outlineLevel="0" collapsed="false">
      <c r="A10" s="111" t="s">
        <v>343</v>
      </c>
      <c r="B10" s="112"/>
      <c r="C10" s="112" t="n">
        <v>0</v>
      </c>
      <c r="D10" s="112" t="n">
        <v>0</v>
      </c>
      <c r="E10" s="112" t="n">
        <v>0</v>
      </c>
      <c r="F10" s="112" t="n">
        <v>0</v>
      </c>
      <c r="G10" s="112" t="n">
        <v>0</v>
      </c>
      <c r="H10" s="113" t="n">
        <f aca="false">MAX(0,H$22-SUM(H$4:H$9,H$11:H$20))</f>
        <v>0</v>
      </c>
      <c r="I10" s="113" t="n">
        <f aca="false">MAX(0,I$22-SUM(I$4:I$9,I$11:I$20))</f>
        <v>2230665.6</v>
      </c>
      <c r="J10" s="113" t="n">
        <f aca="false">MAX(0,J$22-SUM(J$4:J$9,J$11:J$20))</f>
        <v>5829067.72</v>
      </c>
      <c r="K10" s="113" t="n">
        <f aca="false">MAX(0,K$22-SUM(K$4:K$9,K$11:K$20))</f>
        <v>5783328.46</v>
      </c>
      <c r="L10" s="113" t="n">
        <f aca="false">MAX(0,L$22-SUM(L$4:L$9,L$11:L$20))</f>
        <v>6939994.16</v>
      </c>
      <c r="M10" s="111" t="s">
        <v>344</v>
      </c>
    </row>
    <row r="11" customFormat="false" ht="24" hidden="false" customHeight="true" outlineLevel="0" collapsed="false">
      <c r="A11" s="111" t="s">
        <v>345</v>
      </c>
      <c r="B11" s="112" t="n">
        <v>15000</v>
      </c>
      <c r="C11" s="112" t="n">
        <v>1</v>
      </c>
      <c r="D11" s="112" t="n">
        <v>1</v>
      </c>
      <c r="E11" s="112" t="n">
        <v>1</v>
      </c>
      <c r="F11" s="112" t="n">
        <v>1</v>
      </c>
      <c r="G11" s="112" t="n">
        <v>1</v>
      </c>
      <c r="H11" s="113" t="n">
        <f aca="false">ROUND($B11*C11*12*(1+Assumptions!$B$34)^0,2)</f>
        <v>180000</v>
      </c>
      <c r="I11" s="113" t="n">
        <f aca="false">ROUND($B11*D11*12*(1+Assumptions!$B$34)^1,2)</f>
        <v>216000</v>
      </c>
      <c r="J11" s="113" t="n">
        <f aca="false">ROUND($B11*E11*12*(1+Assumptions!$B$34)^2,2)</f>
        <v>259200</v>
      </c>
      <c r="K11" s="113" t="n">
        <f aca="false">ROUND($B11*F11*12*(1+Assumptions!$B$34)^3,2)</f>
        <v>311040</v>
      </c>
      <c r="L11" s="113" t="n">
        <f aca="false">ROUND($B11*G11*12*(1+Assumptions!$B$34)^4,2)</f>
        <v>373248</v>
      </c>
      <c r="M11" s="111" t="s">
        <v>346</v>
      </c>
    </row>
    <row r="12" customFormat="false" ht="24" hidden="false" customHeight="true" outlineLevel="0" collapsed="false">
      <c r="A12" s="111" t="s">
        <v>347</v>
      </c>
      <c r="B12" s="112" t="n">
        <v>15000</v>
      </c>
      <c r="C12" s="112" t="n">
        <v>1</v>
      </c>
      <c r="D12" s="112" t="n">
        <v>1</v>
      </c>
      <c r="E12" s="112" t="n">
        <v>1</v>
      </c>
      <c r="F12" s="112" t="n">
        <v>1</v>
      </c>
      <c r="G12" s="112" t="n">
        <v>1</v>
      </c>
      <c r="H12" s="113" t="n">
        <f aca="false">ROUND($B12*C12*12*(1+Assumptions!$B$34)^0,2)</f>
        <v>180000</v>
      </c>
      <c r="I12" s="113" t="n">
        <f aca="false">ROUND($B12*D12*12*(1+Assumptions!$B$34)^1,2)</f>
        <v>216000</v>
      </c>
      <c r="J12" s="113" t="n">
        <f aca="false">ROUND($B12*E12*12*(1+Assumptions!$B$34)^2,2)</f>
        <v>259200</v>
      </c>
      <c r="K12" s="113" t="n">
        <f aca="false">ROUND($B12*F12*12*(1+Assumptions!$B$34)^3,2)</f>
        <v>311040</v>
      </c>
      <c r="L12" s="113" t="n">
        <f aca="false">ROUND($B12*G12*12*(1+Assumptions!$B$34)^4,2)</f>
        <v>373248</v>
      </c>
      <c r="M12" s="111" t="s">
        <v>348</v>
      </c>
    </row>
    <row r="13" customFormat="false" ht="24" hidden="false" customHeight="true" outlineLevel="0" collapsed="false">
      <c r="A13" s="111" t="s">
        <v>349</v>
      </c>
      <c r="B13" s="112" t="n">
        <v>25000</v>
      </c>
      <c r="C13" s="112" t="n">
        <v>1</v>
      </c>
      <c r="D13" s="112" t="n">
        <v>1</v>
      </c>
      <c r="E13" s="112" t="n">
        <v>1</v>
      </c>
      <c r="F13" s="112" t="n">
        <v>1</v>
      </c>
      <c r="G13" s="112" t="n">
        <v>1</v>
      </c>
      <c r="H13" s="113" t="n">
        <f aca="false">ROUND($B13*C13*12*(1+Assumptions!$B$34)^0,2)</f>
        <v>300000</v>
      </c>
      <c r="I13" s="113" t="n">
        <f aca="false">ROUND($B13*D13*12*(1+Assumptions!$B$34)^1,2)</f>
        <v>360000</v>
      </c>
      <c r="J13" s="113" t="n">
        <f aca="false">ROUND($B13*E13*12*(1+Assumptions!$B$34)^2,2)</f>
        <v>432000</v>
      </c>
      <c r="K13" s="113" t="n">
        <f aca="false">ROUND($B13*F13*12*(1+Assumptions!$B$34)^3,2)</f>
        <v>518400</v>
      </c>
      <c r="L13" s="113" t="n">
        <f aca="false">ROUND($B13*G13*12*(1+Assumptions!$B$34)^4,2)</f>
        <v>622080</v>
      </c>
      <c r="M13" s="111" t="s">
        <v>350</v>
      </c>
    </row>
    <row r="14" customFormat="false" ht="24" hidden="false" customHeight="true" outlineLevel="0" collapsed="false">
      <c r="A14" s="111" t="s">
        <v>351</v>
      </c>
      <c r="B14" s="112" t="n">
        <v>15000</v>
      </c>
      <c r="C14" s="112" t="n">
        <v>1</v>
      </c>
      <c r="D14" s="112" t="n">
        <v>1</v>
      </c>
      <c r="E14" s="112" t="n">
        <v>1</v>
      </c>
      <c r="F14" s="112" t="n">
        <v>1</v>
      </c>
      <c r="G14" s="112" t="n">
        <v>1</v>
      </c>
      <c r="H14" s="113" t="n">
        <f aca="false">ROUND($B14*C14*12*(1+Assumptions!$B$34)^0,2)</f>
        <v>180000</v>
      </c>
      <c r="I14" s="113" t="n">
        <f aca="false">ROUND($B14*D14*12*(1+Assumptions!$B$34)^1,2)</f>
        <v>216000</v>
      </c>
      <c r="J14" s="113" t="n">
        <f aca="false">ROUND($B14*E14*12*(1+Assumptions!$B$34)^2,2)</f>
        <v>259200</v>
      </c>
      <c r="K14" s="113" t="n">
        <f aca="false">ROUND($B14*F14*12*(1+Assumptions!$B$34)^3,2)</f>
        <v>311040</v>
      </c>
      <c r="L14" s="113" t="n">
        <f aca="false">ROUND($B14*G14*12*(1+Assumptions!$B$34)^4,2)</f>
        <v>373248</v>
      </c>
      <c r="M14" s="111" t="s">
        <v>352</v>
      </c>
    </row>
    <row r="15" customFormat="false" ht="24" hidden="false" customHeight="true" outlineLevel="0" collapsed="false">
      <c r="A15" s="111" t="s">
        <v>353</v>
      </c>
      <c r="B15" s="112" t="n">
        <v>15000</v>
      </c>
      <c r="C15" s="112" t="n">
        <v>2</v>
      </c>
      <c r="D15" s="112" t="n">
        <v>2</v>
      </c>
      <c r="E15" s="112" t="n">
        <v>2</v>
      </c>
      <c r="F15" s="112" t="n">
        <v>2</v>
      </c>
      <c r="G15" s="112" t="n">
        <v>2</v>
      </c>
      <c r="H15" s="113" t="n">
        <f aca="false">ROUND($B15*C15*12*(1+Assumptions!$B$34)^0,2)</f>
        <v>360000</v>
      </c>
      <c r="I15" s="113" t="n">
        <f aca="false">ROUND($B15*D15*12*(1+Assumptions!$B$34)^1,2)</f>
        <v>432000</v>
      </c>
      <c r="J15" s="113" t="n">
        <f aca="false">ROUND($B15*E15*12*(1+Assumptions!$B$34)^2,2)</f>
        <v>518400</v>
      </c>
      <c r="K15" s="113" t="n">
        <f aca="false">ROUND($B15*F15*12*(1+Assumptions!$B$34)^3,2)</f>
        <v>622080</v>
      </c>
      <c r="L15" s="113" t="n">
        <f aca="false">ROUND($B15*G15*12*(1+Assumptions!$B$34)^4,2)</f>
        <v>746496</v>
      </c>
      <c r="M15" s="111" t="s">
        <v>354</v>
      </c>
    </row>
    <row r="16" customFormat="false" ht="24" hidden="false" customHeight="true" outlineLevel="0" collapsed="false">
      <c r="A16" s="111" t="s">
        <v>355</v>
      </c>
      <c r="B16" s="112" t="n">
        <v>15000</v>
      </c>
      <c r="C16" s="112" t="n">
        <v>3</v>
      </c>
      <c r="D16" s="112" t="n">
        <v>3</v>
      </c>
      <c r="E16" s="112" t="n">
        <v>3</v>
      </c>
      <c r="F16" s="112" t="n">
        <v>3</v>
      </c>
      <c r="G16" s="112" t="n">
        <v>3</v>
      </c>
      <c r="H16" s="113" t="n">
        <f aca="false">ROUND($B16*C16*12*(1+Assumptions!$B$34)^0,2)</f>
        <v>540000</v>
      </c>
      <c r="I16" s="113" t="n">
        <f aca="false">ROUND($B16*D16*12*(1+Assumptions!$B$34)^1,2)</f>
        <v>648000</v>
      </c>
      <c r="J16" s="113" t="n">
        <f aca="false">ROUND($B16*E16*12*(1+Assumptions!$B$34)^2,2)</f>
        <v>777600</v>
      </c>
      <c r="K16" s="113" t="n">
        <f aca="false">ROUND($B16*F16*12*(1+Assumptions!$B$34)^3,2)</f>
        <v>933120</v>
      </c>
      <c r="L16" s="113" t="n">
        <f aca="false">ROUND($B16*G16*12*(1+Assumptions!$B$34)^4,2)</f>
        <v>1119744</v>
      </c>
      <c r="M16" s="111" t="s">
        <v>356</v>
      </c>
    </row>
    <row r="17" customFormat="false" ht="24" hidden="false" customHeight="true" outlineLevel="0" collapsed="false">
      <c r="A17" s="111" t="s">
        <v>357</v>
      </c>
      <c r="B17" s="112" t="n">
        <v>14000</v>
      </c>
      <c r="C17" s="112" t="n">
        <v>8</v>
      </c>
      <c r="D17" s="112" t="n">
        <v>8</v>
      </c>
      <c r="E17" s="112" t="n">
        <v>8</v>
      </c>
      <c r="F17" s="112" t="n">
        <v>8</v>
      </c>
      <c r="G17" s="112" t="n">
        <v>8</v>
      </c>
      <c r="H17" s="113" t="n">
        <f aca="false">ROUND($B17*C17*12*(1+Assumptions!$B$34)^0,2)</f>
        <v>1344000</v>
      </c>
      <c r="I17" s="113" t="n">
        <f aca="false">ROUND($B17*D17*12*(1+Assumptions!$B$34)^1,2)</f>
        <v>1612800</v>
      </c>
      <c r="J17" s="113" t="n">
        <f aca="false">ROUND($B17*E17*12*(1+Assumptions!$B$34)^2,2)</f>
        <v>1935360</v>
      </c>
      <c r="K17" s="113" t="n">
        <f aca="false">ROUND($B17*F17*12*(1+Assumptions!$B$34)^3,2)</f>
        <v>2322432</v>
      </c>
      <c r="L17" s="113" t="n">
        <f aca="false">ROUND($B17*G17*12*(1+Assumptions!$B$34)^4,2)</f>
        <v>2786918.4</v>
      </c>
      <c r="M17" s="111" t="s">
        <v>358</v>
      </c>
    </row>
    <row r="18" customFormat="false" ht="24" hidden="false" customHeight="true" outlineLevel="0" collapsed="false">
      <c r="A18" s="111" t="s">
        <v>359</v>
      </c>
      <c r="B18" s="112" t="n">
        <v>14676</v>
      </c>
      <c r="C18" s="112" t="n">
        <v>1</v>
      </c>
      <c r="D18" s="112" t="n">
        <v>1</v>
      </c>
      <c r="E18" s="112" t="n">
        <v>1</v>
      </c>
      <c r="F18" s="112" t="n">
        <v>1</v>
      </c>
      <c r="G18" s="112" t="n">
        <v>1</v>
      </c>
      <c r="H18" s="113" t="n">
        <f aca="false">ROUND($B18*C18*12*(1+Assumptions!$B$34)^0,2)</f>
        <v>176112</v>
      </c>
      <c r="I18" s="113" t="n">
        <f aca="false">ROUND($B18*D18*12*(1+Assumptions!$B$34)^1,2)</f>
        <v>211334.4</v>
      </c>
      <c r="J18" s="113" t="n">
        <f aca="false">ROUND($B18*E18*12*(1+Assumptions!$B$34)^2,2)</f>
        <v>253601.28</v>
      </c>
      <c r="K18" s="113" t="n">
        <f aca="false">ROUND($B18*F18*12*(1+Assumptions!$B$34)^3,2)</f>
        <v>304321.54</v>
      </c>
      <c r="L18" s="113" t="n">
        <f aca="false">ROUND($B18*G18*12*(1+Assumptions!$B$34)^4,2)</f>
        <v>365185.84</v>
      </c>
      <c r="M18" s="111" t="s">
        <v>360</v>
      </c>
    </row>
    <row r="19" customFormat="false" ht="24" hidden="false" customHeight="true" outlineLevel="0" collapsed="false">
      <c r="A19" s="111" t="s">
        <v>361</v>
      </c>
      <c r="B19" s="112" t="n">
        <v>12000</v>
      </c>
      <c r="C19" s="112" t="n">
        <v>8</v>
      </c>
      <c r="D19" s="112" t="n">
        <v>8</v>
      </c>
      <c r="E19" s="112" t="n">
        <v>8</v>
      </c>
      <c r="F19" s="112" t="n">
        <v>8</v>
      </c>
      <c r="G19" s="112" t="n">
        <v>8</v>
      </c>
      <c r="H19" s="113" t="n">
        <f aca="false">ROUND($B19*C19*12*(1+Assumptions!$B$34)^0,2)</f>
        <v>1152000</v>
      </c>
      <c r="I19" s="113" t="n">
        <f aca="false">ROUND($B19*D19*12*(1+Assumptions!$B$34)^1,2)</f>
        <v>1382400</v>
      </c>
      <c r="J19" s="113" t="n">
        <f aca="false">ROUND($B19*E19*12*(1+Assumptions!$B$34)^2,2)</f>
        <v>1658880</v>
      </c>
      <c r="K19" s="113" t="n">
        <f aca="false">ROUND($B19*F19*12*(1+Assumptions!$B$34)^3,2)</f>
        <v>1990656</v>
      </c>
      <c r="L19" s="113" t="n">
        <f aca="false">ROUND($B19*G19*12*(1+Assumptions!$B$34)^4,2)</f>
        <v>2388787.2</v>
      </c>
      <c r="M19" s="111" t="s">
        <v>362</v>
      </c>
    </row>
    <row r="20" customFormat="false" ht="24" hidden="false" customHeight="true" outlineLevel="0" collapsed="false">
      <c r="A20" s="111" t="s">
        <v>363</v>
      </c>
      <c r="B20" s="112" t="n">
        <v>12000</v>
      </c>
      <c r="C20" s="112" t="n">
        <v>2</v>
      </c>
      <c r="D20" s="112" t="n">
        <v>2</v>
      </c>
      <c r="E20" s="112" t="n">
        <v>2</v>
      </c>
      <c r="F20" s="112" t="n">
        <v>2</v>
      </c>
      <c r="G20" s="112" t="n">
        <v>2</v>
      </c>
      <c r="H20" s="113" t="n">
        <f aca="false">ROUND($B20*C20*12*(1+Assumptions!$B$34)^0,2)</f>
        <v>288000</v>
      </c>
      <c r="I20" s="113" t="n">
        <f aca="false">ROUND($B20*D20*12*(1+Assumptions!$B$34)^1,2)</f>
        <v>345600</v>
      </c>
      <c r="J20" s="113" t="n">
        <f aca="false">ROUND($B20*E20*12*(1+Assumptions!$B$34)^2,2)</f>
        <v>414720</v>
      </c>
      <c r="K20" s="113" t="n">
        <f aca="false">ROUND($B20*F20*12*(1+Assumptions!$B$34)^3,2)</f>
        <v>497664</v>
      </c>
      <c r="L20" s="113" t="n">
        <f aca="false">ROUND($B20*G20*12*(1+Assumptions!$B$34)^4,2)</f>
        <v>597196.8</v>
      </c>
      <c r="M20" s="111" t="s">
        <v>364</v>
      </c>
    </row>
    <row r="21" customFormat="false" ht="15" hidden="false" customHeight="true" outlineLevel="0" collapsed="false">
      <c r="A21" s="114" t="s">
        <v>365</v>
      </c>
      <c r="B21" s="114"/>
      <c r="C21" s="115" t="n">
        <f aca="false">SUM(C4:C20)</f>
        <v>36</v>
      </c>
      <c r="D21" s="115" t="n">
        <f aca="false">SUM(D4:D20)</f>
        <v>36</v>
      </c>
      <c r="E21" s="115" t="n">
        <f aca="false">SUM(E4:E20)</f>
        <v>36</v>
      </c>
      <c r="F21" s="115" t="n">
        <f aca="false">SUM(F4:F20)</f>
        <v>36</v>
      </c>
      <c r="G21" s="115" t="n">
        <f aca="false">SUM(G4:G20)</f>
        <v>36</v>
      </c>
      <c r="H21" s="114" t="n">
        <f aca="false">SUM(H4:H20)</f>
        <v>11156112</v>
      </c>
      <c r="I21" s="114" t="n">
        <f aca="false">SUM(I4:I20)</f>
        <v>15618000</v>
      </c>
      <c r="J21" s="114" t="n">
        <f aca="false">SUM(J4:J20)</f>
        <v>21893869</v>
      </c>
      <c r="K21" s="114" t="n">
        <f aca="false">SUM(K4:K20)</f>
        <v>25061090</v>
      </c>
      <c r="L21" s="114" t="n">
        <f aca="false">SUM(L4:L20)</f>
        <v>30073308</v>
      </c>
      <c r="M21" s="109"/>
    </row>
    <row r="22" customFormat="false" ht="23.85" hidden="false" customHeight="false" outlineLevel="0" collapsed="false">
      <c r="A22" s="109" t="s">
        <v>366</v>
      </c>
      <c r="B22" s="109" t="s">
        <v>367</v>
      </c>
      <c r="C22" s="109"/>
      <c r="D22" s="109"/>
      <c r="E22" s="109"/>
      <c r="F22" s="109"/>
      <c r="G22" s="109"/>
      <c r="H22" s="116" t="n">
        <v>11156112</v>
      </c>
      <c r="I22" s="116" t="n">
        <v>15618000</v>
      </c>
      <c r="J22" s="116" t="n">
        <v>21893869</v>
      </c>
      <c r="K22" s="116" t="n">
        <v>25061090</v>
      </c>
      <c r="L22" s="116" t="n">
        <v>30073308</v>
      </c>
      <c r="M22" s="109"/>
    </row>
    <row r="23" customFormat="false" ht="43.5" hidden="false" customHeight="true" outlineLevel="0" collapsed="false">
      <c r="A23" s="117" t="s">
        <v>368</v>
      </c>
      <c r="B23" s="74" t="s">
        <v>369</v>
      </c>
      <c r="C23" s="74"/>
      <c r="D23" s="74"/>
      <c r="E23" s="74"/>
      <c r="F23" s="74"/>
      <c r="G23" s="74"/>
      <c r="H23" s="74"/>
      <c r="I23" s="74"/>
      <c r="J23" s="74"/>
      <c r="K23" s="74"/>
      <c r="L23" s="74"/>
      <c r="M23" s="74"/>
    </row>
    <row r="24" customFormat="false" ht="54" hidden="false" customHeight="true" outlineLevel="0" collapsed="false">
      <c r="A24" s="117" t="s">
        <v>370</v>
      </c>
      <c r="B24" s="74" t="s">
        <v>371</v>
      </c>
      <c r="C24" s="74"/>
      <c r="D24" s="74"/>
      <c r="E24" s="74"/>
      <c r="F24" s="74"/>
      <c r="G24" s="74"/>
      <c r="H24" s="74"/>
      <c r="I24" s="74"/>
      <c r="J24" s="74"/>
      <c r="K24" s="74"/>
      <c r="L24" s="74"/>
      <c r="M24" s="74"/>
    </row>
    <row r="25" customFormat="false" ht="61.5" hidden="false" customHeight="true" outlineLevel="0" collapsed="false">
      <c r="A25" s="117" t="s">
        <v>372</v>
      </c>
      <c r="B25" s="118" t="s">
        <v>373</v>
      </c>
      <c r="C25" s="118"/>
      <c r="D25" s="118"/>
      <c r="E25" s="118"/>
      <c r="F25" s="118"/>
      <c r="G25" s="118"/>
      <c r="H25" s="118"/>
      <c r="I25" s="118"/>
      <c r="J25" s="118"/>
      <c r="K25" s="118"/>
      <c r="L25" s="118"/>
      <c r="M25" s="118"/>
    </row>
  </sheetData>
  <mergeCells count="4">
    <mergeCell ref="A1:M1"/>
    <mergeCell ref="B23:M23"/>
    <mergeCell ref="B24:M24"/>
    <mergeCell ref="B25:M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7" min="3" style="1" width="14"/>
    <col collapsed="false" customWidth="true" hidden="false" outlineLevel="0" max="12" min="8" style="1" width="18"/>
    <col collapsed="false" customWidth="true" hidden="false" outlineLevel="0" max="26" min="13" style="1" width="14"/>
  </cols>
  <sheetData>
    <row r="1" customFormat="false" ht="30" hidden="false" customHeight="true" outlineLevel="0" collapsed="false">
      <c r="A1" s="95" t="s">
        <v>374</v>
      </c>
      <c r="B1" s="95"/>
      <c r="C1" s="95"/>
      <c r="D1" s="95"/>
      <c r="E1" s="95"/>
      <c r="F1" s="95"/>
      <c r="G1" s="95"/>
      <c r="H1" s="95"/>
      <c r="I1" s="95"/>
      <c r="J1" s="95"/>
      <c r="K1" s="95"/>
      <c r="L1" s="95"/>
    </row>
    <row r="3" customFormat="false" ht="27.75" hidden="false" customHeight="true" outlineLevel="0" collapsed="false">
      <c r="A3" s="96" t="s">
        <v>83</v>
      </c>
      <c r="B3" s="97" t="s">
        <v>375</v>
      </c>
      <c r="C3" s="110" t="s">
        <v>376</v>
      </c>
      <c r="D3" s="110" t="s">
        <v>377</v>
      </c>
      <c r="E3" s="110" t="s">
        <v>378</v>
      </c>
      <c r="F3" s="110" t="s">
        <v>379</v>
      </c>
      <c r="G3" s="110" t="s">
        <v>380</v>
      </c>
      <c r="H3" s="110" t="s">
        <v>84</v>
      </c>
      <c r="I3" s="110" t="s">
        <v>85</v>
      </c>
      <c r="J3" s="110" t="s">
        <v>86</v>
      </c>
      <c r="K3" s="110" t="s">
        <v>87</v>
      </c>
      <c r="L3" s="119" t="s">
        <v>88</v>
      </c>
    </row>
    <row r="4" customFormat="false" ht="27.75" hidden="false" customHeight="true" outlineLevel="0" collapsed="false">
      <c r="A4" s="111" t="s">
        <v>381</v>
      </c>
      <c r="B4" s="120" t="n">
        <v>80000</v>
      </c>
      <c r="C4" s="120" t="n">
        <v>1</v>
      </c>
      <c r="D4" s="120" t="n">
        <v>1</v>
      </c>
      <c r="E4" s="120" t="n">
        <v>1</v>
      </c>
      <c r="F4" s="120" t="n">
        <v>1</v>
      </c>
      <c r="G4" s="120" t="n">
        <v>1</v>
      </c>
      <c r="H4" s="105" t="n">
        <f aca="false">$B4*C4*12*(1+Assumptions!$B$35)^0*Assumptions!$B$66</f>
        <v>620307.692307692</v>
      </c>
      <c r="I4" s="105" t="n">
        <f aca="false">$B4*D4*12*(1+Assumptions!$B$35)^1*Assumptions!$C$66</f>
        <v>1036800</v>
      </c>
      <c r="J4" s="105" t="n">
        <f aca="false">ROUND($B4*E4*12*(1+Assumptions!$B$35)^2*Assumptions!$D$66,2)</f>
        <v>1161600</v>
      </c>
      <c r="K4" s="105" t="n">
        <f aca="false">ROUND($B4*F4*12*(1+Assumptions!$B$35)^3*Assumptions!$E$66,2)</f>
        <v>1277760</v>
      </c>
      <c r="L4" s="105" t="n">
        <f aca="false">ROUND($B4*G4*12*(1+Assumptions!$B$35)^4*Assumptions!$F$66,2)</f>
        <v>1405536</v>
      </c>
    </row>
    <row r="5" customFormat="false" ht="27.75" hidden="false" customHeight="true" outlineLevel="0" collapsed="false">
      <c r="A5" s="111" t="s">
        <v>382</v>
      </c>
      <c r="B5" s="120" t="n">
        <v>30000</v>
      </c>
      <c r="C5" s="120" t="n">
        <v>8</v>
      </c>
      <c r="D5" s="120" t="n">
        <v>8</v>
      </c>
      <c r="E5" s="120" t="n">
        <v>8</v>
      </c>
      <c r="F5" s="120" t="n">
        <v>15</v>
      </c>
      <c r="G5" s="120" t="n">
        <v>22</v>
      </c>
      <c r="H5" s="105" t="n">
        <f aca="false">$B5*C5*12*(1+Assumptions!$B$35)^0*Assumptions!$B$66</f>
        <v>1860923.07692308</v>
      </c>
      <c r="I5" s="105" t="n">
        <f aca="false">$B5*D5*12*(1+Assumptions!$B$35)^1*Assumptions!$C$66</f>
        <v>3110400</v>
      </c>
      <c r="J5" s="105" t="n">
        <f aca="false">ROUND($B5*E5*12*(1+Assumptions!$B$35)^2*Assumptions!$D$66,2)</f>
        <v>3484800</v>
      </c>
      <c r="K5" s="105" t="n">
        <f aca="false">ROUND($B5*F5*12*(1+Assumptions!$B$35)^3*Assumptions!$E$66,2)</f>
        <v>7187400</v>
      </c>
      <c r="L5" s="105" t="n">
        <f aca="false">ROUND($B5*G5*12*(1+Assumptions!$B$35)^4*Assumptions!$F$66,2)</f>
        <v>11595672</v>
      </c>
    </row>
    <row r="6" customFormat="false" ht="27.75" hidden="false" customHeight="true" outlineLevel="0" collapsed="false">
      <c r="A6" s="111" t="s">
        <v>383</v>
      </c>
      <c r="B6" s="120" t="n">
        <v>25000</v>
      </c>
      <c r="C6" s="120" t="n">
        <v>1</v>
      </c>
      <c r="D6" s="120" t="n">
        <v>1</v>
      </c>
      <c r="E6" s="120" t="n">
        <v>1</v>
      </c>
      <c r="F6" s="120" t="n">
        <v>1</v>
      </c>
      <c r="G6" s="120" t="n">
        <v>1</v>
      </c>
      <c r="H6" s="105" t="n">
        <f aca="false">$B6*C6*12*(1+Assumptions!$B$35)^0*Assumptions!$B$66</f>
        <v>193846.153846154</v>
      </c>
      <c r="I6" s="105" t="n">
        <f aca="false">$B6*D6*12*(1+Assumptions!$B$35)^1*Assumptions!$C$66</f>
        <v>324000</v>
      </c>
      <c r="J6" s="105" t="n">
        <f aca="false">ROUND($B6*E6*12*(1+Assumptions!$B$35)^2*Assumptions!$D$66,2)</f>
        <v>363000</v>
      </c>
      <c r="K6" s="105" t="n">
        <f aca="false">ROUND($B6*F6*12*(1+Assumptions!$B$35)^3*Assumptions!$E$66,2)</f>
        <v>399300</v>
      </c>
      <c r="L6" s="105" t="n">
        <f aca="false">ROUND($B6*G6*12*(1+Assumptions!$B$35)^4*Assumptions!$F$66,2)</f>
        <v>439230</v>
      </c>
    </row>
    <row r="7" customFormat="false" ht="27.75" hidden="false" customHeight="true" outlineLevel="0" collapsed="false">
      <c r="A7" s="111" t="s">
        <v>384</v>
      </c>
      <c r="B7" s="120" t="n">
        <v>20000</v>
      </c>
      <c r="C7" s="120" t="n">
        <v>1</v>
      </c>
      <c r="D7" s="120" t="n">
        <v>1</v>
      </c>
      <c r="E7" s="120" t="n">
        <v>1</v>
      </c>
      <c r="F7" s="120" t="n">
        <v>1</v>
      </c>
      <c r="G7" s="120" t="n">
        <v>1</v>
      </c>
      <c r="H7" s="105" t="n">
        <f aca="false">$B7*C7*12*(1+Assumptions!$B$35)^0*Assumptions!$B$66</f>
        <v>155076.923076923</v>
      </c>
      <c r="I7" s="105" t="n">
        <f aca="false">$B7*D7*12*(1+Assumptions!$B$35)^1*Assumptions!$C$66</f>
        <v>259200</v>
      </c>
      <c r="J7" s="105" t="n">
        <f aca="false">ROUND($B7*E7*12*(1+Assumptions!$B$35)^2*Assumptions!$D$66,2)</f>
        <v>290400</v>
      </c>
      <c r="K7" s="105" t="n">
        <f aca="false">ROUND($B7*F7*12*(1+Assumptions!$B$35)^3*Assumptions!$E$66,2)</f>
        <v>319440</v>
      </c>
      <c r="L7" s="105" t="n">
        <f aca="false">ROUND($B7*G7*12*(1+Assumptions!$B$35)^4*Assumptions!$F$66,2)</f>
        <v>351384</v>
      </c>
    </row>
    <row r="8" customFormat="false" ht="27.75" hidden="false" customHeight="true" outlineLevel="0" collapsed="false">
      <c r="A8" s="111" t="s">
        <v>385</v>
      </c>
      <c r="B8" s="120" t="n">
        <v>2500</v>
      </c>
      <c r="C8" s="120" t="n">
        <v>8</v>
      </c>
      <c r="D8" s="120" t="n">
        <v>8</v>
      </c>
      <c r="E8" s="120" t="n">
        <v>8</v>
      </c>
      <c r="F8" s="120" t="n">
        <v>15</v>
      </c>
      <c r="G8" s="120" t="n">
        <v>22</v>
      </c>
      <c r="H8" s="105" t="n">
        <f aca="false">$B8*C8*12*(1+Assumptions!$B$35)^0*Assumptions!$B$66</f>
        <v>155076.923076923</v>
      </c>
      <c r="I8" s="105" t="n">
        <f aca="false">$B8*D8*12*(1+Assumptions!$B$35)^1*Assumptions!$C$66</f>
        <v>259200</v>
      </c>
      <c r="J8" s="105" t="n">
        <f aca="false">ROUND($B8*E8*12*(1+Assumptions!$B$35)^2*Assumptions!$D$66,2)</f>
        <v>290400</v>
      </c>
      <c r="K8" s="105" t="n">
        <f aca="false">ROUND($B8*F8*12*(1+Assumptions!$B$35)^3*Assumptions!$E$66,2)</f>
        <v>598950</v>
      </c>
      <c r="L8" s="105" t="n">
        <f aca="false">ROUND($B8*G8*12*(1+Assumptions!$B$35)^4*Assumptions!$F$66,2)</f>
        <v>966306</v>
      </c>
    </row>
    <row r="9" customFormat="false" ht="27.75" hidden="false" customHeight="true" outlineLevel="0" collapsed="false">
      <c r="A9" s="111" t="s">
        <v>386</v>
      </c>
      <c r="B9" s="120" t="n">
        <v>5000</v>
      </c>
      <c r="C9" s="120" t="n">
        <v>1</v>
      </c>
      <c r="D9" s="120" t="n">
        <v>1</v>
      </c>
      <c r="E9" s="120" t="n">
        <v>1</v>
      </c>
      <c r="F9" s="120" t="n">
        <v>1</v>
      </c>
      <c r="G9" s="120" t="n">
        <v>1</v>
      </c>
      <c r="H9" s="105" t="n">
        <f aca="false">$B9*C9*12*(1+Assumptions!$B$35)^0*Assumptions!$B$66</f>
        <v>38769.2307692308</v>
      </c>
      <c r="I9" s="105" t="n">
        <f aca="false">$B9*D9*12*(1+Assumptions!$B$35)^1*Assumptions!$C$66</f>
        <v>64800</v>
      </c>
      <c r="J9" s="105" t="n">
        <f aca="false">ROUND($B9*E9*12*(1+Assumptions!$B$35)^2*Assumptions!$D$66,2)</f>
        <v>72600</v>
      </c>
      <c r="K9" s="105" t="n">
        <f aca="false">ROUND($B9*F9*12*(1+Assumptions!$B$35)^3*Assumptions!$E$66,2)</f>
        <v>79860</v>
      </c>
      <c r="L9" s="105" t="n">
        <f aca="false">ROUND($B9*G9*12*(1+Assumptions!$B$35)^4*Assumptions!$F$66,2)</f>
        <v>87846</v>
      </c>
    </row>
    <row r="10" customFormat="false" ht="27.75" hidden="false" customHeight="true" outlineLevel="0" collapsed="false">
      <c r="A10" s="111" t="s">
        <v>387</v>
      </c>
      <c r="B10" s="120" t="n">
        <v>10000</v>
      </c>
      <c r="C10" s="120" t="n">
        <v>1</v>
      </c>
      <c r="D10" s="120" t="n">
        <v>1</v>
      </c>
      <c r="E10" s="120" t="n">
        <v>1</v>
      </c>
      <c r="F10" s="120" t="n">
        <v>1</v>
      </c>
      <c r="G10" s="120" t="n">
        <v>1</v>
      </c>
      <c r="H10" s="105" t="n">
        <f aca="false">$B10*C10*12*(1+Assumptions!$B$35)^0*Assumptions!$B$66</f>
        <v>77538.4615384616</v>
      </c>
      <c r="I10" s="105" t="n">
        <f aca="false">$B10*D10*12*(1+Assumptions!$B$35)^1*Assumptions!$C$66</f>
        <v>129600</v>
      </c>
      <c r="J10" s="105" t="n">
        <f aca="false">ROUND($B10*E10*12*(1+Assumptions!$B$35)^2*Assumptions!$D$66,2)</f>
        <v>145200</v>
      </c>
      <c r="K10" s="105" t="n">
        <f aca="false">ROUND($B10*F10*12*(1+Assumptions!$B$35)^3*Assumptions!$E$66,2)</f>
        <v>159720</v>
      </c>
      <c r="L10" s="105" t="n">
        <f aca="false">ROUND($B10*G10*12*(1+Assumptions!$B$35)^4*Assumptions!$F$66,2)</f>
        <v>175692</v>
      </c>
    </row>
    <row r="11" customFormat="false" ht="27.75" hidden="false" customHeight="true" outlineLevel="0" collapsed="false">
      <c r="A11" s="111" t="s">
        <v>388</v>
      </c>
      <c r="B11" s="120" t="n">
        <v>15000</v>
      </c>
      <c r="C11" s="120" t="n">
        <v>1</v>
      </c>
      <c r="D11" s="120" t="n">
        <v>1</v>
      </c>
      <c r="E11" s="120" t="n">
        <v>1</v>
      </c>
      <c r="F11" s="120" t="n">
        <v>1</v>
      </c>
      <c r="G11" s="120" t="n">
        <v>1</v>
      </c>
      <c r="H11" s="105" t="n">
        <f aca="false">$B11*C11*12*(1+Assumptions!$B$35)^0*Assumptions!$B$66</f>
        <v>116307.692307692</v>
      </c>
      <c r="I11" s="105" t="n">
        <f aca="false">$B11*D11*12*(1+Assumptions!$B$35)^1*Assumptions!$C$66</f>
        <v>194400</v>
      </c>
      <c r="J11" s="105" t="n">
        <f aca="false">ROUND($B11*E11*12*(1+Assumptions!$B$35)^2*Assumptions!$D$66,2)</f>
        <v>217800</v>
      </c>
      <c r="K11" s="105" t="n">
        <f aca="false">ROUND($B11*F11*12*(1+Assumptions!$B$35)^3*Assumptions!$E$66,2)</f>
        <v>239580</v>
      </c>
      <c r="L11" s="105" t="n">
        <f aca="false">ROUND($B11*G11*12*(1+Assumptions!$B$35)^4*Assumptions!$F$66,2)</f>
        <v>263538</v>
      </c>
    </row>
    <row r="12" customFormat="false" ht="27.75" hidden="false" customHeight="true" outlineLevel="0" collapsed="false">
      <c r="A12" s="111" t="s">
        <v>389</v>
      </c>
      <c r="B12" s="120" t="n">
        <v>35000</v>
      </c>
      <c r="C12" s="120" t="n">
        <v>1</v>
      </c>
      <c r="D12" s="120" t="n">
        <v>1</v>
      </c>
      <c r="E12" s="120" t="n">
        <v>1</v>
      </c>
      <c r="F12" s="120" t="n">
        <v>1</v>
      </c>
      <c r="G12" s="120" t="n">
        <v>1</v>
      </c>
      <c r="H12" s="105" t="n">
        <f aca="false">$B12*C12*12*(1+Assumptions!$B$35)^0*Assumptions!$B$66</f>
        <v>271384.615384615</v>
      </c>
      <c r="I12" s="105" t="n">
        <f aca="false">$B12*D12*12*(1+Assumptions!$B$35)^1*Assumptions!$C$66</f>
        <v>453600</v>
      </c>
      <c r="J12" s="105" t="n">
        <f aca="false">ROUND($B12*E12*12*(1+Assumptions!$B$35)^2*Assumptions!$D$66,2)</f>
        <v>508200</v>
      </c>
      <c r="K12" s="105" t="n">
        <f aca="false">ROUND($B12*F12*12*(1+Assumptions!$B$35)^3*Assumptions!$E$66,2)</f>
        <v>559020</v>
      </c>
      <c r="L12" s="105" t="n">
        <f aca="false">ROUND($B12*G12*12*(1+Assumptions!$B$35)^4*Assumptions!$F$66,2)</f>
        <v>614922</v>
      </c>
    </row>
    <row r="13" customFormat="false" ht="27.75" hidden="false" customHeight="true" outlineLevel="0" collapsed="false">
      <c r="A13" s="111" t="s">
        <v>390</v>
      </c>
      <c r="B13" s="120" t="n">
        <v>50000</v>
      </c>
      <c r="C13" s="120" t="n">
        <v>1</v>
      </c>
      <c r="D13" s="120" t="n">
        <v>1</v>
      </c>
      <c r="E13" s="120" t="n">
        <v>1</v>
      </c>
      <c r="F13" s="120" t="n">
        <v>1</v>
      </c>
      <c r="G13" s="120" t="n">
        <v>1</v>
      </c>
      <c r="H13" s="105" t="n">
        <f aca="false">$B13*C13*12*(1+Assumptions!$B$35)^0*Assumptions!$B$66</f>
        <v>387692.307692308</v>
      </c>
      <c r="I13" s="105" t="n">
        <f aca="false">$B13*D13*12*(1+Assumptions!$B$35)^1*Assumptions!$C$66</f>
        <v>648000</v>
      </c>
      <c r="J13" s="105" t="n">
        <f aca="false">ROUND($B13*E13*12*(1+Assumptions!$B$35)^2*Assumptions!$D$66,2)</f>
        <v>726000</v>
      </c>
      <c r="K13" s="105" t="n">
        <f aca="false">ROUND($B13*F13*12*(1+Assumptions!$B$35)^3*Assumptions!$E$66,2)</f>
        <v>798600</v>
      </c>
      <c r="L13" s="105" t="n">
        <f aca="false">ROUND($B13*G13*12*(1+Assumptions!$B$35)^4*Assumptions!$F$66,2)</f>
        <v>878460</v>
      </c>
    </row>
    <row r="14" customFormat="false" ht="27.75" hidden="false" customHeight="true" outlineLevel="0" collapsed="false">
      <c r="A14" s="111" t="s">
        <v>391</v>
      </c>
      <c r="B14" s="120" t="n">
        <v>20000</v>
      </c>
      <c r="C14" s="120" t="n">
        <v>1</v>
      </c>
      <c r="D14" s="120" t="n">
        <v>1</v>
      </c>
      <c r="E14" s="120" t="n">
        <v>1</v>
      </c>
      <c r="F14" s="120" t="n">
        <v>1</v>
      </c>
      <c r="G14" s="120" t="n">
        <v>1</v>
      </c>
      <c r="H14" s="105" t="n">
        <f aca="false">$B14*C14*12*(1+Assumptions!$B$35)^0*Assumptions!$B$66</f>
        <v>155076.923076923</v>
      </c>
      <c r="I14" s="105" t="n">
        <f aca="false">$B14*D14*12*(1+Assumptions!$B$35)^1*Assumptions!$C$66</f>
        <v>259200</v>
      </c>
      <c r="J14" s="105" t="n">
        <f aca="false">ROUND($B14*E14*12*(1+Assumptions!$B$35)^2*Assumptions!$D$66,2)</f>
        <v>290400</v>
      </c>
      <c r="K14" s="105" t="n">
        <f aca="false">ROUND($B14*F14*12*(1+Assumptions!$B$35)^3*Assumptions!$E$66,2)</f>
        <v>319440</v>
      </c>
      <c r="L14" s="105" t="n">
        <f aca="false">ROUND($B14*G14*12*(1+Assumptions!$B$35)^4*Assumptions!$F$66,2)</f>
        <v>351384</v>
      </c>
    </row>
    <row r="15" customFormat="false" ht="27.75" hidden="false" customHeight="true" outlineLevel="0" collapsed="false">
      <c r="A15" s="111" t="s">
        <v>392</v>
      </c>
      <c r="B15" s="120" t="n">
        <v>12000</v>
      </c>
      <c r="C15" s="120" t="n">
        <v>1</v>
      </c>
      <c r="D15" s="120" t="n">
        <v>1</v>
      </c>
      <c r="E15" s="120" t="n">
        <v>1</v>
      </c>
      <c r="F15" s="120" t="n">
        <v>1</v>
      </c>
      <c r="G15" s="120" t="n">
        <v>1</v>
      </c>
      <c r="H15" s="105" t="n">
        <f aca="false">$B15*C15*12*(1+Assumptions!$B$35)^0*Assumptions!$B$66</f>
        <v>93046.1538461539</v>
      </c>
      <c r="I15" s="105" t="n">
        <f aca="false">$B15*D15*12*(1+Assumptions!$B$35)^1*Assumptions!$C$66</f>
        <v>155520</v>
      </c>
      <c r="J15" s="105" t="n">
        <f aca="false">ROUND($B15*E15*12*(1+Assumptions!$B$35)^2*Assumptions!$D$66,2)</f>
        <v>174240</v>
      </c>
      <c r="K15" s="105" t="n">
        <f aca="false">ROUND($B15*F15*12*(1+Assumptions!$B$35)^3*Assumptions!$E$66,2)</f>
        <v>191664</v>
      </c>
      <c r="L15" s="105" t="n">
        <f aca="false">ROUND($B15*G15*12*(1+Assumptions!$B$35)^4*Assumptions!$F$66,2)</f>
        <v>210830.4</v>
      </c>
    </row>
    <row r="16" customFormat="false" ht="27.75" hidden="false" customHeight="true" outlineLevel="0" collapsed="false">
      <c r="A16" s="111" t="s">
        <v>393</v>
      </c>
      <c r="B16" s="120" t="n">
        <v>15000</v>
      </c>
      <c r="C16" s="120" t="n">
        <v>1</v>
      </c>
      <c r="D16" s="120" t="n">
        <v>1</v>
      </c>
      <c r="E16" s="120" t="n">
        <v>1</v>
      </c>
      <c r="F16" s="120" t="n">
        <v>1</v>
      </c>
      <c r="G16" s="120" t="n">
        <v>1</v>
      </c>
      <c r="H16" s="105" t="n">
        <f aca="false">$B16*C16*12*(1+Assumptions!$B$35)^0*Assumptions!$B$66</f>
        <v>116307.692307692</v>
      </c>
      <c r="I16" s="105" t="n">
        <f aca="false">$B16*D16*12*(1+Assumptions!$B$35)^1*Assumptions!$C$66</f>
        <v>194400</v>
      </c>
      <c r="J16" s="105" t="n">
        <f aca="false">ROUND($B16*E16*12*(1+Assumptions!$B$35)^2*Assumptions!$D$66,2)</f>
        <v>217800</v>
      </c>
      <c r="K16" s="105" t="n">
        <f aca="false">ROUND($B16*F16*12*(1+Assumptions!$B$35)^3*Assumptions!$E$66,2)</f>
        <v>239580</v>
      </c>
      <c r="L16" s="105" t="n">
        <f aca="false">ROUND($B16*G16*12*(1+Assumptions!$B$35)^4*Assumptions!$F$66,2)</f>
        <v>263538</v>
      </c>
    </row>
    <row r="17" customFormat="false" ht="27.75" hidden="false" customHeight="true" outlineLevel="0" collapsed="false">
      <c r="A17" s="111" t="s">
        <v>394</v>
      </c>
      <c r="B17" s="120" t="n">
        <v>15000</v>
      </c>
      <c r="C17" s="120" t="n">
        <v>1</v>
      </c>
      <c r="D17" s="120" t="n">
        <v>1</v>
      </c>
      <c r="E17" s="120" t="n">
        <v>1</v>
      </c>
      <c r="F17" s="120" t="n">
        <v>1</v>
      </c>
      <c r="G17" s="120" t="n">
        <v>1</v>
      </c>
      <c r="H17" s="105" t="n">
        <f aca="false">$B17*C17*12*(1+Assumptions!$B$35)^0*Assumptions!$B$66</f>
        <v>116307.692307692</v>
      </c>
      <c r="I17" s="105" t="n">
        <f aca="false">$B17*D17*12*(1+Assumptions!$B$35)^1*Assumptions!$C$66</f>
        <v>194400</v>
      </c>
      <c r="J17" s="105" t="n">
        <f aca="false">ROUND($B17*E17*12*(1+Assumptions!$B$35)^2*Assumptions!$D$66,2)</f>
        <v>217800</v>
      </c>
      <c r="K17" s="105" t="n">
        <f aca="false">ROUND($B17*F17*12*(1+Assumptions!$B$35)^3*Assumptions!$E$66,2)</f>
        <v>239580</v>
      </c>
      <c r="L17" s="105" t="n">
        <f aca="false">ROUND($B17*G17*12*(1+Assumptions!$B$35)^4*Assumptions!$F$66,2)</f>
        <v>263538</v>
      </c>
    </row>
    <row r="18" customFormat="false" ht="27.75" hidden="false" customHeight="true" outlineLevel="0" collapsed="false">
      <c r="A18" s="111" t="s">
        <v>395</v>
      </c>
      <c r="B18" s="120" t="n">
        <v>10000</v>
      </c>
      <c r="C18" s="120" t="n">
        <v>1</v>
      </c>
      <c r="D18" s="120" t="n">
        <v>1</v>
      </c>
      <c r="E18" s="120" t="n">
        <v>1</v>
      </c>
      <c r="F18" s="120" t="n">
        <v>1</v>
      </c>
      <c r="G18" s="120" t="n">
        <v>1</v>
      </c>
      <c r="H18" s="105" t="n">
        <f aca="false">$B18*C18*12*(1+Assumptions!$B$35)^0*Assumptions!$B$66</f>
        <v>77538.4615384616</v>
      </c>
      <c r="I18" s="105" t="n">
        <f aca="false">$B18*D18*12*(1+Assumptions!$B$35)^1*Assumptions!$C$66</f>
        <v>129600</v>
      </c>
      <c r="J18" s="105" t="n">
        <f aca="false">ROUND($B18*E18*12*(1+Assumptions!$B$35)^2*Assumptions!$D$66,2)</f>
        <v>145200</v>
      </c>
      <c r="K18" s="105" t="n">
        <f aca="false">ROUND($B18*F18*12*(1+Assumptions!$B$35)^3*Assumptions!$E$66,2)</f>
        <v>159720</v>
      </c>
      <c r="L18" s="105" t="n">
        <f aca="false">ROUND($B18*G18*12*(1+Assumptions!$B$35)^4*Assumptions!$F$66,2)</f>
        <v>175692</v>
      </c>
    </row>
    <row r="19" customFormat="false" ht="15" hidden="false" customHeight="true" outlineLevel="0" collapsed="false">
      <c r="A19" s="121" t="s">
        <v>396</v>
      </c>
      <c r="B19" s="121"/>
      <c r="C19" s="121"/>
      <c r="D19" s="121"/>
      <c r="E19" s="121"/>
      <c r="F19" s="121"/>
      <c r="G19" s="121"/>
      <c r="H19" s="121" t="n">
        <f aca="false">SUM(H4:H18)</f>
        <v>4435200</v>
      </c>
      <c r="I19" s="121" t="n">
        <f aca="false">SUM(I4:I18)</f>
        <v>7413120</v>
      </c>
      <c r="J19" s="121" t="n">
        <f aca="false">SUM(J4:J18)</f>
        <v>8305440</v>
      </c>
      <c r="K19" s="121" t="n">
        <f aca="false">SUM(K4:K18)</f>
        <v>12769614</v>
      </c>
      <c r="L19" s="121" t="n">
        <f aca="false">SUM(L4:L18)</f>
        <v>18043568.4</v>
      </c>
    </row>
    <row r="20" customFormat="false" ht="15" hidden="false" customHeight="false" outlineLevel="0" collapsed="false">
      <c r="A20" s="1" t="s">
        <v>397</v>
      </c>
      <c r="H20" s="122" t="n">
        <v>4435200</v>
      </c>
      <c r="I20" s="122" t="n">
        <v>7413120</v>
      </c>
    </row>
    <row r="21" customFormat="false" ht="36" hidden="false" customHeight="true" outlineLevel="0" collapsed="false">
      <c r="A21" s="74" t="s">
        <v>398</v>
      </c>
      <c r="B21" s="118" t="s">
        <v>399</v>
      </c>
      <c r="C21" s="118"/>
      <c r="D21" s="118"/>
      <c r="E21" s="118"/>
      <c r="F21" s="118"/>
      <c r="G21" s="118"/>
      <c r="H21" s="118"/>
      <c r="I21" s="118"/>
      <c r="J21" s="118"/>
      <c r="K21" s="118"/>
      <c r="L21" s="118"/>
    </row>
    <row r="22" customFormat="false" ht="37.5" hidden="false" customHeight="true" outlineLevel="0" collapsed="false">
      <c r="A22" s="74" t="s">
        <v>400</v>
      </c>
      <c r="B22" s="123" t="s">
        <v>401</v>
      </c>
      <c r="C22" s="123"/>
      <c r="D22" s="123"/>
      <c r="E22" s="123"/>
      <c r="F22" s="123"/>
      <c r="G22" s="123"/>
      <c r="H22" s="123"/>
      <c r="I22" s="123"/>
      <c r="J22" s="123"/>
      <c r="K22" s="123"/>
      <c r="L22" s="123"/>
    </row>
    <row r="23" customFormat="false" ht="48" hidden="false" customHeight="true" outlineLevel="0" collapsed="false">
      <c r="A23" s="74" t="s">
        <v>402</v>
      </c>
      <c r="B23" s="123" t="s">
        <v>403</v>
      </c>
      <c r="C23" s="123"/>
      <c r="D23" s="123"/>
      <c r="E23" s="123"/>
      <c r="F23" s="123"/>
      <c r="G23" s="123"/>
      <c r="H23" s="123"/>
      <c r="I23" s="123"/>
      <c r="J23" s="123"/>
      <c r="K23" s="123"/>
      <c r="L23" s="123"/>
    </row>
    <row r="24" customFormat="false" ht="37.5" hidden="false" customHeight="true" outlineLevel="0" collapsed="false">
      <c r="A24" s="74" t="s">
        <v>404</v>
      </c>
      <c r="B24" s="123" t="s">
        <v>405</v>
      </c>
      <c r="C24" s="123"/>
      <c r="D24" s="123"/>
      <c r="E24" s="123"/>
      <c r="F24" s="123"/>
      <c r="G24" s="123"/>
      <c r="H24" s="123"/>
      <c r="I24" s="123"/>
      <c r="J24" s="123"/>
      <c r="K24" s="123"/>
      <c r="L24" s="123"/>
    </row>
  </sheetData>
  <mergeCells count="5">
    <mergeCell ref="A1:L1"/>
    <mergeCell ref="B21:L21"/>
    <mergeCell ref="B22:L22"/>
    <mergeCell ref="B23:L23"/>
    <mergeCell ref="B24:L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4"/>
    <col collapsed="false" customWidth="true" hidden="false" outlineLevel="0" max="6" min="2" style="1" width="18"/>
    <col collapsed="false" customWidth="true" hidden="false" outlineLevel="0" max="61" min="7" style="1" width="11"/>
  </cols>
  <sheetData>
    <row r="1" customFormat="false" ht="30" hidden="false" customHeight="true" outlineLevel="0" collapsed="false">
      <c r="A1" s="95" t="s">
        <v>406</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row>
    <row r="3" customFormat="false" ht="15" hidden="false" customHeight="true" outlineLevel="0" collapsed="false">
      <c r="A3" s="102" t="s">
        <v>407</v>
      </c>
      <c r="B3" s="124" t="n">
        <v>46388</v>
      </c>
      <c r="C3" s="125" t="n">
        <v>46419</v>
      </c>
      <c r="D3" s="126" t="n">
        <v>46447</v>
      </c>
      <c r="E3" s="127" t="n">
        <v>46478</v>
      </c>
      <c r="F3" s="128" t="n">
        <v>46508</v>
      </c>
      <c r="G3" s="129" t="n">
        <v>46539</v>
      </c>
      <c r="H3" s="130" t="n">
        <v>46569</v>
      </c>
      <c r="I3" s="131" t="n">
        <v>46600</v>
      </c>
      <c r="J3" s="132" t="n">
        <v>46631</v>
      </c>
      <c r="K3" s="133" t="n">
        <v>46661</v>
      </c>
      <c r="L3" s="134" t="n">
        <v>46692</v>
      </c>
      <c r="M3" s="135" t="n">
        <v>46722</v>
      </c>
      <c r="N3" s="136" t="n">
        <v>46753</v>
      </c>
      <c r="O3" s="137" t="n">
        <v>46784</v>
      </c>
      <c r="P3" s="138" t="n">
        <v>46813</v>
      </c>
      <c r="Q3" s="139" t="n">
        <v>46844</v>
      </c>
      <c r="R3" s="140" t="n">
        <v>46874</v>
      </c>
      <c r="S3" s="141" t="n">
        <v>46905</v>
      </c>
      <c r="T3" s="142" t="n">
        <v>46935</v>
      </c>
      <c r="U3" s="143" t="n">
        <v>46966</v>
      </c>
      <c r="V3" s="144" t="n">
        <v>46997</v>
      </c>
      <c r="W3" s="145" t="n">
        <v>47027</v>
      </c>
      <c r="X3" s="146" t="n">
        <v>47058</v>
      </c>
      <c r="Y3" s="147" t="n">
        <v>47088</v>
      </c>
      <c r="Z3" s="148" t="n">
        <v>47119</v>
      </c>
      <c r="AA3" s="149" t="n">
        <v>47150</v>
      </c>
      <c r="AB3" s="150" t="n">
        <v>47178</v>
      </c>
      <c r="AC3" s="151" t="n">
        <v>47209</v>
      </c>
      <c r="AD3" s="152" t="n">
        <v>47239</v>
      </c>
      <c r="AE3" s="153" t="n">
        <v>47270</v>
      </c>
      <c r="AF3" s="154" t="n">
        <v>47300</v>
      </c>
      <c r="AG3" s="155" t="n">
        <v>47331</v>
      </c>
      <c r="AH3" s="156" t="n">
        <v>47362</v>
      </c>
      <c r="AI3" s="157" t="n">
        <v>47392</v>
      </c>
      <c r="AJ3" s="158" t="n">
        <v>47423</v>
      </c>
      <c r="AK3" s="159" t="n">
        <v>47453</v>
      </c>
      <c r="AL3" s="160" t="n">
        <v>47484</v>
      </c>
      <c r="AM3" s="161" t="n">
        <v>47515</v>
      </c>
      <c r="AN3" s="162" t="n">
        <v>47543</v>
      </c>
      <c r="AO3" s="163" t="n">
        <v>47574</v>
      </c>
      <c r="AP3" s="164" t="n">
        <v>47604</v>
      </c>
      <c r="AQ3" s="165" t="n">
        <v>47635</v>
      </c>
      <c r="AR3" s="166" t="n">
        <v>47665</v>
      </c>
      <c r="AS3" s="167" t="n">
        <v>47696</v>
      </c>
      <c r="AT3" s="168" t="n">
        <v>47727</v>
      </c>
      <c r="AU3" s="169" t="n">
        <v>47757</v>
      </c>
      <c r="AV3" s="170" t="n">
        <v>47788</v>
      </c>
      <c r="AW3" s="171" t="n">
        <v>47818</v>
      </c>
      <c r="AX3" s="172" t="n">
        <v>47849</v>
      </c>
      <c r="AY3" s="173" t="n">
        <v>47880</v>
      </c>
      <c r="AZ3" s="174" t="n">
        <v>47908</v>
      </c>
      <c r="BA3" s="175" t="n">
        <v>47939</v>
      </c>
      <c r="BB3" s="176" t="n">
        <v>47969</v>
      </c>
      <c r="BC3" s="177" t="n">
        <v>48000</v>
      </c>
      <c r="BD3" s="178" t="n">
        <v>48030</v>
      </c>
      <c r="BE3" s="179" t="n">
        <v>48061</v>
      </c>
      <c r="BF3" s="180" t="n">
        <v>48092</v>
      </c>
      <c r="BG3" s="181" t="n">
        <v>48122</v>
      </c>
      <c r="BH3" s="182" t="n">
        <v>48153</v>
      </c>
      <c r="BI3" s="183" t="n">
        <v>48183</v>
      </c>
    </row>
    <row r="4" customFormat="false" ht="15" hidden="false" customHeight="true" outlineLevel="0" collapsed="false">
      <c r="A4" s="102" t="s">
        <v>408</v>
      </c>
      <c r="B4" s="184" t="n">
        <v>2027</v>
      </c>
      <c r="C4" s="184" t="n">
        <v>2027</v>
      </c>
      <c r="D4" s="184" t="n">
        <v>2027</v>
      </c>
      <c r="E4" s="184" t="n">
        <v>2027</v>
      </c>
      <c r="F4" s="184" t="n">
        <v>2027</v>
      </c>
      <c r="G4" s="184" t="n">
        <v>2027</v>
      </c>
      <c r="H4" s="184" t="n">
        <v>2027</v>
      </c>
      <c r="I4" s="184" t="n">
        <v>2027</v>
      </c>
      <c r="J4" s="184" t="n">
        <v>2027</v>
      </c>
      <c r="K4" s="184" t="n">
        <v>2027</v>
      </c>
      <c r="L4" s="184" t="n">
        <v>2027</v>
      </c>
      <c r="M4" s="184" t="n">
        <v>2027</v>
      </c>
      <c r="N4" s="185" t="n">
        <v>2028</v>
      </c>
      <c r="O4" s="185" t="n">
        <v>2028</v>
      </c>
      <c r="P4" s="185" t="n">
        <v>2028</v>
      </c>
      <c r="Q4" s="185" t="n">
        <v>2028</v>
      </c>
      <c r="R4" s="185" t="n">
        <v>2028</v>
      </c>
      <c r="S4" s="185" t="n">
        <v>2028</v>
      </c>
      <c r="T4" s="185" t="n">
        <v>2028</v>
      </c>
      <c r="U4" s="185" t="n">
        <v>2028</v>
      </c>
      <c r="V4" s="185" t="n">
        <v>2028</v>
      </c>
      <c r="W4" s="185" t="n">
        <v>2028</v>
      </c>
      <c r="X4" s="185" t="n">
        <v>2028</v>
      </c>
      <c r="Y4" s="185" t="n">
        <v>2028</v>
      </c>
      <c r="Z4" s="186" t="n">
        <v>2029</v>
      </c>
      <c r="AA4" s="186" t="n">
        <v>2029</v>
      </c>
      <c r="AB4" s="186" t="n">
        <v>2029</v>
      </c>
      <c r="AC4" s="186" t="n">
        <v>2029</v>
      </c>
      <c r="AD4" s="186" t="n">
        <v>2029</v>
      </c>
      <c r="AE4" s="186" t="n">
        <v>2029</v>
      </c>
      <c r="AF4" s="186" t="n">
        <v>2029</v>
      </c>
      <c r="AG4" s="186" t="n">
        <v>2029</v>
      </c>
      <c r="AH4" s="186" t="n">
        <v>2029</v>
      </c>
      <c r="AI4" s="186" t="n">
        <v>2029</v>
      </c>
      <c r="AJ4" s="186" t="n">
        <v>2029</v>
      </c>
      <c r="AK4" s="186" t="n">
        <v>2029</v>
      </c>
      <c r="AL4" s="187" t="n">
        <v>2030</v>
      </c>
      <c r="AM4" s="187" t="n">
        <v>2030</v>
      </c>
      <c r="AN4" s="187" t="n">
        <v>2030</v>
      </c>
      <c r="AO4" s="187" t="n">
        <v>2030</v>
      </c>
      <c r="AP4" s="187" t="n">
        <v>2030</v>
      </c>
      <c r="AQ4" s="187" t="n">
        <v>2030</v>
      </c>
      <c r="AR4" s="187" t="n">
        <v>2030</v>
      </c>
      <c r="AS4" s="187" t="n">
        <v>2030</v>
      </c>
      <c r="AT4" s="187" t="n">
        <v>2030</v>
      </c>
      <c r="AU4" s="187" t="n">
        <v>2030</v>
      </c>
      <c r="AV4" s="187" t="n">
        <v>2030</v>
      </c>
      <c r="AW4" s="187" t="n">
        <v>2030</v>
      </c>
      <c r="AX4" s="188" t="n">
        <v>2031</v>
      </c>
      <c r="AY4" s="188" t="n">
        <v>2031</v>
      </c>
      <c r="AZ4" s="188" t="n">
        <v>2031</v>
      </c>
      <c r="BA4" s="188" t="n">
        <v>2031</v>
      </c>
      <c r="BB4" s="188" t="n">
        <v>2031</v>
      </c>
      <c r="BC4" s="188" t="n">
        <v>2031</v>
      </c>
      <c r="BD4" s="188" t="n">
        <v>2031</v>
      </c>
      <c r="BE4" s="188" t="n">
        <v>2031</v>
      </c>
      <c r="BF4" s="188" t="n">
        <v>2031</v>
      </c>
      <c r="BG4" s="188" t="n">
        <v>2031</v>
      </c>
      <c r="BH4" s="188" t="n">
        <v>2031</v>
      </c>
      <c r="BI4" s="188" t="n">
        <v>2031</v>
      </c>
    </row>
    <row r="5" customFormat="false" ht="15" hidden="false" customHeight="true" outlineLevel="0" collapsed="false">
      <c r="A5" s="102" t="s">
        <v>409</v>
      </c>
      <c r="B5" s="99" t="n">
        <v>1</v>
      </c>
      <c r="C5" s="99" t="n">
        <v>2</v>
      </c>
      <c r="D5" s="99" t="n">
        <v>3</v>
      </c>
      <c r="E5" s="99" t="n">
        <v>4</v>
      </c>
      <c r="F5" s="99" t="n">
        <v>5</v>
      </c>
      <c r="G5" s="99" t="n">
        <v>6</v>
      </c>
      <c r="H5" s="99" t="n">
        <v>7</v>
      </c>
      <c r="I5" s="99" t="n">
        <v>8</v>
      </c>
      <c r="J5" s="99" t="n">
        <v>9</v>
      </c>
      <c r="K5" s="99" t="n">
        <v>10</v>
      </c>
      <c r="L5" s="99" t="n">
        <v>11</v>
      </c>
      <c r="M5" s="99" t="n">
        <v>12</v>
      </c>
      <c r="N5" s="99" t="n">
        <v>13</v>
      </c>
      <c r="O5" s="99" t="n">
        <v>14</v>
      </c>
      <c r="P5" s="99" t="n">
        <v>15</v>
      </c>
      <c r="Q5" s="99" t="n">
        <v>16</v>
      </c>
      <c r="R5" s="99" t="n">
        <v>17</v>
      </c>
      <c r="S5" s="99" t="n">
        <v>18</v>
      </c>
      <c r="T5" s="99" t="n">
        <v>19</v>
      </c>
      <c r="U5" s="99" t="n">
        <v>20</v>
      </c>
      <c r="V5" s="99" t="n">
        <v>21</v>
      </c>
      <c r="W5" s="99" t="n">
        <v>22</v>
      </c>
      <c r="X5" s="99" t="n">
        <v>23</v>
      </c>
      <c r="Y5" s="99" t="n">
        <v>24</v>
      </c>
      <c r="Z5" s="99" t="n">
        <v>25</v>
      </c>
      <c r="AA5" s="99" t="n">
        <v>26</v>
      </c>
      <c r="AB5" s="99" t="n">
        <v>27</v>
      </c>
      <c r="AC5" s="99" t="n">
        <v>28</v>
      </c>
      <c r="AD5" s="99" t="n">
        <v>29</v>
      </c>
      <c r="AE5" s="99" t="n">
        <v>30</v>
      </c>
      <c r="AF5" s="99" t="n">
        <v>31</v>
      </c>
      <c r="AG5" s="99" t="n">
        <v>32</v>
      </c>
      <c r="AH5" s="99" t="n">
        <v>33</v>
      </c>
      <c r="AI5" s="99" t="n">
        <v>34</v>
      </c>
      <c r="AJ5" s="99" t="n">
        <v>35</v>
      </c>
      <c r="AK5" s="99" t="n">
        <v>36</v>
      </c>
      <c r="AL5" s="99" t="n">
        <v>37</v>
      </c>
      <c r="AM5" s="99" t="n">
        <v>38</v>
      </c>
      <c r="AN5" s="99" t="n">
        <v>39</v>
      </c>
      <c r="AO5" s="99" t="n">
        <v>40</v>
      </c>
      <c r="AP5" s="99" t="n">
        <v>41</v>
      </c>
      <c r="AQ5" s="99" t="n">
        <v>42</v>
      </c>
      <c r="AR5" s="99" t="n">
        <v>43</v>
      </c>
      <c r="AS5" s="99" t="n">
        <v>44</v>
      </c>
      <c r="AT5" s="99" t="n">
        <v>45</v>
      </c>
      <c r="AU5" s="99" t="n">
        <v>46</v>
      </c>
      <c r="AV5" s="99" t="n">
        <v>47</v>
      </c>
      <c r="AW5" s="99" t="n">
        <v>48</v>
      </c>
      <c r="AX5" s="99" t="n">
        <v>49</v>
      </c>
      <c r="AY5" s="99" t="n">
        <v>50</v>
      </c>
      <c r="AZ5" s="99" t="n">
        <v>51</v>
      </c>
      <c r="BA5" s="99" t="n">
        <v>52</v>
      </c>
      <c r="BB5" s="99" t="n">
        <v>53</v>
      </c>
      <c r="BC5" s="99" t="n">
        <v>54</v>
      </c>
      <c r="BD5" s="99" t="n">
        <v>55</v>
      </c>
      <c r="BE5" s="99" t="n">
        <v>56</v>
      </c>
      <c r="BF5" s="99" t="n">
        <v>57</v>
      </c>
      <c r="BG5" s="99" t="n">
        <v>58</v>
      </c>
      <c r="BH5" s="99" t="n">
        <v>59</v>
      </c>
      <c r="BI5" s="99" t="n">
        <v>60</v>
      </c>
    </row>
    <row r="6" customFormat="false" ht="15" hidden="false" customHeight="true" outlineLevel="0" collapsed="false">
      <c r="A6" s="102" t="s">
        <v>410</v>
      </c>
      <c r="B6" s="100" t="n">
        <v>0</v>
      </c>
      <c r="C6" s="100" t="n">
        <v>0.0714285714285714</v>
      </c>
      <c r="D6" s="100" t="n">
        <v>0.0714285714285714</v>
      </c>
      <c r="E6" s="100" t="n">
        <v>0.0821428571428572</v>
      </c>
      <c r="F6" s="100" t="n">
        <v>0.0821428571428572</v>
      </c>
      <c r="G6" s="100" t="n">
        <v>0.0821428571428572</v>
      </c>
      <c r="H6" s="100" t="n">
        <v>0.0964285714285715</v>
      </c>
      <c r="I6" s="100" t="n">
        <v>0.0964285714285715</v>
      </c>
      <c r="J6" s="100" t="n">
        <v>0.0964285714285715</v>
      </c>
      <c r="K6" s="100" t="n">
        <v>0.107142857142857</v>
      </c>
      <c r="L6" s="100" t="n">
        <v>0.107142857142857</v>
      </c>
      <c r="M6" s="100" t="n">
        <v>0.107142857142857</v>
      </c>
      <c r="N6" s="100" t="n">
        <v>0.0666666666666667</v>
      </c>
      <c r="O6" s="100" t="n">
        <v>0.0666666666666667</v>
      </c>
      <c r="P6" s="100" t="n">
        <v>0.0666666666666667</v>
      </c>
      <c r="Q6" s="100" t="n">
        <v>0.0766666666666667</v>
      </c>
      <c r="R6" s="100" t="n">
        <v>0.0766666666666667</v>
      </c>
      <c r="S6" s="100" t="n">
        <v>0.0766666666666667</v>
      </c>
      <c r="T6" s="100" t="n">
        <v>0.09</v>
      </c>
      <c r="U6" s="100" t="n">
        <v>0.09</v>
      </c>
      <c r="V6" s="100" t="n">
        <v>0.09</v>
      </c>
      <c r="W6" s="100" t="n">
        <v>0.1</v>
      </c>
      <c r="X6" s="100" t="n">
        <v>0.1</v>
      </c>
      <c r="Y6" s="100" t="n">
        <v>0.1</v>
      </c>
      <c r="Z6" s="100" t="n">
        <v>0.0666666666666667</v>
      </c>
      <c r="AA6" s="100" t="n">
        <v>0.0666666666666667</v>
      </c>
      <c r="AB6" s="100" t="n">
        <v>0.0666666666666667</v>
      </c>
      <c r="AC6" s="100" t="n">
        <v>0.0766666666666667</v>
      </c>
      <c r="AD6" s="100" t="n">
        <v>0.0766666666666667</v>
      </c>
      <c r="AE6" s="100" t="n">
        <v>0.0766666666666667</v>
      </c>
      <c r="AF6" s="100" t="n">
        <v>0.09</v>
      </c>
      <c r="AG6" s="100" t="n">
        <v>0.09</v>
      </c>
      <c r="AH6" s="100" t="n">
        <v>0.09</v>
      </c>
      <c r="AI6" s="100" t="n">
        <v>0.1</v>
      </c>
      <c r="AJ6" s="100" t="n">
        <v>0.1</v>
      </c>
      <c r="AK6" s="100" t="n">
        <v>0.1</v>
      </c>
      <c r="AL6" s="100" t="n">
        <v>0.0666666666666667</v>
      </c>
      <c r="AM6" s="100" t="n">
        <v>0.0666666666666667</v>
      </c>
      <c r="AN6" s="100" t="n">
        <v>0.0666666666666667</v>
      </c>
      <c r="AO6" s="100" t="n">
        <v>0.0766666666666667</v>
      </c>
      <c r="AP6" s="100" t="n">
        <v>0.0766666666666667</v>
      </c>
      <c r="AQ6" s="100" t="n">
        <v>0.0766666666666667</v>
      </c>
      <c r="AR6" s="100" t="n">
        <v>0.09</v>
      </c>
      <c r="AS6" s="100" t="n">
        <v>0.09</v>
      </c>
      <c r="AT6" s="100" t="n">
        <v>0.09</v>
      </c>
      <c r="AU6" s="100" t="n">
        <v>0.1</v>
      </c>
      <c r="AV6" s="100" t="n">
        <v>0.1</v>
      </c>
      <c r="AW6" s="100" t="n">
        <v>0.1</v>
      </c>
      <c r="AX6" s="100" t="n">
        <v>0.0666666666666667</v>
      </c>
      <c r="AY6" s="100" t="n">
        <v>0.0666666666666667</v>
      </c>
      <c r="AZ6" s="100" t="n">
        <v>0.0666666666666667</v>
      </c>
      <c r="BA6" s="100" t="n">
        <v>0.0766666666666667</v>
      </c>
      <c r="BB6" s="100" t="n">
        <v>0.0766666666666667</v>
      </c>
      <c r="BC6" s="100" t="n">
        <v>0.0766666666666667</v>
      </c>
      <c r="BD6" s="100" t="n">
        <v>0.09</v>
      </c>
      <c r="BE6" s="100" t="n">
        <v>0.09</v>
      </c>
      <c r="BF6" s="100" t="n">
        <v>0.09</v>
      </c>
      <c r="BG6" s="100" t="n">
        <v>0.1</v>
      </c>
      <c r="BH6" s="100" t="n">
        <v>0.1</v>
      </c>
      <c r="BI6" s="100" t="n">
        <v>0.1</v>
      </c>
    </row>
    <row r="7" customFormat="false" ht="15" hidden="false" customHeight="true" outlineLevel="0" collapsed="false">
      <c r="A7" s="102" t="s">
        <v>411</v>
      </c>
      <c r="B7" s="189" t="n">
        <f aca="false">Assumptions!B$4*B$6</f>
        <v>0</v>
      </c>
      <c r="C7" s="189" t="n">
        <f aca="false">Assumptions!B$4*C$6</f>
        <v>1982142.85714286</v>
      </c>
      <c r="D7" s="189" t="n">
        <f aca="false">Assumptions!B$4*D$6</f>
        <v>1982142.85714286</v>
      </c>
      <c r="E7" s="189" t="n">
        <f aca="false">Assumptions!B$4*E$6</f>
        <v>2279464.28571429</v>
      </c>
      <c r="F7" s="189" t="n">
        <f aca="false">Assumptions!B$4*F$6</f>
        <v>2279464.28571429</v>
      </c>
      <c r="G7" s="189" t="n">
        <f aca="false">Assumptions!B$4*G$6</f>
        <v>2279464.28571429</v>
      </c>
      <c r="H7" s="189" t="n">
        <f aca="false">Assumptions!B$4*H$6</f>
        <v>2675892.85714286</v>
      </c>
      <c r="I7" s="189" t="n">
        <f aca="false">Assumptions!B$4*I$6</f>
        <v>2675892.85714286</v>
      </c>
      <c r="J7" s="189" t="n">
        <f aca="false">Assumptions!B$4*J$6</f>
        <v>2675892.85714286</v>
      </c>
      <c r="K7" s="189" t="n">
        <f aca="false">Assumptions!B$4*K$6</f>
        <v>2973214.28571428</v>
      </c>
      <c r="L7" s="189" t="n">
        <f aca="false">Assumptions!B$4*L$6</f>
        <v>2973214.28571428</v>
      </c>
      <c r="M7" s="189" t="n">
        <f aca="false">Assumptions!B$4*M$6</f>
        <v>2973214.28571428</v>
      </c>
      <c r="N7" s="189" t="n">
        <f aca="false">Assumptions!C$4*N$6</f>
        <v>35166666.6666667</v>
      </c>
      <c r="O7" s="189" t="n">
        <f aca="false">Assumptions!C$4*O$6</f>
        <v>35166666.6666667</v>
      </c>
      <c r="P7" s="189" t="n">
        <f aca="false">Assumptions!C$4*P$6</f>
        <v>35166666.6666667</v>
      </c>
      <c r="Q7" s="189" t="n">
        <f aca="false">Assumptions!C$4*Q$6</f>
        <v>40441666.6666667</v>
      </c>
      <c r="R7" s="189" t="n">
        <f aca="false">Assumptions!C$4*R$6</f>
        <v>40441666.6666667</v>
      </c>
      <c r="S7" s="189" t="n">
        <f aca="false">Assumptions!C$4*S$6</f>
        <v>40441666.6666667</v>
      </c>
      <c r="T7" s="189" t="n">
        <f aca="false">Assumptions!C$4*T$6</f>
        <v>47475000</v>
      </c>
      <c r="U7" s="189" t="n">
        <f aca="false">Assumptions!C$4*U$6</f>
        <v>47475000</v>
      </c>
      <c r="V7" s="189" t="n">
        <f aca="false">Assumptions!C$4*V$6</f>
        <v>47475000</v>
      </c>
      <c r="W7" s="189" t="n">
        <f aca="false">Assumptions!C$4*W$6</f>
        <v>52750000</v>
      </c>
      <c r="X7" s="189" t="n">
        <f aca="false">Assumptions!C$4*X$6</f>
        <v>52750000</v>
      </c>
      <c r="Y7" s="189" t="n">
        <f aca="false">Assumptions!C$4*Y$6</f>
        <v>52750000</v>
      </c>
      <c r="Z7" s="189" t="n">
        <f aca="false">Assumptions!D$4*Z$6</f>
        <v>46666666.6666667</v>
      </c>
      <c r="AA7" s="189" t="n">
        <f aca="false">Assumptions!D$4*AA$6</f>
        <v>46666666.6666667</v>
      </c>
      <c r="AB7" s="189" t="n">
        <f aca="false">Assumptions!D$4*AB$6</f>
        <v>46666666.6666667</v>
      </c>
      <c r="AC7" s="189" t="n">
        <f aca="false">Assumptions!D$4*AC$6</f>
        <v>53666666.6666667</v>
      </c>
      <c r="AD7" s="189" t="n">
        <f aca="false">Assumptions!D$4*AD$6</f>
        <v>53666666.6666667</v>
      </c>
      <c r="AE7" s="189" t="n">
        <f aca="false">Assumptions!D$4*AE$6</f>
        <v>53666666.6666667</v>
      </c>
      <c r="AF7" s="189" t="n">
        <f aca="false">Assumptions!D$4*AF$6</f>
        <v>63000000</v>
      </c>
      <c r="AG7" s="189" t="n">
        <f aca="false">Assumptions!D$4*AG$6</f>
        <v>63000000</v>
      </c>
      <c r="AH7" s="189" t="n">
        <f aca="false">Assumptions!D$4*AH$6</f>
        <v>63000000</v>
      </c>
      <c r="AI7" s="189" t="n">
        <f aca="false">Assumptions!D$4*AI$6</f>
        <v>70000000</v>
      </c>
      <c r="AJ7" s="189" t="n">
        <f aca="false">Assumptions!D$4*AJ$6</f>
        <v>70000000</v>
      </c>
      <c r="AK7" s="189" t="n">
        <f aca="false">Assumptions!D$4*AK$6</f>
        <v>70000000</v>
      </c>
      <c r="AL7" s="189" t="n">
        <f aca="false">Assumptions!E$4*AL$6</f>
        <v>90000000</v>
      </c>
      <c r="AM7" s="189" t="n">
        <f aca="false">Assumptions!E$4*AM$6</f>
        <v>90000000</v>
      </c>
      <c r="AN7" s="189" t="n">
        <f aca="false">Assumptions!E$4*AN$6</f>
        <v>90000000</v>
      </c>
      <c r="AO7" s="189" t="n">
        <f aca="false">Assumptions!E$4*AO$6</f>
        <v>103500000</v>
      </c>
      <c r="AP7" s="189" t="n">
        <f aca="false">Assumptions!E$4*AP$6</f>
        <v>103500000</v>
      </c>
      <c r="AQ7" s="189" t="n">
        <f aca="false">Assumptions!E$4*AQ$6</f>
        <v>103500000</v>
      </c>
      <c r="AR7" s="189" t="n">
        <f aca="false">Assumptions!E$4*AR$6</f>
        <v>121500000</v>
      </c>
      <c r="AS7" s="189" t="n">
        <f aca="false">Assumptions!E$4*AS$6</f>
        <v>121500000</v>
      </c>
      <c r="AT7" s="189" t="n">
        <f aca="false">Assumptions!E$4*AT$6</f>
        <v>121500000</v>
      </c>
      <c r="AU7" s="189" t="n">
        <f aca="false">Assumptions!E$4*AU$6</f>
        <v>135000000</v>
      </c>
      <c r="AV7" s="189" t="n">
        <f aca="false">Assumptions!E$4*AV$6</f>
        <v>135000000</v>
      </c>
      <c r="AW7" s="189" t="n">
        <f aca="false">Assumptions!E$4*AW$6</f>
        <v>135000000</v>
      </c>
      <c r="AX7" s="189" t="n">
        <f aca="false">Assumptions!F$4*AX$6</f>
        <v>166666666.666667</v>
      </c>
      <c r="AY7" s="189" t="n">
        <f aca="false">Assumptions!F$4*AY$6</f>
        <v>166666666.666667</v>
      </c>
      <c r="AZ7" s="189" t="n">
        <f aca="false">Assumptions!F$4*AZ$6</f>
        <v>166666666.666667</v>
      </c>
      <c r="BA7" s="189" t="n">
        <f aca="false">Assumptions!F$4*BA$6</f>
        <v>191666666.666667</v>
      </c>
      <c r="BB7" s="189" t="n">
        <f aca="false">Assumptions!F$4*BB$6</f>
        <v>191666666.666667</v>
      </c>
      <c r="BC7" s="189" t="n">
        <f aca="false">Assumptions!F$4*BC$6</f>
        <v>191666666.666667</v>
      </c>
      <c r="BD7" s="189" t="n">
        <f aca="false">Assumptions!F$4*BD$6</f>
        <v>225000000</v>
      </c>
      <c r="BE7" s="189" t="n">
        <f aca="false">Assumptions!F$4*BE$6</f>
        <v>225000000</v>
      </c>
      <c r="BF7" s="189" t="n">
        <f aca="false">Assumptions!F$4*BF$6</f>
        <v>225000000</v>
      </c>
      <c r="BG7" s="189" t="n">
        <f aca="false">Assumptions!F$4*BG$6</f>
        <v>250000000</v>
      </c>
      <c r="BH7" s="189" t="n">
        <f aca="false">Assumptions!F$4*BH$6</f>
        <v>250000000</v>
      </c>
      <c r="BI7" s="189" t="n">
        <f aca="false">Assumptions!F$4*BI$6</f>
        <v>250000000</v>
      </c>
    </row>
    <row r="8" customFormat="false" ht="27.75" hidden="false" customHeight="true" outlineLevel="0" collapsed="false">
      <c r="A8" s="74" t="s">
        <v>412</v>
      </c>
      <c r="B8" s="190" t="n">
        <f aca="false">Assumptions!B$5*B$6</f>
        <v>0</v>
      </c>
      <c r="C8" s="190" t="n">
        <f aca="false">Assumptions!B$5*C$6</f>
        <v>1982142.85714286</v>
      </c>
      <c r="D8" s="190" t="n">
        <f aca="false">Assumptions!B$5*D$6</f>
        <v>1982142.85714286</v>
      </c>
      <c r="E8" s="190" t="n">
        <f aca="false">Assumptions!B$5*E$6</f>
        <v>2279464.28571429</v>
      </c>
      <c r="F8" s="190" t="n">
        <f aca="false">Assumptions!B$5*F$6</f>
        <v>2279464.28571429</v>
      </c>
      <c r="G8" s="190" t="n">
        <f aca="false">Assumptions!B$5*G$6</f>
        <v>2279464.28571429</v>
      </c>
      <c r="H8" s="190" t="n">
        <f aca="false">Assumptions!B$5*H$6</f>
        <v>2675892.85714286</v>
      </c>
      <c r="I8" s="190" t="n">
        <f aca="false">Assumptions!B$5*I$6</f>
        <v>2675892.85714286</v>
      </c>
      <c r="J8" s="190" t="n">
        <f aca="false">Assumptions!B$5*J$6</f>
        <v>2675892.85714286</v>
      </c>
      <c r="K8" s="190" t="n">
        <f aca="false">Assumptions!B$5*K$6</f>
        <v>2973214.28571428</v>
      </c>
      <c r="L8" s="190" t="n">
        <f aca="false">Assumptions!B$5*L$6</f>
        <v>2973214.28571428</v>
      </c>
      <c r="M8" s="190" t="n">
        <f aca="false">Assumptions!B$5*M$6</f>
        <v>2973214.28571428</v>
      </c>
      <c r="N8" s="190" t="n">
        <f aca="false">Assumptions!C$5*N$6</f>
        <v>35166666.6666667</v>
      </c>
      <c r="O8" s="190" t="n">
        <f aca="false">Assumptions!C$5*O$6</f>
        <v>35166666.6666667</v>
      </c>
      <c r="P8" s="190" t="n">
        <f aca="false">Assumptions!C$5*P$6</f>
        <v>35166666.6666667</v>
      </c>
      <c r="Q8" s="190" t="n">
        <f aca="false">Assumptions!C$5*Q$6</f>
        <v>40441666.6666667</v>
      </c>
      <c r="R8" s="190" t="n">
        <f aca="false">Assumptions!C$5*R$6</f>
        <v>40441666.6666667</v>
      </c>
      <c r="S8" s="190" t="n">
        <f aca="false">Assumptions!C$5*S$6</f>
        <v>40441666.6666667</v>
      </c>
      <c r="T8" s="190" t="n">
        <f aca="false">Assumptions!C$5*T$6</f>
        <v>47475000</v>
      </c>
      <c r="U8" s="190" t="n">
        <f aca="false">Assumptions!C$5*U$6</f>
        <v>47475000</v>
      </c>
      <c r="V8" s="190" t="n">
        <f aca="false">Assumptions!C$5*V$6</f>
        <v>47475000</v>
      </c>
      <c r="W8" s="190" t="n">
        <f aca="false">Assumptions!C$5*W$6</f>
        <v>52750000</v>
      </c>
      <c r="X8" s="190" t="n">
        <f aca="false">Assumptions!C$5*X$6</f>
        <v>52750000</v>
      </c>
      <c r="Y8" s="190" t="n">
        <f aca="false">Assumptions!C$5*Y$6</f>
        <v>52750000</v>
      </c>
      <c r="Z8" s="190" t="n">
        <f aca="false">Assumptions!D$5*Z$6</f>
        <v>46666666.6666667</v>
      </c>
      <c r="AA8" s="190" t="n">
        <f aca="false">Assumptions!D$5*AA$6</f>
        <v>46666666.6666667</v>
      </c>
      <c r="AB8" s="190" t="n">
        <f aca="false">Assumptions!D$5*AB$6</f>
        <v>46666666.6666667</v>
      </c>
      <c r="AC8" s="190" t="n">
        <f aca="false">Assumptions!D$5*AC$6</f>
        <v>53666666.6666667</v>
      </c>
      <c r="AD8" s="190" t="n">
        <f aca="false">Assumptions!D$5*AD$6</f>
        <v>53666666.6666667</v>
      </c>
      <c r="AE8" s="190" t="n">
        <f aca="false">Assumptions!D$5*AE$6</f>
        <v>53666666.6666667</v>
      </c>
      <c r="AF8" s="190" t="n">
        <f aca="false">Assumptions!D$5*AF$6</f>
        <v>63000000</v>
      </c>
      <c r="AG8" s="190" t="n">
        <f aca="false">Assumptions!D$5*AG$6</f>
        <v>63000000</v>
      </c>
      <c r="AH8" s="190" t="n">
        <f aca="false">Assumptions!D$5*AH$6</f>
        <v>63000000</v>
      </c>
      <c r="AI8" s="190" t="n">
        <f aca="false">Assumptions!D$5*AI$6</f>
        <v>70000000</v>
      </c>
      <c r="AJ8" s="190" t="n">
        <f aca="false">Assumptions!D$5*AJ$6</f>
        <v>70000000</v>
      </c>
      <c r="AK8" s="190" t="n">
        <f aca="false">Assumptions!D$5*AK$6</f>
        <v>70000000</v>
      </c>
      <c r="AL8" s="190" t="n">
        <f aca="false">Assumptions!E$5*AL$6</f>
        <v>90000000</v>
      </c>
      <c r="AM8" s="190" t="n">
        <f aca="false">Assumptions!E$5*AM$6</f>
        <v>90000000</v>
      </c>
      <c r="AN8" s="190" t="n">
        <f aca="false">Assumptions!E$5*AN$6</f>
        <v>90000000</v>
      </c>
      <c r="AO8" s="190" t="n">
        <f aca="false">Assumptions!E$5*AO$6</f>
        <v>103500000</v>
      </c>
      <c r="AP8" s="190" t="n">
        <f aca="false">Assumptions!E$5*AP$6</f>
        <v>103500000</v>
      </c>
      <c r="AQ8" s="190" t="n">
        <f aca="false">Assumptions!E$5*AQ$6</f>
        <v>103500000</v>
      </c>
      <c r="AR8" s="190" t="n">
        <f aca="false">Assumptions!E$5*AR$6</f>
        <v>121500000</v>
      </c>
      <c r="AS8" s="190" t="n">
        <f aca="false">Assumptions!E$5*AS$6</f>
        <v>121500000</v>
      </c>
      <c r="AT8" s="190" t="n">
        <f aca="false">Assumptions!E$5*AT$6</f>
        <v>121500000</v>
      </c>
      <c r="AU8" s="190" t="n">
        <f aca="false">Assumptions!E$5*AU$6</f>
        <v>135000000</v>
      </c>
      <c r="AV8" s="190" t="n">
        <f aca="false">Assumptions!E$5*AV$6</f>
        <v>135000000</v>
      </c>
      <c r="AW8" s="190" t="n">
        <f aca="false">Assumptions!E$5*AW$6</f>
        <v>135000000</v>
      </c>
      <c r="AX8" s="190" t="n">
        <f aca="false">Assumptions!F$5*AX$6</f>
        <v>166666666.666667</v>
      </c>
      <c r="AY8" s="190" t="n">
        <f aca="false">Assumptions!F$5*AY$6</f>
        <v>166666666.666667</v>
      </c>
      <c r="AZ8" s="190" t="n">
        <f aca="false">Assumptions!F$5*AZ$6</f>
        <v>166666666.666667</v>
      </c>
      <c r="BA8" s="190" t="n">
        <f aca="false">Assumptions!F$5*BA$6</f>
        <v>191666666.666667</v>
      </c>
      <c r="BB8" s="190" t="n">
        <f aca="false">Assumptions!F$5*BB$6</f>
        <v>191666666.666667</v>
      </c>
      <c r="BC8" s="190" t="n">
        <f aca="false">Assumptions!F$5*BC$6</f>
        <v>191666666.666667</v>
      </c>
      <c r="BD8" s="190" t="n">
        <f aca="false">Assumptions!F$5*BD$6</f>
        <v>225000000</v>
      </c>
      <c r="BE8" s="190" t="n">
        <f aca="false">Assumptions!F$5*BE$6</f>
        <v>225000000</v>
      </c>
      <c r="BF8" s="190" t="n">
        <f aca="false">Assumptions!F$5*BF$6</f>
        <v>225000000</v>
      </c>
      <c r="BG8" s="190" t="n">
        <f aca="false">Assumptions!F$5*BG$6</f>
        <v>250000000</v>
      </c>
      <c r="BH8" s="190" t="n">
        <f aca="false">Assumptions!F$5*BH$6</f>
        <v>250000000</v>
      </c>
      <c r="BI8" s="190" t="n">
        <f aca="false">Assumptions!F$5*BI$6</f>
        <v>250000000</v>
      </c>
    </row>
    <row r="9" customFormat="false" ht="27.75" hidden="false" customHeight="true" outlineLevel="0" collapsed="false">
      <c r="A9" s="74" t="s">
        <v>413</v>
      </c>
      <c r="B9" s="190" t="n">
        <f aca="false">Assumptions!B$4*B$6</f>
        <v>0</v>
      </c>
      <c r="C9" s="190" t="n">
        <f aca="false">Assumptions!B$4*C$6</f>
        <v>1982142.85714286</v>
      </c>
      <c r="D9" s="190" t="n">
        <f aca="false">Assumptions!B$4*D$6</f>
        <v>1982142.85714286</v>
      </c>
      <c r="E9" s="190" t="n">
        <f aca="false">Assumptions!B$4*E$6</f>
        <v>2279464.28571429</v>
      </c>
      <c r="F9" s="190" t="n">
        <f aca="false">Assumptions!B$4*F$6</f>
        <v>2279464.28571429</v>
      </c>
      <c r="G9" s="190" t="n">
        <f aca="false">Assumptions!B$4*G$6</f>
        <v>2279464.28571429</v>
      </c>
      <c r="H9" s="190" t="n">
        <f aca="false">Assumptions!B$4*H$6</f>
        <v>2675892.85714286</v>
      </c>
      <c r="I9" s="190" t="n">
        <f aca="false">Assumptions!B$4*I$6</f>
        <v>2675892.85714286</v>
      </c>
      <c r="J9" s="190" t="n">
        <f aca="false">Assumptions!B$4*J$6</f>
        <v>2675892.85714286</v>
      </c>
      <c r="K9" s="190" t="n">
        <f aca="false">Assumptions!B$4*K$6</f>
        <v>2973214.28571428</v>
      </c>
      <c r="L9" s="190" t="n">
        <f aca="false">Assumptions!B$4*L$6</f>
        <v>2973214.28571428</v>
      </c>
      <c r="M9" s="190" t="n">
        <f aca="false">Assumptions!B$4*M$6</f>
        <v>2973214.28571428</v>
      </c>
      <c r="N9" s="190" t="n">
        <f aca="false">Assumptions!C$4*N$6</f>
        <v>35166666.6666667</v>
      </c>
      <c r="O9" s="190" t="n">
        <f aca="false">Assumptions!C$4*O$6</f>
        <v>35166666.6666667</v>
      </c>
      <c r="P9" s="190" t="n">
        <f aca="false">Assumptions!C$4*P$6</f>
        <v>35166666.6666667</v>
      </c>
      <c r="Q9" s="190" t="n">
        <f aca="false">Assumptions!C$4*Q$6</f>
        <v>40441666.6666667</v>
      </c>
      <c r="R9" s="190" t="n">
        <f aca="false">Assumptions!C$4*R$6</f>
        <v>40441666.6666667</v>
      </c>
      <c r="S9" s="190" t="n">
        <f aca="false">Assumptions!C$4*S$6</f>
        <v>40441666.6666667</v>
      </c>
      <c r="T9" s="190" t="n">
        <f aca="false">Assumptions!C$4*T$6</f>
        <v>47475000</v>
      </c>
      <c r="U9" s="190" t="n">
        <f aca="false">Assumptions!C$4*U$6</f>
        <v>47475000</v>
      </c>
      <c r="V9" s="190" t="n">
        <f aca="false">Assumptions!C$4*V$6</f>
        <v>47475000</v>
      </c>
      <c r="W9" s="190" t="n">
        <f aca="false">Assumptions!C$4*W$6</f>
        <v>52750000</v>
      </c>
      <c r="X9" s="190" t="n">
        <f aca="false">Assumptions!C$4*X$6</f>
        <v>52750000</v>
      </c>
      <c r="Y9" s="190" t="n">
        <f aca="false">Assumptions!C$4*Y$6</f>
        <v>52750000</v>
      </c>
      <c r="Z9" s="190" t="n">
        <f aca="false">Assumptions!D$4*Z$6</f>
        <v>46666666.6666667</v>
      </c>
      <c r="AA9" s="190" t="n">
        <f aca="false">Assumptions!D$4*AA$6</f>
        <v>46666666.6666667</v>
      </c>
      <c r="AB9" s="190" t="n">
        <f aca="false">Assumptions!D$4*AB$6</f>
        <v>46666666.6666667</v>
      </c>
      <c r="AC9" s="190" t="n">
        <f aca="false">Assumptions!D$4*AC$6</f>
        <v>53666666.6666667</v>
      </c>
      <c r="AD9" s="190" t="n">
        <f aca="false">Assumptions!D$4*AD$6</f>
        <v>53666666.6666667</v>
      </c>
      <c r="AE9" s="190" t="n">
        <f aca="false">Assumptions!D$4*AE$6</f>
        <v>53666666.6666667</v>
      </c>
      <c r="AF9" s="190" t="n">
        <f aca="false">Assumptions!D$4*AF$6</f>
        <v>63000000</v>
      </c>
      <c r="AG9" s="190" t="n">
        <f aca="false">Assumptions!D$4*AG$6</f>
        <v>63000000</v>
      </c>
      <c r="AH9" s="190" t="n">
        <f aca="false">Assumptions!D$4*AH$6</f>
        <v>63000000</v>
      </c>
      <c r="AI9" s="190" t="n">
        <f aca="false">Assumptions!D$4*AI$6</f>
        <v>70000000</v>
      </c>
      <c r="AJ9" s="190" t="n">
        <f aca="false">Assumptions!D$4*AJ$6</f>
        <v>70000000</v>
      </c>
      <c r="AK9" s="190" t="n">
        <f aca="false">Assumptions!D$4*AK$6</f>
        <v>70000000</v>
      </c>
      <c r="AL9" s="190" t="n">
        <f aca="false">Assumptions!E$4*AL$6</f>
        <v>90000000</v>
      </c>
      <c r="AM9" s="190" t="n">
        <f aca="false">Assumptions!E$4*AM$6</f>
        <v>90000000</v>
      </c>
      <c r="AN9" s="190" t="n">
        <f aca="false">Assumptions!E$4*AN$6</f>
        <v>90000000</v>
      </c>
      <c r="AO9" s="190" t="n">
        <f aca="false">Assumptions!E$4*AO$6</f>
        <v>103500000</v>
      </c>
      <c r="AP9" s="190" t="n">
        <f aca="false">Assumptions!E$4*AP$6</f>
        <v>103500000</v>
      </c>
      <c r="AQ9" s="190" t="n">
        <f aca="false">Assumptions!E$4*AQ$6</f>
        <v>103500000</v>
      </c>
      <c r="AR9" s="190" t="n">
        <f aca="false">Assumptions!E$4*AR$6</f>
        <v>121500000</v>
      </c>
      <c r="AS9" s="190" t="n">
        <f aca="false">Assumptions!E$4*AS$6</f>
        <v>121500000</v>
      </c>
      <c r="AT9" s="190" t="n">
        <f aca="false">Assumptions!E$4*AT$6</f>
        <v>121500000</v>
      </c>
      <c r="AU9" s="190" t="n">
        <f aca="false">Assumptions!E$4*AU$6</f>
        <v>135000000</v>
      </c>
      <c r="AV9" s="190" t="n">
        <f aca="false">Assumptions!E$4*AV$6</f>
        <v>135000000</v>
      </c>
      <c r="AW9" s="190" t="n">
        <f aca="false">Assumptions!E$4*AW$6</f>
        <v>135000000</v>
      </c>
      <c r="AX9" s="190" t="n">
        <f aca="false">Assumptions!F$4*AX$6</f>
        <v>166666666.666667</v>
      </c>
      <c r="AY9" s="190" t="n">
        <f aca="false">Assumptions!F$4*AY$6</f>
        <v>166666666.666667</v>
      </c>
      <c r="AZ9" s="190" t="n">
        <f aca="false">Assumptions!F$4*AZ$6</f>
        <v>166666666.666667</v>
      </c>
      <c r="BA9" s="190" t="n">
        <f aca="false">Assumptions!F$4*BA$6</f>
        <v>191666666.666667</v>
      </c>
      <c r="BB9" s="190" t="n">
        <f aca="false">Assumptions!F$4*BB$6</f>
        <v>191666666.666667</v>
      </c>
      <c r="BC9" s="190" t="n">
        <f aca="false">Assumptions!F$4*BC$6</f>
        <v>191666666.666667</v>
      </c>
      <c r="BD9" s="190" t="n">
        <f aca="false">Assumptions!F$4*BD$6</f>
        <v>225000000</v>
      </c>
      <c r="BE9" s="190" t="n">
        <f aca="false">Assumptions!F$4*BE$6</f>
        <v>225000000</v>
      </c>
      <c r="BF9" s="190" t="n">
        <f aca="false">Assumptions!F$4*BF$6</f>
        <v>225000000</v>
      </c>
      <c r="BG9" s="190" t="n">
        <f aca="false">Assumptions!F$4*BG$6</f>
        <v>250000000</v>
      </c>
      <c r="BH9" s="190" t="n">
        <f aca="false">Assumptions!F$4*BH$6</f>
        <v>250000000</v>
      </c>
      <c r="BI9" s="190" t="n">
        <f aca="false">Assumptions!F$4*BI$6</f>
        <v>250000000</v>
      </c>
    </row>
    <row r="10" customFormat="false" ht="27.75" hidden="false" customHeight="true" outlineLevel="0" collapsed="false">
      <c r="A10" s="74" t="s">
        <v>414</v>
      </c>
      <c r="B10" s="190" t="n">
        <f aca="false">0</f>
        <v>0</v>
      </c>
      <c r="C10" s="190" t="n">
        <f aca="false">0</f>
        <v>0</v>
      </c>
      <c r="D10" s="190" t="n">
        <f aca="false">0</f>
        <v>0</v>
      </c>
      <c r="E10" s="190" t="n">
        <f aca="false">0</f>
        <v>0</v>
      </c>
      <c r="F10" s="190" t="n">
        <f aca="false">0</f>
        <v>0</v>
      </c>
      <c r="G10" s="190" t="n">
        <f aca="false">0</f>
        <v>0</v>
      </c>
      <c r="H10" s="190" t="n">
        <f aca="false">0</f>
        <v>0</v>
      </c>
      <c r="I10" s="190" t="n">
        <f aca="false">0</f>
        <v>0</v>
      </c>
      <c r="J10" s="190" t="n">
        <f aca="false">0</f>
        <v>0</v>
      </c>
      <c r="K10" s="190" t="n">
        <f aca="false">0</f>
        <v>0</v>
      </c>
      <c r="L10" s="190" t="n">
        <f aca="false">0</f>
        <v>0</v>
      </c>
      <c r="M10" s="190" t="n">
        <f aca="false">0</f>
        <v>0</v>
      </c>
      <c r="N10" s="190" t="n">
        <f aca="false">0</f>
        <v>0</v>
      </c>
      <c r="O10" s="190" t="n">
        <f aca="false">0</f>
        <v>0</v>
      </c>
      <c r="P10" s="190" t="n">
        <f aca="false">0</f>
        <v>0</v>
      </c>
      <c r="Q10" s="190" t="n">
        <f aca="false">0</f>
        <v>0</v>
      </c>
      <c r="R10" s="190" t="n">
        <f aca="false">0</f>
        <v>0</v>
      </c>
      <c r="S10" s="190" t="n">
        <f aca="false">0</f>
        <v>0</v>
      </c>
      <c r="T10" s="190" t="n">
        <f aca="false">0</f>
        <v>0</v>
      </c>
      <c r="U10" s="190" t="n">
        <f aca="false">0</f>
        <v>0</v>
      </c>
      <c r="V10" s="190" t="n">
        <f aca="false">0</f>
        <v>0</v>
      </c>
      <c r="W10" s="190" t="n">
        <f aca="false">0</f>
        <v>0</v>
      </c>
      <c r="X10" s="190" t="n">
        <f aca="false">0</f>
        <v>0</v>
      </c>
      <c r="Y10" s="190" t="n">
        <f aca="false">0</f>
        <v>0</v>
      </c>
      <c r="Z10" s="190" t="n">
        <f aca="false">0</f>
        <v>0</v>
      </c>
      <c r="AA10" s="190" t="n">
        <f aca="false">0</f>
        <v>0</v>
      </c>
      <c r="AB10" s="190" t="n">
        <f aca="false">0</f>
        <v>0</v>
      </c>
      <c r="AC10" s="190" t="n">
        <f aca="false">0</f>
        <v>0</v>
      </c>
      <c r="AD10" s="190" t="n">
        <f aca="false">0</f>
        <v>0</v>
      </c>
      <c r="AE10" s="190" t="n">
        <f aca="false">0</f>
        <v>0</v>
      </c>
      <c r="AF10" s="190" t="n">
        <f aca="false">0</f>
        <v>0</v>
      </c>
      <c r="AG10" s="190" t="n">
        <f aca="false">0</f>
        <v>0</v>
      </c>
      <c r="AH10" s="190" t="n">
        <f aca="false">0</f>
        <v>0</v>
      </c>
      <c r="AI10" s="190" t="n">
        <f aca="false">0</f>
        <v>0</v>
      </c>
      <c r="AJ10" s="190" t="n">
        <f aca="false">0</f>
        <v>0</v>
      </c>
      <c r="AK10" s="190" t="n">
        <f aca="false">0</f>
        <v>0</v>
      </c>
      <c r="AL10" s="190" t="n">
        <f aca="false">0</f>
        <v>0</v>
      </c>
      <c r="AM10" s="190" t="n">
        <f aca="false">0</f>
        <v>0</v>
      </c>
      <c r="AN10" s="190" t="n">
        <f aca="false">0</f>
        <v>0</v>
      </c>
      <c r="AO10" s="190" t="n">
        <f aca="false">0</f>
        <v>0</v>
      </c>
      <c r="AP10" s="190" t="n">
        <f aca="false">0</f>
        <v>0</v>
      </c>
      <c r="AQ10" s="190" t="n">
        <f aca="false">0</f>
        <v>0</v>
      </c>
      <c r="AR10" s="190" t="n">
        <f aca="false">0</f>
        <v>0</v>
      </c>
      <c r="AS10" s="190" t="n">
        <f aca="false">0</f>
        <v>0</v>
      </c>
      <c r="AT10" s="190" t="n">
        <f aca="false">0</f>
        <v>0</v>
      </c>
      <c r="AU10" s="190" t="n">
        <f aca="false">0</f>
        <v>0</v>
      </c>
      <c r="AV10" s="190" t="n">
        <f aca="false">0</f>
        <v>0</v>
      </c>
      <c r="AW10" s="190" t="n">
        <f aca="false">0</f>
        <v>0</v>
      </c>
      <c r="AX10" s="190" t="n">
        <f aca="false">0</f>
        <v>0</v>
      </c>
      <c r="AY10" s="190" t="n">
        <f aca="false">0</f>
        <v>0</v>
      </c>
      <c r="AZ10" s="190" t="n">
        <f aca="false">0</f>
        <v>0</v>
      </c>
      <c r="BA10" s="190" t="n">
        <f aca="false">0</f>
        <v>0</v>
      </c>
      <c r="BB10" s="190" t="n">
        <f aca="false">0</f>
        <v>0</v>
      </c>
      <c r="BC10" s="190" t="n">
        <f aca="false">0</f>
        <v>0</v>
      </c>
      <c r="BD10" s="190" t="n">
        <f aca="false">0</f>
        <v>0</v>
      </c>
      <c r="BE10" s="190" t="n">
        <f aca="false">0</f>
        <v>0</v>
      </c>
      <c r="BF10" s="190" t="n">
        <f aca="false">0</f>
        <v>0</v>
      </c>
      <c r="BG10" s="190" t="n">
        <f aca="false">0</f>
        <v>0</v>
      </c>
      <c r="BH10" s="190" t="n">
        <f aca="false">0</f>
        <v>0</v>
      </c>
      <c r="BI10" s="190" t="n">
        <f aca="false">0</f>
        <v>0</v>
      </c>
    </row>
    <row r="11" customFormat="false" ht="15" hidden="false" customHeight="true" outlineLevel="0" collapsed="false">
      <c r="A11" s="102" t="s">
        <v>205</v>
      </c>
      <c r="B11" s="189" t="n">
        <f aca="false">ROUND(Assumptions!B77*B$6,0)</f>
        <v>0</v>
      </c>
      <c r="C11" s="189" t="n">
        <f aca="false">ROUND(Assumptions!B77*C$6,0)</f>
        <v>13</v>
      </c>
      <c r="D11" s="189" t="n">
        <f aca="false">ROUND(Assumptions!B77*D$6,0)</f>
        <v>13</v>
      </c>
      <c r="E11" s="189" t="n">
        <f aca="false">ROUND(Assumptions!B77*E$6,0)</f>
        <v>15</v>
      </c>
      <c r="F11" s="189" t="n">
        <f aca="false">ROUND(Assumptions!B77*F$6,0)</f>
        <v>15</v>
      </c>
      <c r="G11" s="189" t="n">
        <f aca="false">ROUND(Assumptions!B77*G$6,0)</f>
        <v>15</v>
      </c>
      <c r="H11" s="189" t="n">
        <f aca="false">ROUND(Assumptions!B77*H$6,0)</f>
        <v>18</v>
      </c>
      <c r="I11" s="189" t="n">
        <f aca="false">ROUND(Assumptions!B77*I$6,0)</f>
        <v>18</v>
      </c>
      <c r="J11" s="189" t="n">
        <f aca="false">ROUND(Assumptions!B77*J$6,0)</f>
        <v>18</v>
      </c>
      <c r="K11" s="189" t="n">
        <f aca="false">ROUND(Assumptions!B77*K$6,0)</f>
        <v>20</v>
      </c>
      <c r="L11" s="189" t="n">
        <f aca="false">ROUND(Assumptions!B77*L$6,0)</f>
        <v>20</v>
      </c>
      <c r="M11" s="189" t="n">
        <f aca="false">Assumptions!B77-SUM(B11:L11)</f>
        <v>20</v>
      </c>
      <c r="N11" s="189" t="n">
        <f aca="false">ROUND(Assumptions!C77*N$6,0)</f>
        <v>111</v>
      </c>
      <c r="O11" s="189" t="n">
        <f aca="false">ROUND(Assumptions!C77*O$6,0)</f>
        <v>111</v>
      </c>
      <c r="P11" s="189" t="n">
        <f aca="false">ROUND(Assumptions!C77*P$6,0)</f>
        <v>111</v>
      </c>
      <c r="Q11" s="189" t="n">
        <f aca="false">ROUND(Assumptions!C77*Q$6,0)</f>
        <v>128</v>
      </c>
      <c r="R11" s="189" t="n">
        <f aca="false">ROUND(Assumptions!C77*R$6,0)</f>
        <v>128</v>
      </c>
      <c r="S11" s="189" t="n">
        <f aca="false">ROUND(Assumptions!C77*S$6,0)</f>
        <v>128</v>
      </c>
      <c r="T11" s="189" t="n">
        <f aca="false">ROUND(Assumptions!C77*T$6,0)</f>
        <v>150</v>
      </c>
      <c r="U11" s="189" t="n">
        <f aca="false">ROUND(Assumptions!C77*U$6,0)</f>
        <v>150</v>
      </c>
      <c r="V11" s="189" t="n">
        <f aca="false">ROUND(Assumptions!C77*V$6,0)</f>
        <v>150</v>
      </c>
      <c r="W11" s="189" t="n">
        <f aca="false">ROUND(Assumptions!C77*W$6,0)</f>
        <v>167</v>
      </c>
      <c r="X11" s="189" t="n">
        <f aca="false">ROUND(Assumptions!C77*X$6,0)</f>
        <v>167</v>
      </c>
      <c r="Y11" s="189" t="n">
        <f aca="false">Assumptions!C77-SUM(N11:X11)</f>
        <v>169</v>
      </c>
      <c r="Z11" s="189" t="n">
        <f aca="false">ROUND(Assumptions!D77*Z$6,0)</f>
        <v>53</v>
      </c>
      <c r="AA11" s="189" t="n">
        <f aca="false">ROUND(Assumptions!D77*AA$6,0)</f>
        <v>53</v>
      </c>
      <c r="AB11" s="189" t="n">
        <f aca="false">ROUND(Assumptions!D77*AB$6,0)</f>
        <v>53</v>
      </c>
      <c r="AC11" s="189" t="n">
        <f aca="false">ROUND(Assumptions!D77*AC$6,0)</f>
        <v>60</v>
      </c>
      <c r="AD11" s="189" t="n">
        <f aca="false">ROUND(Assumptions!D77*AD$6,0)</f>
        <v>60</v>
      </c>
      <c r="AE11" s="189" t="n">
        <f aca="false">ROUND(Assumptions!D77*AE$6,0)</f>
        <v>60</v>
      </c>
      <c r="AF11" s="189" t="n">
        <f aca="false">ROUND(Assumptions!D77*AF$6,0)</f>
        <v>71</v>
      </c>
      <c r="AG11" s="189" t="n">
        <f aca="false">ROUND(Assumptions!D77*AG$6,0)</f>
        <v>71</v>
      </c>
      <c r="AH11" s="189" t="n">
        <f aca="false">ROUND(Assumptions!D77*AH$6,0)</f>
        <v>71</v>
      </c>
      <c r="AI11" s="189" t="n">
        <f aca="false">ROUND(Assumptions!D77*AI$6,0)</f>
        <v>79</v>
      </c>
      <c r="AJ11" s="189" t="n">
        <f aca="false">ROUND(Assumptions!D77*AJ$6,0)</f>
        <v>79</v>
      </c>
      <c r="AK11" s="189" t="n">
        <f aca="false">Assumptions!D77-SUM(Z11:AJ11)</f>
        <v>78</v>
      </c>
      <c r="AL11" s="189" t="n">
        <f aca="false">ROUND(Assumptions!E77*AL$6,0)</f>
        <v>82</v>
      </c>
      <c r="AM11" s="189" t="n">
        <f aca="false">ROUND(Assumptions!E77*AM$6,0)</f>
        <v>82</v>
      </c>
      <c r="AN11" s="189" t="n">
        <f aca="false">ROUND(Assumptions!E77*AN$6,0)</f>
        <v>82</v>
      </c>
      <c r="AO11" s="189" t="n">
        <f aca="false">ROUND(Assumptions!E77*AO$6,0)</f>
        <v>94</v>
      </c>
      <c r="AP11" s="189" t="n">
        <f aca="false">ROUND(Assumptions!E77*AP$6,0)</f>
        <v>94</v>
      </c>
      <c r="AQ11" s="189" t="n">
        <f aca="false">ROUND(Assumptions!E77*AQ$6,0)</f>
        <v>94</v>
      </c>
      <c r="AR11" s="189" t="n">
        <f aca="false">ROUND(Assumptions!E77*AR$6,0)</f>
        <v>110</v>
      </c>
      <c r="AS11" s="189" t="n">
        <f aca="false">ROUND(Assumptions!E77*AS$6,0)</f>
        <v>110</v>
      </c>
      <c r="AT11" s="189" t="n">
        <f aca="false">ROUND(Assumptions!E77*AT$6,0)</f>
        <v>110</v>
      </c>
      <c r="AU11" s="189" t="n">
        <f aca="false">ROUND(Assumptions!E77*AU$6,0)</f>
        <v>123</v>
      </c>
      <c r="AV11" s="189" t="n">
        <f aca="false">ROUND(Assumptions!E77*AV$6,0)</f>
        <v>123</v>
      </c>
      <c r="AW11" s="189" t="n">
        <f aca="false">Assumptions!E77-SUM(AL11:AV11)</f>
        <v>123</v>
      </c>
      <c r="AX11" s="189" t="n">
        <f aca="false">ROUND(Assumptions!F77*AX$6,0)</f>
        <v>123</v>
      </c>
      <c r="AY11" s="189" t="n">
        <f aca="false">ROUND(Assumptions!F77*AY$6,0)</f>
        <v>123</v>
      </c>
      <c r="AZ11" s="189" t="n">
        <f aca="false">ROUND(Assumptions!F77*AZ$6,0)</f>
        <v>123</v>
      </c>
      <c r="BA11" s="189" t="n">
        <f aca="false">ROUND(Assumptions!F77*BA$6,0)</f>
        <v>142</v>
      </c>
      <c r="BB11" s="189" t="n">
        <f aca="false">ROUND(Assumptions!F77*BB$6,0)</f>
        <v>142</v>
      </c>
      <c r="BC11" s="189" t="n">
        <f aca="false">ROUND(Assumptions!F77*BC$6,0)</f>
        <v>142</v>
      </c>
      <c r="BD11" s="189" t="n">
        <f aca="false">ROUND(Assumptions!F77*BD$6,0)</f>
        <v>167</v>
      </c>
      <c r="BE11" s="189" t="n">
        <f aca="false">ROUND(Assumptions!F77*BE$6,0)</f>
        <v>167</v>
      </c>
      <c r="BF11" s="189" t="n">
        <f aca="false">ROUND(Assumptions!F77*BF$6,0)</f>
        <v>167</v>
      </c>
      <c r="BG11" s="189" t="n">
        <f aca="false">ROUND(Assumptions!F77*BG$6,0)</f>
        <v>185</v>
      </c>
      <c r="BH11" s="189" t="n">
        <f aca="false">ROUND(Assumptions!F77*BH$6,0)</f>
        <v>185</v>
      </c>
      <c r="BI11" s="189" t="n">
        <f aca="false">Assumptions!F77-SUM(AX11:BH11)</f>
        <v>186</v>
      </c>
    </row>
    <row r="12" customFormat="false" ht="15" hidden="false" customHeight="true" outlineLevel="0" collapsed="false">
      <c r="A12" s="191" t="s">
        <v>415</v>
      </c>
      <c r="B12" s="191"/>
      <c r="C12" s="191"/>
      <c r="D12" s="191"/>
      <c r="E12" s="191"/>
      <c r="F12" s="191"/>
    </row>
    <row r="13" customFormat="false" ht="15" hidden="false" customHeight="true" outlineLevel="0" collapsed="false">
      <c r="A13" s="192" t="s">
        <v>416</v>
      </c>
      <c r="B13" s="193" t="s">
        <v>84</v>
      </c>
      <c r="C13" s="193" t="s">
        <v>85</v>
      </c>
      <c r="D13" s="193" t="s">
        <v>86</v>
      </c>
      <c r="E13" s="193" t="s">
        <v>87</v>
      </c>
      <c r="F13" s="193" t="s">
        <v>88</v>
      </c>
    </row>
    <row r="14" customFormat="false" ht="21.75" hidden="false" customHeight="true" outlineLevel="0" collapsed="false">
      <c r="A14" s="81" t="s">
        <v>417</v>
      </c>
      <c r="B14" s="82" t="n">
        <f aca="false">SUM(B7:D7)</f>
        <v>3964285.71428571</v>
      </c>
      <c r="C14" s="82" t="n">
        <f aca="false">SUM(N7:P7)</f>
        <v>105500000</v>
      </c>
      <c r="D14" s="82" t="n">
        <f aca="false">SUM(Z7:AB7)</f>
        <v>140000000</v>
      </c>
      <c r="E14" s="82" t="n">
        <f aca="false">SUM(AL7:AN7)</f>
        <v>270000000</v>
      </c>
      <c r="F14" s="82" t="n">
        <f aca="false">SUM(AX7:AZ7)</f>
        <v>500000000</v>
      </c>
    </row>
    <row r="15" customFormat="false" ht="15" hidden="false" customHeight="true" outlineLevel="0" collapsed="false">
      <c r="A15" s="81" t="s">
        <v>418</v>
      </c>
      <c r="B15" s="82" t="n">
        <f aca="false">SUM(E7:G7)</f>
        <v>6838392.85714286</v>
      </c>
      <c r="C15" s="82" t="n">
        <f aca="false">SUM(Q7:S7)</f>
        <v>121325000</v>
      </c>
      <c r="D15" s="82" t="n">
        <f aca="false">SUM(AC7:AE7)</f>
        <v>161000000</v>
      </c>
      <c r="E15" s="82" t="n">
        <f aca="false">SUM(AO7:AQ7)</f>
        <v>310500000</v>
      </c>
      <c r="F15" s="82" t="n">
        <f aca="false">SUM(BA7:BC7)</f>
        <v>575000000</v>
      </c>
    </row>
    <row r="16" customFormat="false" ht="15" hidden="false" customHeight="true" outlineLevel="0" collapsed="false">
      <c r="A16" s="81" t="s">
        <v>419</v>
      </c>
      <c r="B16" s="82" t="n">
        <f aca="false">SUM(H7:J7)</f>
        <v>8027678.57142858</v>
      </c>
      <c r="C16" s="82" t="n">
        <f aca="false">SUM(T7:V7)</f>
        <v>142425000</v>
      </c>
      <c r="D16" s="82" t="n">
        <f aca="false">SUM(AF7:AH7)</f>
        <v>189000000</v>
      </c>
      <c r="E16" s="82" t="n">
        <f aca="false">SUM(AR7:AT7)</f>
        <v>364500000</v>
      </c>
      <c r="F16" s="82" t="n">
        <f aca="false">SUM(BD7:BF7)</f>
        <v>675000000</v>
      </c>
    </row>
    <row r="17" customFormat="false" ht="15" hidden="false" customHeight="true" outlineLevel="0" collapsed="false">
      <c r="A17" s="81" t="s">
        <v>420</v>
      </c>
      <c r="B17" s="82" t="n">
        <f aca="false">SUM(K7:M7)</f>
        <v>8919642.85714285</v>
      </c>
      <c r="C17" s="82" t="n">
        <f aca="false">SUM(W7:Y7)</f>
        <v>158250000</v>
      </c>
      <c r="D17" s="82" t="n">
        <f aca="false">SUM(AI7:AK7)</f>
        <v>210000000</v>
      </c>
      <c r="E17" s="82" t="n">
        <f aca="false">SUM(AU7:AW7)</f>
        <v>405000000</v>
      </c>
      <c r="F17" s="82" t="n">
        <f aca="false">SUM(BG7:BI7)</f>
        <v>750000000</v>
      </c>
    </row>
    <row r="18" customFormat="false" ht="15" hidden="false" customHeight="true" outlineLevel="0" collapsed="false">
      <c r="A18" s="81" t="s">
        <v>365</v>
      </c>
      <c r="B18" s="82" t="n">
        <f aca="false">SUM(B14:B17)</f>
        <v>27750000</v>
      </c>
      <c r="C18" s="82" t="n">
        <f aca="false">SUM(C14:C17)</f>
        <v>527500000</v>
      </c>
      <c r="D18" s="82" t="n">
        <f aca="false">SUM(D14:D17)</f>
        <v>700000000</v>
      </c>
      <c r="E18" s="82" t="n">
        <f aca="false">SUM(E14:E17)</f>
        <v>1350000000</v>
      </c>
      <c r="F18" s="82" t="n">
        <f aca="false">SUM(F14:F17)</f>
        <v>2500000000</v>
      </c>
    </row>
    <row r="19" customFormat="false" ht="15" hidden="false" customHeight="true" outlineLevel="0" collapsed="false">
      <c r="A19" s="1" t="s">
        <v>87</v>
      </c>
      <c r="B19" s="194" t="n">
        <f aca="false">SUM(AL9:AN9)/1000000</f>
        <v>270</v>
      </c>
      <c r="C19" s="194" t="n">
        <f aca="false">SUM(AO9:AQ9)/1000000</f>
        <v>310.5</v>
      </c>
      <c r="D19" s="194" t="n">
        <f aca="false">SUM(AR9:AT9)/1000000</f>
        <v>364.5</v>
      </c>
      <c r="E19" s="194" t="n">
        <f aca="false">SUM(AU9:AW9)/1000000</f>
        <v>405</v>
      </c>
      <c r="F19" s="194" t="n">
        <f aca="false">SUM(B19:E19)</f>
        <v>1350</v>
      </c>
    </row>
    <row r="20" customFormat="false" ht="15" hidden="false" customHeight="true" outlineLevel="0" collapsed="false">
      <c r="A20" s="1" t="s">
        <v>88</v>
      </c>
      <c r="B20" s="194" t="n">
        <f aca="false">SUM(AX9:AZ9)/1000000</f>
        <v>500</v>
      </c>
      <c r="C20" s="194" t="n">
        <f aca="false">SUM(BA9:BC9)/1000000</f>
        <v>575</v>
      </c>
      <c r="D20" s="194" t="n">
        <f aca="false">SUM(BD9:BF9)/1000000</f>
        <v>675</v>
      </c>
      <c r="E20" s="194" t="n">
        <f aca="false">SUM(BG9:BI9)/1000000</f>
        <v>750</v>
      </c>
      <c r="F20" s="194" t="n">
        <f aca="false">SUM(B20:E20)</f>
        <v>2500</v>
      </c>
    </row>
  </sheetData>
  <mergeCells count="2">
    <mergeCell ref="A1:BI1"/>
    <mergeCell ref="A12:F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6.29"/>
    <col collapsed="false" customWidth="true" hidden="false" outlineLevel="0" max="5" min="2" style="1" width="14"/>
    <col collapsed="false" customWidth="true" hidden="false" outlineLevel="0" max="6" min="6" style="1" width="12.42"/>
    <col collapsed="false" customWidth="true" hidden="false" outlineLevel="0" max="65" min="7" style="1" width="10"/>
  </cols>
  <sheetData>
    <row r="1" customFormat="false" ht="30.75" hidden="false" customHeight="true" outlineLevel="0" collapsed="false">
      <c r="A1" s="11" t="s">
        <v>421</v>
      </c>
      <c r="B1" s="11"/>
      <c r="C1" s="11"/>
      <c r="D1" s="11"/>
      <c r="E1" s="11"/>
      <c r="F1" s="11"/>
    </row>
    <row r="3" customFormat="false" ht="15" hidden="false" customHeight="true" outlineLevel="0" collapsed="false">
      <c r="A3" s="195" t="s">
        <v>83</v>
      </c>
      <c r="B3" s="196" t="s">
        <v>84</v>
      </c>
      <c r="C3" s="196" t="s">
        <v>85</v>
      </c>
      <c r="D3" s="196" t="s">
        <v>86</v>
      </c>
      <c r="E3" s="196" t="s">
        <v>87</v>
      </c>
      <c r="F3" s="196" t="s">
        <v>88</v>
      </c>
    </row>
    <row r="4" customFormat="false" ht="15" hidden="false" customHeight="true" outlineLevel="0" collapsed="false">
      <c r="A4" s="197" t="s">
        <v>422</v>
      </c>
      <c r="B4" s="82" t="n">
        <f aca="false">0</f>
        <v>0</v>
      </c>
      <c r="C4" s="82" t="n">
        <f aca="false">B7</f>
        <v>20672304.09</v>
      </c>
      <c r="D4" s="82" t="n">
        <f aca="false">C7</f>
        <v>452602220.2</v>
      </c>
      <c r="E4" s="82" t="n">
        <f aca="false">D7</f>
        <v>866561332.12</v>
      </c>
      <c r="F4" s="82" t="n">
        <f aca="false">E7</f>
        <v>1667436799.272</v>
      </c>
    </row>
    <row r="5" customFormat="false" ht="15" hidden="false" customHeight="true" outlineLevel="0" collapsed="false">
      <c r="A5" s="197" t="s">
        <v>423</v>
      </c>
      <c r="B5" s="82" t="n">
        <f aca="false">Assumptions!B76*(1-Assumptions!$B$25)</f>
        <v>23587500</v>
      </c>
      <c r="C5" s="82" t="n">
        <f aca="false">Assumptions!C76*(1-Assumptions!$B$25)</f>
        <v>448375000</v>
      </c>
      <c r="D5" s="82" t="n">
        <f aca="false">Assumptions!D76*(1-Assumptions!$B$25)</f>
        <v>595000000</v>
      </c>
      <c r="E5" s="82" t="n">
        <f aca="false">Assumptions!E76*(1-Assumptions!$B$25)</f>
        <v>1147500000</v>
      </c>
      <c r="F5" s="82" t="n">
        <f aca="false">Assumptions!F76*(1-Assumptions!$B$25)</f>
        <v>2125000000</v>
      </c>
    </row>
    <row r="6" customFormat="false" ht="15" hidden="false" customHeight="true" outlineLevel="0" collapsed="false">
      <c r="A6" s="197" t="s">
        <v>424</v>
      </c>
      <c r="B6" s="82" t="n">
        <f aca="false">B4+B5-Assumptions!B79</f>
        <v>2915195.91</v>
      </c>
      <c r="C6" s="82" t="n">
        <f aca="false">C4+C5-Assumptions!C79</f>
        <v>16445083.89</v>
      </c>
      <c r="D6" s="82" t="n">
        <f aca="false">D4+D5-Assumptions!D79</f>
        <v>181040888.08</v>
      </c>
      <c r="E6" s="82" t="n">
        <f aca="false">E4+E5-Assumptions!E79</f>
        <v>346624532.848</v>
      </c>
      <c r="F6" s="82" t="n">
        <f aca="false">F4+F5-Assumptions!F79</f>
        <v>666974719.7088</v>
      </c>
    </row>
    <row r="7" customFormat="false" ht="15" hidden="false" customHeight="true" outlineLevel="0" collapsed="false">
      <c r="A7" s="197" t="s">
        <v>425</v>
      </c>
      <c r="B7" s="82" t="n">
        <f aca="false">B4+B5-B6</f>
        <v>20672304.09</v>
      </c>
      <c r="C7" s="82" t="n">
        <f aca="false">C4+C5-C6</f>
        <v>452602220.2</v>
      </c>
      <c r="D7" s="82" t="n">
        <f aca="false">D4+D5-D6</f>
        <v>866561332.12</v>
      </c>
      <c r="E7" s="82" t="n">
        <f aca="false">E4+E5-E6</f>
        <v>1667436799.272</v>
      </c>
      <c r="F7" s="82" t="n">
        <f aca="false">F4+F5-F6</f>
        <v>3125462079.5632</v>
      </c>
    </row>
    <row r="8" customFormat="false" ht="15" hidden="false" customHeight="true" outlineLevel="0" collapsed="false">
      <c r="A8" s="197" t="s">
        <v>426</v>
      </c>
      <c r="B8" s="82" t="n">
        <f aca="false">B7-'Balance Sheet'!B6</f>
        <v>0</v>
      </c>
      <c r="C8" s="82" t="n">
        <f aca="false">C7-'Balance Sheet'!C6</f>
        <v>0</v>
      </c>
      <c r="D8" s="82" t="n">
        <f aca="false">D7-'Balance Sheet'!D6</f>
        <v>0</v>
      </c>
      <c r="E8" s="82" t="n">
        <f aca="false">E7-'Balance Sheet'!E6</f>
        <v>0</v>
      </c>
      <c r="F8" s="82" t="n">
        <f aca="false">F7-'Balance Sheet'!F6</f>
        <v>0</v>
      </c>
    </row>
  </sheetData>
  <mergeCells count="1">
    <mergeCell ref="A1:F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6" min="2" style="198" width="24"/>
    <col collapsed="false" customWidth="true" hidden="false" outlineLevel="0" max="66" min="7" style="1" width="10"/>
  </cols>
  <sheetData>
    <row r="1" customFormat="false" ht="30.75" hidden="false" customHeight="true" outlineLevel="0" collapsed="false">
      <c r="A1" s="11" t="s">
        <v>427</v>
      </c>
      <c r="B1" s="11"/>
      <c r="C1" s="11"/>
      <c r="D1" s="11"/>
      <c r="E1" s="11"/>
      <c r="F1" s="11"/>
    </row>
    <row r="3" customFormat="false" ht="15" hidden="false" customHeight="true" outlineLevel="0" collapsed="false">
      <c r="A3" s="195" t="s">
        <v>83</v>
      </c>
      <c r="B3" s="196" t="s">
        <v>84</v>
      </c>
      <c r="C3" s="196" t="s">
        <v>85</v>
      </c>
      <c r="D3" s="196" t="s">
        <v>86</v>
      </c>
      <c r="E3" s="196" t="s">
        <v>87</v>
      </c>
      <c r="F3" s="196" t="s">
        <v>88</v>
      </c>
    </row>
    <row r="4" customFormat="false" ht="15" hidden="false" customHeight="true" outlineLevel="0" collapsed="false">
      <c r="A4" s="81" t="s">
        <v>422</v>
      </c>
      <c r="B4" s="82" t="n">
        <f aca="false">0</f>
        <v>0</v>
      </c>
      <c r="C4" s="82" t="n">
        <f aca="false">'Balance Sheet'!B6</f>
        <v>20672304.09</v>
      </c>
      <c r="D4" s="82" t="n">
        <f aca="false">'Balance Sheet'!C6</f>
        <v>452602220.2</v>
      </c>
      <c r="E4" s="82" t="n">
        <f aca="false">'Balance Sheet'!D6</f>
        <v>866561332.12</v>
      </c>
      <c r="F4" s="82" t="n">
        <f aca="false">'Balance Sheet'!E6</f>
        <v>1667436799.272</v>
      </c>
    </row>
    <row r="5" customFormat="false" ht="15" hidden="false" customHeight="true" outlineLevel="0" collapsed="false">
      <c r="A5" s="81" t="s">
        <v>425</v>
      </c>
      <c r="B5" s="82" t="n">
        <f aca="false">'Balance Sheet'!B6</f>
        <v>20672304.09</v>
      </c>
      <c r="C5" s="82" t="n">
        <f aca="false">'Balance Sheet'!C6</f>
        <v>452602220.2</v>
      </c>
      <c r="D5" s="82" t="n">
        <f aca="false">'Balance Sheet'!D6</f>
        <v>866561332.12</v>
      </c>
      <c r="E5" s="82" t="n">
        <f aca="false">'Balance Sheet'!E6</f>
        <v>1667436799.272</v>
      </c>
      <c r="F5" s="82" t="n">
        <f aca="false">'Balance Sheet'!F6</f>
        <v>3125462079.5632</v>
      </c>
    </row>
    <row r="6" customFormat="false" ht="15" hidden="false" customHeight="true" outlineLevel="0" collapsed="false">
      <c r="A6" s="81" t="s">
        <v>428</v>
      </c>
      <c r="B6" s="82" t="n">
        <f aca="false">AVERAGE(B4,B5)</f>
        <v>10336152.045</v>
      </c>
      <c r="C6" s="82" t="n">
        <f aca="false">AVERAGE(C4,C5)</f>
        <v>236637262.145</v>
      </c>
      <c r="D6" s="82" t="n">
        <f aca="false">AVERAGE(D4,D5)</f>
        <v>659581776.16</v>
      </c>
      <c r="E6" s="82" t="n">
        <f aca="false">AVERAGE(E4,E5)</f>
        <v>1266999065.696</v>
      </c>
      <c r="F6" s="82" t="n">
        <f aca="false">AVERAGE(F4,F5)</f>
        <v>2396449439.4176</v>
      </c>
    </row>
    <row r="7" customFormat="false" ht="15" hidden="false" customHeight="true" outlineLevel="0" collapsed="false">
      <c r="A7" s="81" t="s">
        <v>429</v>
      </c>
      <c r="B7" s="93" t="n">
        <f aca="false">Assumptions!B6</f>
        <v>0.34</v>
      </c>
      <c r="C7" s="93" t="n">
        <f aca="false">Assumptions!C6</f>
        <v>0.32</v>
      </c>
      <c r="D7" s="93" t="n">
        <f aca="false">Assumptions!D6</f>
        <v>0.3</v>
      </c>
      <c r="E7" s="93" t="n">
        <f aca="false">Assumptions!E6</f>
        <v>0.28</v>
      </c>
      <c r="F7" s="93" t="n">
        <f aca="false">Assumptions!F6</f>
        <v>0.26</v>
      </c>
    </row>
    <row r="8" customFormat="false" ht="15" hidden="false" customHeight="true" outlineLevel="0" collapsed="false">
      <c r="A8" s="81" t="s">
        <v>208</v>
      </c>
      <c r="B8" s="82" t="n">
        <v>3538847.96</v>
      </c>
      <c r="C8" s="82" t="n">
        <v>45873640.26</v>
      </c>
      <c r="D8" s="82" t="n">
        <f aca="false">D6*D7</f>
        <v>197874532.848</v>
      </c>
      <c r="E8" s="82" t="n">
        <f aca="false">E6*E7</f>
        <v>354759738.39488</v>
      </c>
      <c r="F8" s="82" t="n">
        <f aca="false">F6*F7</f>
        <v>623076854.248576</v>
      </c>
    </row>
    <row r="9" customFormat="false" ht="48" hidden="false" customHeight="true" outlineLevel="0" collapsed="false">
      <c r="A9" s="199" t="s">
        <v>430</v>
      </c>
      <c r="B9" s="109" t="s">
        <v>431</v>
      </c>
      <c r="C9" s="109" t="s">
        <v>432</v>
      </c>
      <c r="D9" s="109" t="s">
        <v>433</v>
      </c>
      <c r="E9" s="109" t="s">
        <v>433</v>
      </c>
      <c r="F9" s="109" t="s">
        <v>433</v>
      </c>
    </row>
    <row r="10" customFormat="false" ht="27.75" hidden="false" customHeight="true" outlineLevel="0" collapsed="false">
      <c r="A10" s="199" t="s">
        <v>434</v>
      </c>
      <c r="B10" s="200" t="n">
        <f aca="false">IFERROR(B8/B6,0)</f>
        <v>0.342375764655269</v>
      </c>
      <c r="C10" s="200" t="n">
        <f aca="false">IFERROR(C8/C6,0)</f>
        <v>0.193856368368101</v>
      </c>
      <c r="D10" s="200" t="n">
        <f aca="false">IFERROR(D8/D6,0)</f>
        <v>0.3</v>
      </c>
      <c r="E10" s="200" t="n">
        <f aca="false">IFERROR(E8/E6,0)</f>
        <v>0.28</v>
      </c>
      <c r="F10" s="200" t="n">
        <f aca="false">IFERROR(F8/F6,0)</f>
        <v>0.26</v>
      </c>
    </row>
  </sheetData>
  <mergeCells count="1">
    <mergeCell ref="A1:F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5" min="2" style="1" width="14"/>
    <col collapsed="false" customWidth="true" hidden="false" outlineLevel="0" max="65" min="6" style="1" width="10"/>
  </cols>
  <sheetData>
    <row r="1" customFormat="false" ht="30.75" hidden="false" customHeight="true" outlineLevel="0" collapsed="false">
      <c r="A1" s="11" t="s">
        <v>435</v>
      </c>
      <c r="B1" s="11"/>
      <c r="C1" s="11"/>
      <c r="D1" s="11"/>
      <c r="E1" s="11"/>
      <c r="F1" s="11"/>
    </row>
    <row r="3" customFormat="false" ht="15" hidden="false" customHeight="true" outlineLevel="0" collapsed="false">
      <c r="A3" s="195" t="s">
        <v>83</v>
      </c>
      <c r="B3" s="196" t="s">
        <v>84</v>
      </c>
      <c r="C3" s="196" t="s">
        <v>85</v>
      </c>
      <c r="D3" s="196" t="s">
        <v>86</v>
      </c>
      <c r="E3" s="196" t="s">
        <v>87</v>
      </c>
      <c r="F3" s="196" t="s">
        <v>88</v>
      </c>
    </row>
    <row r="4" customFormat="false" ht="15" hidden="false" customHeight="true" outlineLevel="0" collapsed="false">
      <c r="A4" s="81" t="s">
        <v>204</v>
      </c>
      <c r="B4" s="82" t="n">
        <f aca="false">Assumptions!B76</f>
        <v>27750000</v>
      </c>
      <c r="C4" s="82" t="n">
        <f aca="false">Assumptions!C76</f>
        <v>527500000</v>
      </c>
      <c r="D4" s="82" t="n">
        <f aca="false">Assumptions!D76</f>
        <v>700000000</v>
      </c>
      <c r="E4" s="82" t="n">
        <f aca="false">Assumptions!E76</f>
        <v>1350000000</v>
      </c>
      <c r="F4" s="82" t="n">
        <f aca="false">Assumptions!F76</f>
        <v>2500000000</v>
      </c>
    </row>
    <row r="5" customFormat="false" ht="15" hidden="false" customHeight="true" outlineLevel="0" collapsed="false">
      <c r="A5" s="81" t="s">
        <v>436</v>
      </c>
      <c r="B5" s="93" t="n">
        <f aca="false">Assumptions!B26</f>
        <v>0.05</v>
      </c>
      <c r="C5" s="93" t="n">
        <f aca="false">Assumptions!C26</f>
        <v>0.07</v>
      </c>
      <c r="D5" s="93" t="n">
        <f aca="false">Assumptions!D26</f>
        <v>0.06</v>
      </c>
      <c r="E5" s="93" t="n">
        <f aca="false">Assumptions!E26</f>
        <v>0.06</v>
      </c>
      <c r="F5" s="93" t="n">
        <f aca="false">Assumptions!F26</f>
        <v>0.06</v>
      </c>
    </row>
    <row r="6" customFormat="false" ht="15" hidden="false" customHeight="true" outlineLevel="0" collapsed="false">
      <c r="A6" s="81" t="s">
        <v>437</v>
      </c>
      <c r="B6" s="82" t="n">
        <f aca="false">B4*B5</f>
        <v>1387500</v>
      </c>
      <c r="C6" s="82" t="n">
        <f aca="false">C4*C5</f>
        <v>36925000</v>
      </c>
      <c r="D6" s="82" t="n">
        <f aca="false">D4*D5</f>
        <v>42000000</v>
      </c>
      <c r="E6" s="82" t="n">
        <f aca="false">E4*E5</f>
        <v>81000000</v>
      </c>
      <c r="F6" s="82" t="n">
        <f aca="false">F4*F5</f>
        <v>150000000</v>
      </c>
    </row>
    <row r="7" customFormat="false" ht="15" hidden="false" customHeight="true" outlineLevel="0" collapsed="false">
      <c r="A7" s="81" t="s">
        <v>438</v>
      </c>
      <c r="B7" s="82" t="n">
        <f aca="false">Assumptions!B81</f>
        <v>1387500</v>
      </c>
      <c r="C7" s="82" t="n">
        <f aca="false">Assumptions!C81</f>
        <v>36925000</v>
      </c>
      <c r="D7" s="82" t="n">
        <f aca="false">Assumptions!D81</f>
        <v>42000000</v>
      </c>
      <c r="E7" s="82" t="n">
        <f aca="false">Assumptions!E81</f>
        <v>81000000</v>
      </c>
      <c r="F7" s="82" t="n">
        <f aca="false">Assumptions!F81</f>
        <v>150000000</v>
      </c>
    </row>
    <row r="8" customFormat="false" ht="15" hidden="false" customHeight="true" outlineLevel="0" collapsed="false">
      <c r="A8" s="81" t="s">
        <v>210</v>
      </c>
      <c r="B8" s="82" t="n">
        <f aca="false">'Income Statement'!B13</f>
        <v>3118262.4</v>
      </c>
      <c r="C8" s="82" t="n">
        <f aca="false">'Income Statement'!C13</f>
        <v>0</v>
      </c>
      <c r="D8" s="82" t="n">
        <f aca="false">'Income Statement'!D13</f>
        <v>5600000</v>
      </c>
      <c r="E8" s="82" t="n">
        <f aca="false">'Income Statement'!E13</f>
        <v>10800000</v>
      </c>
      <c r="F8" s="82" t="n">
        <f aca="false">'Income Statement'!F13</f>
        <v>20000000</v>
      </c>
    </row>
  </sheetData>
  <mergeCells count="1">
    <mergeCell ref="A1:F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1" min="2" style="1" width="12"/>
  </cols>
  <sheetData>
    <row r="1" customFormat="false" ht="30.75" hidden="false" customHeight="true" outlineLevel="0" collapsed="false">
      <c r="A1" s="11" t="s">
        <v>439</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row>
    <row r="3" customFormat="false" ht="15" hidden="false" customHeight="true" outlineLevel="0" collapsed="false">
      <c r="A3" s="102" t="s">
        <v>407</v>
      </c>
      <c r="B3" s="201" t="n">
        <v>46388</v>
      </c>
      <c r="C3" s="202" t="n">
        <v>46419</v>
      </c>
      <c r="D3" s="203" t="n">
        <v>46447</v>
      </c>
      <c r="E3" s="204" t="n">
        <v>46478</v>
      </c>
      <c r="F3" s="205" t="n">
        <v>46508</v>
      </c>
      <c r="G3" s="206" t="n">
        <v>46539</v>
      </c>
      <c r="H3" s="207" t="n">
        <v>46569</v>
      </c>
      <c r="I3" s="208" t="n">
        <v>46600</v>
      </c>
      <c r="J3" s="209" t="n">
        <v>46631</v>
      </c>
      <c r="K3" s="210" t="n">
        <v>46661</v>
      </c>
      <c r="L3" s="211" t="n">
        <v>46692</v>
      </c>
      <c r="M3" s="212" t="n">
        <v>46722</v>
      </c>
      <c r="N3" s="213" t="n">
        <v>46753</v>
      </c>
      <c r="O3" s="214" t="n">
        <v>46784</v>
      </c>
      <c r="P3" s="215" t="n">
        <v>46813</v>
      </c>
      <c r="Q3" s="216" t="n">
        <v>46844</v>
      </c>
      <c r="R3" s="217" t="n">
        <v>46874</v>
      </c>
      <c r="S3" s="218" t="n">
        <v>46905</v>
      </c>
      <c r="T3" s="219" t="n">
        <v>46935</v>
      </c>
      <c r="U3" s="220" t="n">
        <v>46966</v>
      </c>
      <c r="V3" s="221" t="n">
        <v>46997</v>
      </c>
      <c r="W3" s="222" t="n">
        <v>47027</v>
      </c>
      <c r="X3" s="223" t="n">
        <v>47058</v>
      </c>
      <c r="Y3" s="224" t="n">
        <v>47088</v>
      </c>
      <c r="Z3" s="225" t="n">
        <v>47119</v>
      </c>
      <c r="AA3" s="226" t="n">
        <v>47150</v>
      </c>
      <c r="AB3" s="227" t="n">
        <v>47178</v>
      </c>
      <c r="AC3" s="228" t="n">
        <v>47209</v>
      </c>
      <c r="AD3" s="229" t="n">
        <v>47239</v>
      </c>
      <c r="AE3" s="230" t="n">
        <v>47270</v>
      </c>
      <c r="AF3" s="231" t="n">
        <v>47300</v>
      </c>
      <c r="AG3" s="232" t="n">
        <v>47331</v>
      </c>
      <c r="AH3" s="233" t="n">
        <v>47362</v>
      </c>
      <c r="AI3" s="234" t="n">
        <v>47392</v>
      </c>
      <c r="AJ3" s="235" t="n">
        <v>47423</v>
      </c>
      <c r="AK3" s="236" t="n">
        <v>47453</v>
      </c>
      <c r="AL3" s="237" t="n">
        <v>47484</v>
      </c>
      <c r="AM3" s="238" t="n">
        <v>47515</v>
      </c>
      <c r="AN3" s="239" t="n">
        <v>47543</v>
      </c>
      <c r="AO3" s="240" t="n">
        <v>47574</v>
      </c>
      <c r="AP3" s="241" t="n">
        <v>47604</v>
      </c>
      <c r="AQ3" s="242" t="n">
        <v>47635</v>
      </c>
      <c r="AR3" s="243" t="n">
        <v>47665</v>
      </c>
      <c r="AS3" s="244" t="n">
        <v>47696</v>
      </c>
      <c r="AT3" s="245" t="n">
        <v>47727</v>
      </c>
      <c r="AU3" s="246" t="n">
        <v>47757</v>
      </c>
      <c r="AV3" s="247" t="n">
        <v>47788</v>
      </c>
      <c r="AW3" s="248" t="n">
        <v>47818</v>
      </c>
      <c r="AX3" s="249" t="n">
        <v>47849</v>
      </c>
      <c r="AY3" s="250" t="n">
        <v>47880</v>
      </c>
      <c r="AZ3" s="251" t="n">
        <v>47908</v>
      </c>
      <c r="BA3" s="252" t="n">
        <v>47939</v>
      </c>
      <c r="BB3" s="253" t="n">
        <v>47969</v>
      </c>
      <c r="BC3" s="254" t="n">
        <v>48000</v>
      </c>
      <c r="BD3" s="255" t="n">
        <v>48030</v>
      </c>
      <c r="BE3" s="256" t="n">
        <v>48061</v>
      </c>
      <c r="BF3" s="257" t="n">
        <v>48092</v>
      </c>
      <c r="BG3" s="258" t="n">
        <v>48122</v>
      </c>
      <c r="BH3" s="259" t="n">
        <v>48153</v>
      </c>
      <c r="BI3" s="260" t="n">
        <v>48183</v>
      </c>
    </row>
    <row r="4" customFormat="false" ht="15" hidden="false" customHeight="true" outlineLevel="0" collapsed="false">
      <c r="A4" s="102" t="s">
        <v>408</v>
      </c>
      <c r="B4" s="261" t="n">
        <v>2027</v>
      </c>
      <c r="C4" s="261" t="n">
        <v>2027</v>
      </c>
      <c r="D4" s="261" t="n">
        <v>2027</v>
      </c>
      <c r="E4" s="261" t="n">
        <v>2027</v>
      </c>
      <c r="F4" s="261" t="n">
        <v>2027</v>
      </c>
      <c r="G4" s="261" t="n">
        <v>2027</v>
      </c>
      <c r="H4" s="261" t="n">
        <v>2027</v>
      </c>
      <c r="I4" s="261" t="n">
        <v>2027</v>
      </c>
      <c r="J4" s="261" t="n">
        <v>2027</v>
      </c>
      <c r="K4" s="261" t="n">
        <v>2027</v>
      </c>
      <c r="L4" s="261" t="n">
        <v>2027</v>
      </c>
      <c r="M4" s="261" t="n">
        <v>2027</v>
      </c>
      <c r="N4" s="262" t="n">
        <v>2028</v>
      </c>
      <c r="O4" s="262" t="n">
        <v>2028</v>
      </c>
      <c r="P4" s="262" t="n">
        <v>2028</v>
      </c>
      <c r="Q4" s="262" t="n">
        <v>2028</v>
      </c>
      <c r="R4" s="262" t="n">
        <v>2028</v>
      </c>
      <c r="S4" s="262" t="n">
        <v>2028</v>
      </c>
      <c r="T4" s="262" t="n">
        <v>2028</v>
      </c>
      <c r="U4" s="262" t="n">
        <v>2028</v>
      </c>
      <c r="V4" s="262" t="n">
        <v>2028</v>
      </c>
      <c r="W4" s="262" t="n">
        <v>2028</v>
      </c>
      <c r="X4" s="262" t="n">
        <v>2028</v>
      </c>
      <c r="Y4" s="262" t="n">
        <v>2028</v>
      </c>
      <c r="Z4" s="263" t="n">
        <v>2029</v>
      </c>
      <c r="AA4" s="263" t="n">
        <v>2029</v>
      </c>
      <c r="AB4" s="263" t="n">
        <v>2029</v>
      </c>
      <c r="AC4" s="263" t="n">
        <v>2029</v>
      </c>
      <c r="AD4" s="263" t="n">
        <v>2029</v>
      </c>
      <c r="AE4" s="263" t="n">
        <v>2029</v>
      </c>
      <c r="AF4" s="263" t="n">
        <v>2029</v>
      </c>
      <c r="AG4" s="263" t="n">
        <v>2029</v>
      </c>
      <c r="AH4" s="263" t="n">
        <v>2029</v>
      </c>
      <c r="AI4" s="263" t="n">
        <v>2029</v>
      </c>
      <c r="AJ4" s="263" t="n">
        <v>2029</v>
      </c>
      <c r="AK4" s="263" t="n">
        <v>2029</v>
      </c>
      <c r="AL4" s="264" t="n">
        <v>2030</v>
      </c>
      <c r="AM4" s="264" t="n">
        <v>2030</v>
      </c>
      <c r="AN4" s="264" t="n">
        <v>2030</v>
      </c>
      <c r="AO4" s="264" t="n">
        <v>2030</v>
      </c>
      <c r="AP4" s="264" t="n">
        <v>2030</v>
      </c>
      <c r="AQ4" s="264" t="n">
        <v>2030</v>
      </c>
      <c r="AR4" s="264" t="n">
        <v>2030</v>
      </c>
      <c r="AS4" s="264" t="n">
        <v>2030</v>
      </c>
      <c r="AT4" s="264" t="n">
        <v>2030</v>
      </c>
      <c r="AU4" s="264" t="n">
        <v>2030</v>
      </c>
      <c r="AV4" s="264" t="n">
        <v>2030</v>
      </c>
      <c r="AW4" s="264" t="n">
        <v>2030</v>
      </c>
      <c r="AX4" s="265" t="n">
        <v>2031</v>
      </c>
      <c r="AY4" s="265" t="n">
        <v>2031</v>
      </c>
      <c r="AZ4" s="265" t="n">
        <v>2031</v>
      </c>
      <c r="BA4" s="265" t="n">
        <v>2031</v>
      </c>
      <c r="BB4" s="265" t="n">
        <v>2031</v>
      </c>
      <c r="BC4" s="265" t="n">
        <v>2031</v>
      </c>
      <c r="BD4" s="265" t="n">
        <v>2031</v>
      </c>
      <c r="BE4" s="265" t="n">
        <v>2031</v>
      </c>
      <c r="BF4" s="265" t="n">
        <v>2031</v>
      </c>
      <c r="BG4" s="265" t="n">
        <v>2031</v>
      </c>
      <c r="BH4" s="265" t="n">
        <v>2031</v>
      </c>
      <c r="BI4" s="265" t="n">
        <v>2031</v>
      </c>
    </row>
    <row r="5" customFormat="false" ht="15" hidden="false" customHeight="true" outlineLevel="0" collapsed="false">
      <c r="A5" s="102" t="s">
        <v>409</v>
      </c>
      <c r="B5" s="266" t="n">
        <v>1</v>
      </c>
      <c r="C5" s="266" t="n">
        <v>2</v>
      </c>
      <c r="D5" s="266" t="n">
        <v>3</v>
      </c>
      <c r="E5" s="266" t="n">
        <v>4</v>
      </c>
      <c r="F5" s="266" t="n">
        <v>5</v>
      </c>
      <c r="G5" s="266" t="n">
        <v>6</v>
      </c>
      <c r="H5" s="266" t="n">
        <v>7</v>
      </c>
      <c r="I5" s="266" t="n">
        <v>8</v>
      </c>
      <c r="J5" s="266" t="n">
        <v>9</v>
      </c>
      <c r="K5" s="266" t="n">
        <v>10</v>
      </c>
      <c r="L5" s="266" t="n">
        <v>11</v>
      </c>
      <c r="M5" s="266" t="n">
        <v>12</v>
      </c>
      <c r="N5" s="266" t="n">
        <v>13</v>
      </c>
      <c r="O5" s="266" t="n">
        <v>14</v>
      </c>
      <c r="P5" s="266" t="n">
        <v>15</v>
      </c>
      <c r="Q5" s="266" t="n">
        <v>16</v>
      </c>
      <c r="R5" s="266" t="n">
        <v>17</v>
      </c>
      <c r="S5" s="266" t="n">
        <v>18</v>
      </c>
      <c r="T5" s="266" t="n">
        <v>19</v>
      </c>
      <c r="U5" s="266" t="n">
        <v>20</v>
      </c>
      <c r="V5" s="266" t="n">
        <v>21</v>
      </c>
      <c r="W5" s="266" t="n">
        <v>22</v>
      </c>
      <c r="X5" s="266" t="n">
        <v>23</v>
      </c>
      <c r="Y5" s="266" t="n">
        <v>24</v>
      </c>
      <c r="Z5" s="266" t="n">
        <v>25</v>
      </c>
      <c r="AA5" s="266" t="n">
        <v>26</v>
      </c>
      <c r="AB5" s="266" t="n">
        <v>27</v>
      </c>
      <c r="AC5" s="266" t="n">
        <v>28</v>
      </c>
      <c r="AD5" s="266" t="n">
        <v>29</v>
      </c>
      <c r="AE5" s="266" t="n">
        <v>30</v>
      </c>
      <c r="AF5" s="266" t="n">
        <v>31</v>
      </c>
      <c r="AG5" s="266" t="n">
        <v>32</v>
      </c>
      <c r="AH5" s="266" t="n">
        <v>33</v>
      </c>
      <c r="AI5" s="266" t="n">
        <v>34</v>
      </c>
      <c r="AJ5" s="266" t="n">
        <v>35</v>
      </c>
      <c r="AK5" s="266" t="n">
        <v>36</v>
      </c>
      <c r="AL5" s="266" t="n">
        <v>37</v>
      </c>
      <c r="AM5" s="266" t="n">
        <v>38</v>
      </c>
      <c r="AN5" s="266" t="n">
        <v>39</v>
      </c>
      <c r="AO5" s="266" t="n">
        <v>40</v>
      </c>
      <c r="AP5" s="266" t="n">
        <v>41</v>
      </c>
      <c r="AQ5" s="266" t="n">
        <v>42</v>
      </c>
      <c r="AR5" s="266" t="n">
        <v>43</v>
      </c>
      <c r="AS5" s="266" t="n">
        <v>44</v>
      </c>
      <c r="AT5" s="266" t="n">
        <v>45</v>
      </c>
      <c r="AU5" s="266" t="n">
        <v>46</v>
      </c>
      <c r="AV5" s="266" t="n">
        <v>47</v>
      </c>
      <c r="AW5" s="266" t="n">
        <v>48</v>
      </c>
      <c r="AX5" s="266" t="n">
        <v>49</v>
      </c>
      <c r="AY5" s="266" t="n">
        <v>50</v>
      </c>
      <c r="AZ5" s="266" t="n">
        <v>51</v>
      </c>
      <c r="BA5" s="266" t="n">
        <v>52</v>
      </c>
      <c r="BB5" s="266" t="n">
        <v>53</v>
      </c>
      <c r="BC5" s="266" t="n">
        <v>54</v>
      </c>
      <c r="BD5" s="266" t="n">
        <v>55</v>
      </c>
      <c r="BE5" s="266" t="n">
        <v>56</v>
      </c>
      <c r="BF5" s="266" t="n">
        <v>57</v>
      </c>
      <c r="BG5" s="266" t="n">
        <v>58</v>
      </c>
      <c r="BH5" s="266" t="n">
        <v>59</v>
      </c>
      <c r="BI5" s="266" t="n">
        <v>60</v>
      </c>
    </row>
    <row r="6" customFormat="false" ht="15" hidden="false" customHeight="true" outlineLevel="0" collapsed="false">
      <c r="A6" s="102" t="s">
        <v>440</v>
      </c>
      <c r="B6" s="267" t="n">
        <f aca="false">Originations!B6</f>
        <v>0</v>
      </c>
      <c r="C6" s="267" t="n">
        <f aca="false">Originations!C6</f>
        <v>0.0714285714285714</v>
      </c>
      <c r="D6" s="267" t="n">
        <f aca="false">Originations!D6</f>
        <v>0.0714285714285714</v>
      </c>
      <c r="E6" s="267" t="n">
        <f aca="false">Originations!E6</f>
        <v>0.0821428571428572</v>
      </c>
      <c r="F6" s="267" t="n">
        <f aca="false">Originations!F6</f>
        <v>0.0821428571428572</v>
      </c>
      <c r="G6" s="267" t="n">
        <f aca="false">Originations!G6</f>
        <v>0.0821428571428572</v>
      </c>
      <c r="H6" s="267" t="n">
        <f aca="false">Originations!H6</f>
        <v>0.0964285714285715</v>
      </c>
      <c r="I6" s="267" t="n">
        <f aca="false">Originations!I6</f>
        <v>0.0964285714285715</v>
      </c>
      <c r="J6" s="267" t="n">
        <f aca="false">Originations!J6</f>
        <v>0.0964285714285715</v>
      </c>
      <c r="K6" s="267" t="n">
        <f aca="false">Originations!K6</f>
        <v>0.107142857142857</v>
      </c>
      <c r="L6" s="267" t="n">
        <f aca="false">Originations!L6</f>
        <v>0.107142857142857</v>
      </c>
      <c r="M6" s="267" t="n">
        <f aca="false">Originations!M6</f>
        <v>0.107142857142857</v>
      </c>
      <c r="N6" s="267" t="n">
        <f aca="false">Originations!N6</f>
        <v>0.0666666666666667</v>
      </c>
      <c r="O6" s="267" t="n">
        <f aca="false">Originations!O6</f>
        <v>0.0666666666666667</v>
      </c>
      <c r="P6" s="267" t="n">
        <f aca="false">Originations!P6</f>
        <v>0.0666666666666667</v>
      </c>
      <c r="Q6" s="267" t="n">
        <f aca="false">Originations!Q6</f>
        <v>0.0766666666666667</v>
      </c>
      <c r="R6" s="267" t="n">
        <f aca="false">Originations!R6</f>
        <v>0.0766666666666667</v>
      </c>
      <c r="S6" s="267" t="n">
        <f aca="false">Originations!S6</f>
        <v>0.0766666666666667</v>
      </c>
      <c r="T6" s="267" t="n">
        <f aca="false">Originations!T6</f>
        <v>0.09</v>
      </c>
      <c r="U6" s="267" t="n">
        <f aca="false">Originations!U6</f>
        <v>0.09</v>
      </c>
      <c r="V6" s="267" t="n">
        <f aca="false">Originations!V6</f>
        <v>0.09</v>
      </c>
      <c r="W6" s="267" t="n">
        <f aca="false">Originations!W6</f>
        <v>0.1</v>
      </c>
      <c r="X6" s="267" t="n">
        <f aca="false">Originations!X6</f>
        <v>0.1</v>
      </c>
      <c r="Y6" s="267" t="n">
        <f aca="false">Originations!Y6</f>
        <v>0.1</v>
      </c>
      <c r="Z6" s="267" t="n">
        <f aca="false">Originations!Z6</f>
        <v>0.0666666666666667</v>
      </c>
      <c r="AA6" s="267" t="n">
        <f aca="false">Originations!AA6</f>
        <v>0.0666666666666667</v>
      </c>
      <c r="AB6" s="267" t="n">
        <f aca="false">Originations!AB6</f>
        <v>0.0666666666666667</v>
      </c>
      <c r="AC6" s="267" t="n">
        <f aca="false">Originations!AC6</f>
        <v>0.0766666666666667</v>
      </c>
      <c r="AD6" s="267" t="n">
        <f aca="false">Originations!AD6</f>
        <v>0.0766666666666667</v>
      </c>
      <c r="AE6" s="267" t="n">
        <f aca="false">Originations!AE6</f>
        <v>0.0766666666666667</v>
      </c>
      <c r="AF6" s="267" t="n">
        <f aca="false">Originations!AF6</f>
        <v>0.09</v>
      </c>
      <c r="AG6" s="267" t="n">
        <f aca="false">Originations!AG6</f>
        <v>0.09</v>
      </c>
      <c r="AH6" s="267" t="n">
        <f aca="false">Originations!AH6</f>
        <v>0.09</v>
      </c>
      <c r="AI6" s="267" t="n">
        <f aca="false">Originations!AI6</f>
        <v>0.1</v>
      </c>
      <c r="AJ6" s="267" t="n">
        <f aca="false">Originations!AJ6</f>
        <v>0.1</v>
      </c>
      <c r="AK6" s="267" t="n">
        <f aca="false">Originations!AK6</f>
        <v>0.1</v>
      </c>
      <c r="AL6" s="267" t="n">
        <f aca="false">Originations!AL6</f>
        <v>0.0666666666666667</v>
      </c>
      <c r="AM6" s="267" t="n">
        <f aca="false">Originations!AM6</f>
        <v>0.0666666666666667</v>
      </c>
      <c r="AN6" s="267" t="n">
        <f aca="false">Originations!AN6</f>
        <v>0.0666666666666667</v>
      </c>
      <c r="AO6" s="267" t="n">
        <f aca="false">Originations!AO6</f>
        <v>0.0766666666666667</v>
      </c>
      <c r="AP6" s="267" t="n">
        <f aca="false">Originations!AP6</f>
        <v>0.0766666666666667</v>
      </c>
      <c r="AQ6" s="267" t="n">
        <f aca="false">Originations!AQ6</f>
        <v>0.0766666666666667</v>
      </c>
      <c r="AR6" s="267" t="n">
        <f aca="false">Originations!AR6</f>
        <v>0.09</v>
      </c>
      <c r="AS6" s="267" t="n">
        <f aca="false">Originations!AS6</f>
        <v>0.09</v>
      </c>
      <c r="AT6" s="267" t="n">
        <f aca="false">Originations!AT6</f>
        <v>0.09</v>
      </c>
      <c r="AU6" s="267" t="n">
        <f aca="false">Originations!AU6</f>
        <v>0.1</v>
      </c>
      <c r="AV6" s="267" t="n">
        <f aca="false">Originations!AV6</f>
        <v>0.1</v>
      </c>
      <c r="AW6" s="267" t="n">
        <f aca="false">Originations!AW6</f>
        <v>0.1</v>
      </c>
      <c r="AX6" s="267" t="n">
        <f aca="false">Originations!AX6</f>
        <v>0.0666666666666667</v>
      </c>
      <c r="AY6" s="267" t="n">
        <f aca="false">Originations!AY6</f>
        <v>0.0666666666666667</v>
      </c>
      <c r="AZ6" s="267" t="n">
        <f aca="false">Originations!AZ6</f>
        <v>0.0666666666666667</v>
      </c>
      <c r="BA6" s="267" t="n">
        <f aca="false">Originations!BA6</f>
        <v>0.0766666666666667</v>
      </c>
      <c r="BB6" s="267" t="n">
        <f aca="false">Originations!BB6</f>
        <v>0.0766666666666667</v>
      </c>
      <c r="BC6" s="267" t="n">
        <f aca="false">Originations!BC6</f>
        <v>0.0766666666666667</v>
      </c>
      <c r="BD6" s="267" t="n">
        <f aca="false">Originations!BD6</f>
        <v>0.09</v>
      </c>
      <c r="BE6" s="267" t="n">
        <f aca="false">Originations!BE6</f>
        <v>0.09</v>
      </c>
      <c r="BF6" s="267" t="n">
        <f aca="false">Originations!BF6</f>
        <v>0.09</v>
      </c>
      <c r="BG6" s="267" t="n">
        <f aca="false">Originations!BG6</f>
        <v>0.1</v>
      </c>
      <c r="BH6" s="267" t="n">
        <f aca="false">Originations!BH6</f>
        <v>0.1</v>
      </c>
      <c r="BI6" s="267" t="n">
        <f aca="false">Originations!BI6</f>
        <v>0.1</v>
      </c>
    </row>
    <row r="7" customFormat="false" ht="21.75" hidden="false" customHeight="true" outlineLevel="0" collapsed="false"/>
    <row r="8" customFormat="false" ht="15" hidden="false" customHeight="true" outlineLevel="0" collapsed="false">
      <c r="A8" s="268" t="s">
        <v>441</v>
      </c>
      <c r="B8" s="269" t="n">
        <f aca="false">Originations!B7</f>
        <v>0</v>
      </c>
      <c r="C8" s="269" t="n">
        <f aca="false">Originations!C7</f>
        <v>1982142.85714286</v>
      </c>
      <c r="D8" s="269" t="n">
        <f aca="false">Originations!D7</f>
        <v>1982142.85714286</v>
      </c>
      <c r="E8" s="269" t="n">
        <f aca="false">Originations!E7</f>
        <v>2279464.28571429</v>
      </c>
      <c r="F8" s="269" t="n">
        <f aca="false">Originations!F7</f>
        <v>2279464.28571429</v>
      </c>
      <c r="G8" s="269" t="n">
        <f aca="false">Originations!G7</f>
        <v>2279464.28571429</v>
      </c>
      <c r="H8" s="269" t="n">
        <f aca="false">Originations!H7</f>
        <v>2675892.85714286</v>
      </c>
      <c r="I8" s="269" t="n">
        <f aca="false">Originations!I7</f>
        <v>2675892.85714286</v>
      </c>
      <c r="J8" s="269" t="n">
        <f aca="false">Originations!J7</f>
        <v>2675892.85714286</v>
      </c>
      <c r="K8" s="269" t="n">
        <f aca="false">Originations!K7</f>
        <v>2973214.28571428</v>
      </c>
      <c r="L8" s="269" t="n">
        <f aca="false">Originations!L7</f>
        <v>2973214.28571428</v>
      </c>
      <c r="M8" s="269" t="n">
        <f aca="false">Originations!M7</f>
        <v>2973214.28571428</v>
      </c>
      <c r="N8" s="269" t="n">
        <f aca="false">Originations!N7</f>
        <v>35166666.6666667</v>
      </c>
      <c r="O8" s="269" t="n">
        <f aca="false">Originations!O7</f>
        <v>35166666.6666667</v>
      </c>
      <c r="P8" s="269" t="n">
        <f aca="false">Originations!P7</f>
        <v>35166666.6666667</v>
      </c>
      <c r="Q8" s="269" t="n">
        <f aca="false">Originations!Q7</f>
        <v>40441666.6666667</v>
      </c>
      <c r="R8" s="269" t="n">
        <f aca="false">Originations!R7</f>
        <v>40441666.6666667</v>
      </c>
      <c r="S8" s="269" t="n">
        <f aca="false">Originations!S7</f>
        <v>40441666.6666667</v>
      </c>
      <c r="T8" s="269" t="n">
        <f aca="false">Originations!T7</f>
        <v>47475000</v>
      </c>
      <c r="U8" s="269" t="n">
        <f aca="false">Originations!U7</f>
        <v>47475000</v>
      </c>
      <c r="V8" s="269" t="n">
        <f aca="false">Originations!V7</f>
        <v>47475000</v>
      </c>
      <c r="W8" s="269" t="n">
        <f aca="false">Originations!W7</f>
        <v>52750000</v>
      </c>
      <c r="X8" s="269" t="n">
        <f aca="false">Originations!X7</f>
        <v>52750000</v>
      </c>
      <c r="Y8" s="269" t="n">
        <f aca="false">Originations!Y7</f>
        <v>52750000</v>
      </c>
      <c r="Z8" s="269" t="n">
        <f aca="false">Originations!Z7</f>
        <v>46666666.6666667</v>
      </c>
      <c r="AA8" s="269" t="n">
        <f aca="false">Originations!AA7</f>
        <v>46666666.6666667</v>
      </c>
      <c r="AB8" s="269" t="n">
        <f aca="false">Originations!AB7</f>
        <v>46666666.6666667</v>
      </c>
      <c r="AC8" s="269" t="n">
        <f aca="false">Originations!AC7</f>
        <v>53666666.6666667</v>
      </c>
      <c r="AD8" s="269" t="n">
        <f aca="false">Originations!AD7</f>
        <v>53666666.6666667</v>
      </c>
      <c r="AE8" s="269" t="n">
        <f aca="false">Originations!AE7</f>
        <v>53666666.6666667</v>
      </c>
      <c r="AF8" s="269" t="n">
        <f aca="false">Originations!AF7</f>
        <v>63000000</v>
      </c>
      <c r="AG8" s="269" t="n">
        <f aca="false">Originations!AG7</f>
        <v>63000000</v>
      </c>
      <c r="AH8" s="269" t="n">
        <f aca="false">Originations!AH7</f>
        <v>63000000</v>
      </c>
      <c r="AI8" s="269" t="n">
        <f aca="false">Originations!AI7</f>
        <v>70000000</v>
      </c>
      <c r="AJ8" s="269" t="n">
        <f aca="false">Originations!AJ7</f>
        <v>70000000</v>
      </c>
      <c r="AK8" s="269" t="n">
        <f aca="false">Originations!AK7</f>
        <v>70000000</v>
      </c>
      <c r="AL8" s="269" t="n">
        <f aca="false">Originations!AL7</f>
        <v>90000000</v>
      </c>
      <c r="AM8" s="269" t="n">
        <f aca="false">Originations!AM7</f>
        <v>90000000</v>
      </c>
      <c r="AN8" s="269" t="n">
        <f aca="false">Originations!AN7</f>
        <v>90000000</v>
      </c>
      <c r="AO8" s="269" t="n">
        <f aca="false">Originations!AO7</f>
        <v>103500000</v>
      </c>
      <c r="AP8" s="269" t="n">
        <f aca="false">Originations!AP7</f>
        <v>103500000</v>
      </c>
      <c r="AQ8" s="269" t="n">
        <f aca="false">Originations!AQ7</f>
        <v>103500000</v>
      </c>
      <c r="AR8" s="269" t="n">
        <f aca="false">Originations!AR7</f>
        <v>121500000</v>
      </c>
      <c r="AS8" s="269" t="n">
        <f aca="false">Originations!AS7</f>
        <v>121500000</v>
      </c>
      <c r="AT8" s="269" t="n">
        <f aca="false">Originations!AT7</f>
        <v>121500000</v>
      </c>
      <c r="AU8" s="269" t="n">
        <f aca="false">Originations!AU7</f>
        <v>135000000</v>
      </c>
      <c r="AV8" s="269" t="n">
        <f aca="false">Originations!AV7</f>
        <v>135000000</v>
      </c>
      <c r="AW8" s="269" t="n">
        <f aca="false">Originations!AW7</f>
        <v>135000000</v>
      </c>
      <c r="AX8" s="269" t="n">
        <f aca="false">Originations!AX7</f>
        <v>166666666.666667</v>
      </c>
      <c r="AY8" s="269" t="n">
        <f aca="false">Originations!AY7</f>
        <v>166666666.666667</v>
      </c>
      <c r="AZ8" s="269" t="n">
        <f aca="false">Originations!AZ7</f>
        <v>166666666.666667</v>
      </c>
      <c r="BA8" s="269" t="n">
        <f aca="false">Originations!BA7</f>
        <v>191666666.666667</v>
      </c>
      <c r="BB8" s="269" t="n">
        <f aca="false">Originations!BB7</f>
        <v>191666666.666667</v>
      </c>
      <c r="BC8" s="269" t="n">
        <f aca="false">Originations!BC7</f>
        <v>191666666.666667</v>
      </c>
      <c r="BD8" s="269" t="n">
        <f aca="false">Originations!BD7</f>
        <v>225000000</v>
      </c>
      <c r="BE8" s="269" t="n">
        <f aca="false">Originations!BE7</f>
        <v>225000000</v>
      </c>
      <c r="BF8" s="269" t="n">
        <f aca="false">Originations!BF7</f>
        <v>225000000</v>
      </c>
      <c r="BG8" s="269" t="n">
        <f aca="false">Originations!BG7</f>
        <v>250000000</v>
      </c>
      <c r="BH8" s="269" t="n">
        <f aca="false">Originations!BH7</f>
        <v>250000000</v>
      </c>
      <c r="BI8" s="269" t="n">
        <f aca="false">Originations!BI7</f>
        <v>250000000</v>
      </c>
    </row>
    <row r="9" customFormat="false" ht="15" hidden="false" customHeight="true" outlineLevel="0" collapsed="false">
      <c r="B9" s="270"/>
      <c r="C9" s="270"/>
      <c r="D9" s="270"/>
      <c r="E9" s="270"/>
      <c r="F9" s="270"/>
      <c r="G9" s="270"/>
      <c r="H9" s="270"/>
      <c r="I9" s="270"/>
      <c r="J9" s="270"/>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row>
    <row r="10" customFormat="false" ht="15" hidden="false" customHeight="true" outlineLevel="0" collapsed="false">
      <c r="A10" s="268" t="s">
        <v>216</v>
      </c>
      <c r="B10" s="269" t="n">
        <f aca="false">'Cash Flow'!B5*B6</f>
        <v>-0</v>
      </c>
      <c r="C10" s="269" t="n">
        <f aca="false">'Cash Flow'!B5*C6</f>
        <v>-583347.911621428</v>
      </c>
      <c r="D10" s="269" t="n">
        <f aca="false">'Cash Flow'!B5*D6</f>
        <v>-583347.911621428</v>
      </c>
      <c r="E10" s="269" t="n">
        <f aca="false">'Cash Flow'!B5*E6</f>
        <v>-670850.098364643</v>
      </c>
      <c r="F10" s="269" t="n">
        <f aca="false">'Cash Flow'!B5*F6</f>
        <v>-670850.098364643</v>
      </c>
      <c r="G10" s="269" t="n">
        <f aca="false">'Cash Flow'!B5*G6</f>
        <v>-670850.098364643</v>
      </c>
      <c r="H10" s="269" t="n">
        <f aca="false">'Cash Flow'!B5*H6</f>
        <v>-787519.680688929</v>
      </c>
      <c r="I10" s="269" t="n">
        <f aca="false">'Cash Flow'!B5*I6</f>
        <v>-787519.680688929</v>
      </c>
      <c r="J10" s="269" t="n">
        <f aca="false">'Cash Flow'!B5*J6</f>
        <v>-787519.680688929</v>
      </c>
      <c r="K10" s="269" t="n">
        <f aca="false">'Cash Flow'!B5*K6</f>
        <v>-875021.867432142</v>
      </c>
      <c r="L10" s="269" t="n">
        <f aca="false">'Cash Flow'!B5*L6</f>
        <v>-875021.867432142</v>
      </c>
      <c r="M10" s="269" t="n">
        <f aca="false">'Cash Flow'!B5*M6</f>
        <v>-875021.867432142</v>
      </c>
      <c r="N10" s="269" t="n">
        <f aca="false">'Cash Flow'!C5*N6</f>
        <v>616907.738236666</v>
      </c>
      <c r="O10" s="269" t="n">
        <f aca="false">'Cash Flow'!C5*O6</f>
        <v>616907.738236666</v>
      </c>
      <c r="P10" s="269" t="n">
        <f aca="false">'Cash Flow'!C5*P6</f>
        <v>616907.738236666</v>
      </c>
      <c r="Q10" s="269" t="n">
        <f aca="false">'Cash Flow'!C5*Q6</f>
        <v>709443.898972166</v>
      </c>
      <c r="R10" s="269" t="n">
        <f aca="false">'Cash Flow'!C5*R6</f>
        <v>709443.898972166</v>
      </c>
      <c r="S10" s="269" t="n">
        <f aca="false">'Cash Flow'!C5*S6</f>
        <v>709443.898972166</v>
      </c>
      <c r="T10" s="269" t="n">
        <f aca="false">'Cash Flow'!C5*T6</f>
        <v>832825.446619498</v>
      </c>
      <c r="U10" s="269" t="n">
        <f aca="false">'Cash Flow'!C5*U6</f>
        <v>832825.446619498</v>
      </c>
      <c r="V10" s="269" t="n">
        <f aca="false">'Cash Flow'!C5*V6</f>
        <v>832825.446619498</v>
      </c>
      <c r="W10" s="269" t="n">
        <f aca="false">'Cash Flow'!C5*W6</f>
        <v>925361.607354998</v>
      </c>
      <c r="X10" s="269" t="n">
        <f aca="false">'Cash Flow'!C5*X6</f>
        <v>925361.607354998</v>
      </c>
      <c r="Y10" s="269" t="n">
        <f aca="false">'Cash Flow'!C5*Y6</f>
        <v>925361.607354998</v>
      </c>
      <c r="Z10" s="269" t="n">
        <f aca="false">'Cash Flow'!D5*Z6</f>
        <v>5116754.10867067</v>
      </c>
      <c r="AA10" s="269" t="n">
        <f aca="false">'Cash Flow'!D5*AA6</f>
        <v>5116754.10867067</v>
      </c>
      <c r="AB10" s="269" t="n">
        <f aca="false">'Cash Flow'!D5*AB6</f>
        <v>5116754.10867067</v>
      </c>
      <c r="AC10" s="269" t="n">
        <f aca="false">'Cash Flow'!D5*AC6</f>
        <v>5884267.22497127</v>
      </c>
      <c r="AD10" s="269" t="n">
        <f aca="false">'Cash Flow'!D5*AD6</f>
        <v>5884267.22497127</v>
      </c>
      <c r="AE10" s="269" t="n">
        <f aca="false">'Cash Flow'!D5*AE6</f>
        <v>5884267.22497127</v>
      </c>
      <c r="AF10" s="269" t="n">
        <f aca="false">'Cash Flow'!D5*AF6</f>
        <v>6907618.0467054</v>
      </c>
      <c r="AG10" s="269" t="n">
        <f aca="false">'Cash Flow'!D5*AG6</f>
        <v>6907618.0467054</v>
      </c>
      <c r="AH10" s="269" t="n">
        <f aca="false">'Cash Flow'!D5*AH6</f>
        <v>6907618.0467054</v>
      </c>
      <c r="AI10" s="269" t="n">
        <f aca="false">'Cash Flow'!D5*AI6</f>
        <v>7675131.163006</v>
      </c>
      <c r="AJ10" s="269" t="n">
        <f aca="false">'Cash Flow'!D5*AJ6</f>
        <v>7675131.163006</v>
      </c>
      <c r="AK10" s="269" t="n">
        <f aca="false">'Cash Flow'!D5*AK6</f>
        <v>7675131.163006</v>
      </c>
      <c r="AL10" s="269" t="n">
        <f aca="false">'Cash Flow'!E5*AL6</f>
        <v>10662722.3029832</v>
      </c>
      <c r="AM10" s="269" t="n">
        <f aca="false">'Cash Flow'!E5*AM6</f>
        <v>10662722.3029832</v>
      </c>
      <c r="AN10" s="269" t="n">
        <f aca="false">'Cash Flow'!E5*AN6</f>
        <v>10662722.3029832</v>
      </c>
      <c r="AO10" s="269" t="n">
        <f aca="false">'Cash Flow'!E5*AO6</f>
        <v>12262130.6484307</v>
      </c>
      <c r="AP10" s="269" t="n">
        <f aca="false">'Cash Flow'!E5*AP6</f>
        <v>12262130.6484307</v>
      </c>
      <c r="AQ10" s="269" t="n">
        <f aca="false">'Cash Flow'!E5*AQ6</f>
        <v>12262130.6484307</v>
      </c>
      <c r="AR10" s="269" t="n">
        <f aca="false">'Cash Flow'!E5*AR6</f>
        <v>14394675.1090273</v>
      </c>
      <c r="AS10" s="269" t="n">
        <f aca="false">'Cash Flow'!E5*AS6</f>
        <v>14394675.1090273</v>
      </c>
      <c r="AT10" s="269" t="n">
        <f aca="false">'Cash Flow'!E5*AT6</f>
        <v>14394675.1090273</v>
      </c>
      <c r="AU10" s="269" t="n">
        <f aca="false">'Cash Flow'!E5*AU6</f>
        <v>15994083.4544748</v>
      </c>
      <c r="AV10" s="269" t="n">
        <f aca="false">'Cash Flow'!E5*AV6</f>
        <v>15994083.4544748</v>
      </c>
      <c r="AW10" s="269" t="n">
        <f aca="false">'Cash Flow'!E5*AW6</f>
        <v>15994083.4544748</v>
      </c>
      <c r="AX10" s="269" t="n">
        <f aca="false">'Cash Flow'!F5*AX6</f>
        <v>19317331.9627251</v>
      </c>
      <c r="AY10" s="269" t="n">
        <f aca="false">'Cash Flow'!F5*AY6</f>
        <v>19317331.9627251</v>
      </c>
      <c r="AZ10" s="269" t="n">
        <f aca="false">'Cash Flow'!F5*AZ6</f>
        <v>19317331.9627251</v>
      </c>
      <c r="BA10" s="269" t="n">
        <f aca="false">'Cash Flow'!F5*BA6</f>
        <v>22214931.7571338</v>
      </c>
      <c r="BB10" s="269" t="n">
        <f aca="false">'Cash Flow'!F5*BB6</f>
        <v>22214931.7571338</v>
      </c>
      <c r="BC10" s="269" t="n">
        <f aca="false">'Cash Flow'!F5*BC6</f>
        <v>22214931.7571338</v>
      </c>
      <c r="BD10" s="269" t="n">
        <f aca="false">'Cash Flow'!F5*BD6</f>
        <v>26078398.1496788</v>
      </c>
      <c r="BE10" s="269" t="n">
        <f aca="false">'Cash Flow'!F5*BE6</f>
        <v>26078398.1496788</v>
      </c>
      <c r="BF10" s="269" t="n">
        <f aca="false">'Cash Flow'!F5*BF6</f>
        <v>26078398.1496788</v>
      </c>
      <c r="BG10" s="269" t="n">
        <f aca="false">'Cash Flow'!F5*BG6</f>
        <v>28975997.9440876</v>
      </c>
      <c r="BH10" s="269" t="n">
        <f aca="false">'Cash Flow'!F5*BH6</f>
        <v>28975997.9440876</v>
      </c>
      <c r="BI10" s="269" t="n">
        <f aca="false">'Cash Flow'!F5*BI6</f>
        <v>28975997.9440876</v>
      </c>
    </row>
    <row r="11" customFormat="false" ht="15" hidden="false" customHeight="true" outlineLevel="0" collapsed="false">
      <c r="A11" s="102" t="s">
        <v>442</v>
      </c>
      <c r="B11" s="270" t="n">
        <f aca="false">'Cash Flow'!B6*B6</f>
        <v>0</v>
      </c>
      <c r="C11" s="270" t="n">
        <f aca="false">'Cash Flow'!B6*C6</f>
        <v>0</v>
      </c>
      <c r="D11" s="270" t="n">
        <f aca="false">'Cash Flow'!B6*D6</f>
        <v>0</v>
      </c>
      <c r="E11" s="270" t="n">
        <f aca="false">'Cash Flow'!B6*E6</f>
        <v>0</v>
      </c>
      <c r="F11" s="270" t="n">
        <f aca="false">'Cash Flow'!B6*F6</f>
        <v>0</v>
      </c>
      <c r="G11" s="270" t="n">
        <f aca="false">'Cash Flow'!B6*G6</f>
        <v>0</v>
      </c>
      <c r="H11" s="270" t="n">
        <f aca="false">'Cash Flow'!B6*H6</f>
        <v>0</v>
      </c>
      <c r="I11" s="270" t="n">
        <f aca="false">'Cash Flow'!B6*I6</f>
        <v>0</v>
      </c>
      <c r="J11" s="270" t="n">
        <f aca="false">'Cash Flow'!B6*J6</f>
        <v>0</v>
      </c>
      <c r="K11" s="270" t="n">
        <f aca="false">'Cash Flow'!B6*K6</f>
        <v>0</v>
      </c>
      <c r="L11" s="270" t="n">
        <f aca="false">'Cash Flow'!B6*L6</f>
        <v>0</v>
      </c>
      <c r="M11" s="270" t="n">
        <f aca="false">'Cash Flow'!B6*M6</f>
        <v>0</v>
      </c>
      <c r="N11" s="270" t="n">
        <f aca="false">'Cash Flow'!C6*N6</f>
        <v>0</v>
      </c>
      <c r="O11" s="270" t="n">
        <f aca="false">'Cash Flow'!C6*O6</f>
        <v>0</v>
      </c>
      <c r="P11" s="270" t="n">
        <f aca="false">'Cash Flow'!C6*P6</f>
        <v>0</v>
      </c>
      <c r="Q11" s="270" t="n">
        <f aca="false">'Cash Flow'!C6*Q6</f>
        <v>0</v>
      </c>
      <c r="R11" s="270" t="n">
        <f aca="false">'Cash Flow'!C6*R6</f>
        <v>0</v>
      </c>
      <c r="S11" s="270" t="n">
        <f aca="false">'Cash Flow'!C6*S6</f>
        <v>0</v>
      </c>
      <c r="T11" s="270" t="n">
        <f aca="false">'Cash Flow'!C6*T6</f>
        <v>0</v>
      </c>
      <c r="U11" s="270" t="n">
        <f aca="false">'Cash Flow'!C6*U6</f>
        <v>0</v>
      </c>
      <c r="V11" s="270" t="n">
        <f aca="false">'Cash Flow'!C6*V6</f>
        <v>0</v>
      </c>
      <c r="W11" s="270" t="n">
        <f aca="false">'Cash Flow'!C6*W6</f>
        <v>0</v>
      </c>
      <c r="X11" s="270" t="n">
        <f aca="false">'Cash Flow'!C6*X6</f>
        <v>0</v>
      </c>
      <c r="Y11" s="270" t="n">
        <f aca="false">'Cash Flow'!C6*Y6</f>
        <v>0</v>
      </c>
      <c r="Z11" s="270" t="n">
        <f aca="false">'Cash Flow'!D6*Z6</f>
        <v>66666.6666666667</v>
      </c>
      <c r="AA11" s="270" t="n">
        <f aca="false">'Cash Flow'!D6*AA6</f>
        <v>66666.6666666667</v>
      </c>
      <c r="AB11" s="270" t="n">
        <f aca="false">'Cash Flow'!D6*AB6</f>
        <v>66666.6666666667</v>
      </c>
      <c r="AC11" s="270" t="n">
        <f aca="false">'Cash Flow'!D6*AC6</f>
        <v>76666.6666666667</v>
      </c>
      <c r="AD11" s="270" t="n">
        <f aca="false">'Cash Flow'!D6*AD6</f>
        <v>76666.6666666667</v>
      </c>
      <c r="AE11" s="270" t="n">
        <f aca="false">'Cash Flow'!D6*AE6</f>
        <v>76666.6666666667</v>
      </c>
      <c r="AF11" s="270" t="n">
        <f aca="false">'Cash Flow'!D6*AF6</f>
        <v>90000</v>
      </c>
      <c r="AG11" s="270" t="n">
        <f aca="false">'Cash Flow'!D6*AG6</f>
        <v>90000</v>
      </c>
      <c r="AH11" s="270" t="n">
        <f aca="false">'Cash Flow'!D6*AH6</f>
        <v>90000</v>
      </c>
      <c r="AI11" s="270" t="n">
        <f aca="false">'Cash Flow'!D6*AI6</f>
        <v>100000</v>
      </c>
      <c r="AJ11" s="270" t="n">
        <f aca="false">'Cash Flow'!D6*AJ6</f>
        <v>100000</v>
      </c>
      <c r="AK11" s="270" t="n">
        <f aca="false">'Cash Flow'!D6*AK6</f>
        <v>100000</v>
      </c>
      <c r="AL11" s="270" t="n">
        <f aca="false">'Cash Flow'!E6*AL6</f>
        <v>100000</v>
      </c>
      <c r="AM11" s="270" t="n">
        <f aca="false">'Cash Flow'!E6*AM6</f>
        <v>100000</v>
      </c>
      <c r="AN11" s="270" t="n">
        <f aca="false">'Cash Flow'!E6*AN6</f>
        <v>100000</v>
      </c>
      <c r="AO11" s="270" t="n">
        <f aca="false">'Cash Flow'!E6*AO6</f>
        <v>115000</v>
      </c>
      <c r="AP11" s="270" t="n">
        <f aca="false">'Cash Flow'!E6*AP6</f>
        <v>115000</v>
      </c>
      <c r="AQ11" s="270" t="n">
        <f aca="false">'Cash Flow'!E6*AQ6</f>
        <v>115000</v>
      </c>
      <c r="AR11" s="270" t="n">
        <f aca="false">'Cash Flow'!E6*AR6</f>
        <v>135000</v>
      </c>
      <c r="AS11" s="270" t="n">
        <f aca="false">'Cash Flow'!E6*AS6</f>
        <v>135000</v>
      </c>
      <c r="AT11" s="270" t="n">
        <f aca="false">'Cash Flow'!E6*AT6</f>
        <v>135000</v>
      </c>
      <c r="AU11" s="270" t="n">
        <f aca="false">'Cash Flow'!E6*AU6</f>
        <v>150000</v>
      </c>
      <c r="AV11" s="270" t="n">
        <f aca="false">'Cash Flow'!E6*AV6</f>
        <v>150000</v>
      </c>
      <c r="AW11" s="270" t="n">
        <f aca="false">'Cash Flow'!E6*AW6</f>
        <v>150000</v>
      </c>
      <c r="AX11" s="270" t="n">
        <f aca="false">'Cash Flow'!F6*AX6</f>
        <v>133333.333333333</v>
      </c>
      <c r="AY11" s="270" t="n">
        <f aca="false">'Cash Flow'!F6*AY6</f>
        <v>133333.333333333</v>
      </c>
      <c r="AZ11" s="270" t="n">
        <f aca="false">'Cash Flow'!F6*AZ6</f>
        <v>133333.333333333</v>
      </c>
      <c r="BA11" s="270" t="n">
        <f aca="false">'Cash Flow'!F6*BA6</f>
        <v>153333.333333333</v>
      </c>
      <c r="BB11" s="270" t="n">
        <f aca="false">'Cash Flow'!F6*BB6</f>
        <v>153333.333333333</v>
      </c>
      <c r="BC11" s="270" t="n">
        <f aca="false">'Cash Flow'!F6*BC6</f>
        <v>153333.333333333</v>
      </c>
      <c r="BD11" s="270" t="n">
        <f aca="false">'Cash Flow'!F6*BD6</f>
        <v>180000</v>
      </c>
      <c r="BE11" s="270" t="n">
        <f aca="false">'Cash Flow'!F6*BE6</f>
        <v>180000</v>
      </c>
      <c r="BF11" s="270" t="n">
        <f aca="false">'Cash Flow'!F6*BF6</f>
        <v>180000</v>
      </c>
      <c r="BG11" s="270" t="n">
        <f aca="false">'Cash Flow'!F6*BG6</f>
        <v>200000</v>
      </c>
      <c r="BH11" s="270" t="n">
        <f aca="false">'Cash Flow'!F6*BH6</f>
        <v>200000</v>
      </c>
      <c r="BI11" s="270" t="n">
        <f aca="false">'Cash Flow'!F6*BI6</f>
        <v>200000</v>
      </c>
    </row>
    <row r="12" customFormat="false" ht="15" hidden="false" customHeight="true" outlineLevel="0" collapsed="false">
      <c r="A12" s="102" t="s">
        <v>443</v>
      </c>
      <c r="B12" s="270" t="n">
        <f aca="false">'Cash Flow'!B7*B6</f>
        <v>0</v>
      </c>
      <c r="C12" s="270" t="n">
        <f aca="false">'Cash Flow'!B7*C6</f>
        <v>44297.7944785714</v>
      </c>
      <c r="D12" s="270" t="n">
        <f aca="false">'Cash Flow'!B7*D6</f>
        <v>44297.7944785714</v>
      </c>
      <c r="E12" s="270" t="n">
        <f aca="false">'Cash Flow'!B7*E6</f>
        <v>50942.4636503572</v>
      </c>
      <c r="F12" s="270" t="n">
        <f aca="false">'Cash Flow'!B7*F6</f>
        <v>50942.4636503572</v>
      </c>
      <c r="G12" s="270" t="n">
        <f aca="false">'Cash Flow'!B7*G6</f>
        <v>50942.4636503572</v>
      </c>
      <c r="H12" s="270" t="n">
        <f aca="false">'Cash Flow'!B7*H6</f>
        <v>59802.0225460715</v>
      </c>
      <c r="I12" s="270" t="n">
        <f aca="false">'Cash Flow'!B7*I6</f>
        <v>59802.0225460715</v>
      </c>
      <c r="J12" s="270" t="n">
        <f aca="false">'Cash Flow'!B7*J6</f>
        <v>59802.0225460715</v>
      </c>
      <c r="K12" s="270" t="n">
        <f aca="false">'Cash Flow'!B7*K6</f>
        <v>66446.691717857</v>
      </c>
      <c r="L12" s="270" t="n">
        <f aca="false">'Cash Flow'!B7*L6</f>
        <v>66446.691717857</v>
      </c>
      <c r="M12" s="270" t="n">
        <f aca="false">'Cash Flow'!B7*M6</f>
        <v>66446.691717857</v>
      </c>
      <c r="N12" s="270" t="n">
        <f aca="false">'Cash Flow'!C7*N6</f>
        <v>863859.83222</v>
      </c>
      <c r="O12" s="270" t="n">
        <f aca="false">'Cash Flow'!C7*O6</f>
        <v>863859.83222</v>
      </c>
      <c r="P12" s="270" t="n">
        <f aca="false">'Cash Flow'!C7*P6</f>
        <v>863859.83222</v>
      </c>
      <c r="Q12" s="270" t="n">
        <f aca="false">'Cash Flow'!C7*Q6</f>
        <v>993438.807053</v>
      </c>
      <c r="R12" s="270" t="n">
        <f aca="false">'Cash Flow'!C7*R6</f>
        <v>993438.807053</v>
      </c>
      <c r="S12" s="270" t="n">
        <f aca="false">'Cash Flow'!C7*S6</f>
        <v>993438.807053</v>
      </c>
      <c r="T12" s="270" t="n">
        <f aca="false">'Cash Flow'!C7*T6</f>
        <v>1166210.773497</v>
      </c>
      <c r="U12" s="270" t="n">
        <f aca="false">'Cash Flow'!C7*U6</f>
        <v>1166210.773497</v>
      </c>
      <c r="V12" s="270" t="n">
        <f aca="false">'Cash Flow'!C7*V6</f>
        <v>1166210.773497</v>
      </c>
      <c r="W12" s="270" t="n">
        <f aca="false">'Cash Flow'!C7*W6</f>
        <v>1295789.74833</v>
      </c>
      <c r="X12" s="270" t="n">
        <f aca="false">'Cash Flow'!C7*X6</f>
        <v>1295789.74833</v>
      </c>
      <c r="Y12" s="270" t="n">
        <f aca="false">'Cash Flow'!C7*Y6</f>
        <v>1295789.74833</v>
      </c>
      <c r="Z12" s="270" t="n">
        <f aca="false">'Cash Flow'!D7*Z6</f>
        <v>827918.22384</v>
      </c>
      <c r="AA12" s="270" t="n">
        <f aca="false">'Cash Flow'!D7*AA6</f>
        <v>827918.22384</v>
      </c>
      <c r="AB12" s="270" t="n">
        <f aca="false">'Cash Flow'!D7*AB6</f>
        <v>827918.22384</v>
      </c>
      <c r="AC12" s="270" t="n">
        <f aca="false">'Cash Flow'!D7*AC6</f>
        <v>952105.957416</v>
      </c>
      <c r="AD12" s="270" t="n">
        <f aca="false">'Cash Flow'!D7*AD6</f>
        <v>952105.957416</v>
      </c>
      <c r="AE12" s="270" t="n">
        <f aca="false">'Cash Flow'!D7*AE6</f>
        <v>952105.957416</v>
      </c>
      <c r="AF12" s="270" t="n">
        <f aca="false">'Cash Flow'!D7*AF6</f>
        <v>1117689.602184</v>
      </c>
      <c r="AG12" s="270" t="n">
        <f aca="false">'Cash Flow'!D7*AG6</f>
        <v>1117689.602184</v>
      </c>
      <c r="AH12" s="270" t="n">
        <f aca="false">'Cash Flow'!D7*AH6</f>
        <v>1117689.602184</v>
      </c>
      <c r="AI12" s="270" t="n">
        <f aca="false">'Cash Flow'!D7*AI6</f>
        <v>1241877.33576</v>
      </c>
      <c r="AJ12" s="270" t="n">
        <f aca="false">'Cash Flow'!D7*AJ6</f>
        <v>1241877.33576</v>
      </c>
      <c r="AK12" s="270" t="n">
        <f aca="false">'Cash Flow'!D7*AK6</f>
        <v>1241877.33576</v>
      </c>
      <c r="AL12" s="270" t="n">
        <f aca="false">'Cash Flow'!E7*AL6</f>
        <v>1601750.934304</v>
      </c>
      <c r="AM12" s="270" t="n">
        <f aca="false">'Cash Flow'!E7*AM6</f>
        <v>1601750.934304</v>
      </c>
      <c r="AN12" s="270" t="n">
        <f aca="false">'Cash Flow'!E7*AN6</f>
        <v>1601750.934304</v>
      </c>
      <c r="AO12" s="270" t="n">
        <f aca="false">'Cash Flow'!E7*AO6</f>
        <v>1842013.5744496</v>
      </c>
      <c r="AP12" s="270" t="n">
        <f aca="false">'Cash Flow'!E7*AP6</f>
        <v>1842013.5744496</v>
      </c>
      <c r="AQ12" s="270" t="n">
        <f aca="false">'Cash Flow'!E7*AQ6</f>
        <v>1842013.5744496</v>
      </c>
      <c r="AR12" s="270" t="n">
        <f aca="false">'Cash Flow'!E7*AR6</f>
        <v>2162363.7613104</v>
      </c>
      <c r="AS12" s="270" t="n">
        <f aca="false">'Cash Flow'!E7*AS6</f>
        <v>2162363.7613104</v>
      </c>
      <c r="AT12" s="270" t="n">
        <f aca="false">'Cash Flow'!E7*AT6</f>
        <v>2162363.7613104</v>
      </c>
      <c r="AU12" s="270" t="n">
        <f aca="false">'Cash Flow'!E7*AU6</f>
        <v>2402626.401456</v>
      </c>
      <c r="AV12" s="270" t="n">
        <f aca="false">'Cash Flow'!E7*AV6</f>
        <v>2402626.401456</v>
      </c>
      <c r="AW12" s="270" t="n">
        <f aca="false">'Cash Flow'!E7*AW6</f>
        <v>2402626.401456</v>
      </c>
      <c r="AX12" s="270" t="n">
        <f aca="false">'Cash Flow'!F7*AX6</f>
        <v>2916050.5605824</v>
      </c>
      <c r="AY12" s="270" t="n">
        <f aca="false">'Cash Flow'!F7*AY6</f>
        <v>2916050.5605824</v>
      </c>
      <c r="AZ12" s="270" t="n">
        <f aca="false">'Cash Flow'!F7*AZ6</f>
        <v>2916050.5605824</v>
      </c>
      <c r="BA12" s="270" t="n">
        <f aca="false">'Cash Flow'!F7*BA6</f>
        <v>3353458.14466976</v>
      </c>
      <c r="BB12" s="270" t="n">
        <f aca="false">'Cash Flow'!F7*BB6</f>
        <v>3353458.14466976</v>
      </c>
      <c r="BC12" s="270" t="n">
        <f aca="false">'Cash Flow'!F7*BC6</f>
        <v>3353458.14466976</v>
      </c>
      <c r="BD12" s="270" t="n">
        <f aca="false">'Cash Flow'!F7*BD6</f>
        <v>3936668.25678624</v>
      </c>
      <c r="BE12" s="270" t="n">
        <f aca="false">'Cash Flow'!F7*BE6</f>
        <v>3936668.25678624</v>
      </c>
      <c r="BF12" s="270" t="n">
        <f aca="false">'Cash Flow'!F7*BF6</f>
        <v>3936668.25678624</v>
      </c>
      <c r="BG12" s="270" t="n">
        <f aca="false">'Cash Flow'!F7*BG6</f>
        <v>4374075.8408736</v>
      </c>
      <c r="BH12" s="270" t="n">
        <f aca="false">'Cash Flow'!F7*BH6</f>
        <v>4374075.8408736</v>
      </c>
      <c r="BI12" s="270" t="n">
        <f aca="false">'Cash Flow'!F7*BI6</f>
        <v>4374075.8408736</v>
      </c>
    </row>
    <row r="13" customFormat="false" ht="15" hidden="false" customHeight="true" outlineLevel="0" collapsed="false">
      <c r="A13" s="102" t="s">
        <v>444</v>
      </c>
      <c r="B13" s="270" t="n">
        <f aca="false">'Cash Flow'!B8*B6</f>
        <v>-0</v>
      </c>
      <c r="C13" s="270" t="n">
        <f aca="false">'Cash Flow'!B8*C6</f>
        <v>-1476593.14928571</v>
      </c>
      <c r="D13" s="270" t="n">
        <f aca="false">'Cash Flow'!B8*D6</f>
        <v>-1476593.14928571</v>
      </c>
      <c r="E13" s="270" t="n">
        <f aca="false">'Cash Flow'!B8*E6</f>
        <v>-1698082.12167857</v>
      </c>
      <c r="F13" s="270" t="n">
        <f aca="false">'Cash Flow'!B8*F6</f>
        <v>-1698082.12167857</v>
      </c>
      <c r="G13" s="270" t="n">
        <f aca="false">'Cash Flow'!B8*G6</f>
        <v>-1698082.12167857</v>
      </c>
      <c r="H13" s="270" t="n">
        <f aca="false">'Cash Flow'!B8*H6</f>
        <v>-1993400.75153572</v>
      </c>
      <c r="I13" s="270" t="n">
        <f aca="false">'Cash Flow'!B8*I6</f>
        <v>-1993400.75153572</v>
      </c>
      <c r="J13" s="270" t="n">
        <f aca="false">'Cash Flow'!B8*J6</f>
        <v>-1993400.75153572</v>
      </c>
      <c r="K13" s="270" t="n">
        <f aca="false">'Cash Flow'!B8*K6</f>
        <v>-2214889.72392857</v>
      </c>
      <c r="L13" s="270" t="n">
        <f aca="false">'Cash Flow'!B8*L6</f>
        <v>-2214889.72392857</v>
      </c>
      <c r="M13" s="270" t="n">
        <f aca="false">'Cash Flow'!B8*M6</f>
        <v>-2214889.72392857</v>
      </c>
      <c r="N13" s="270" t="n">
        <f aca="false">'Cash Flow'!C8*N6</f>
        <v>-28795327.7406667</v>
      </c>
      <c r="O13" s="270" t="n">
        <f aca="false">'Cash Flow'!C8*O6</f>
        <v>-28795327.7406667</v>
      </c>
      <c r="P13" s="270" t="n">
        <f aca="false">'Cash Flow'!C8*P6</f>
        <v>-28795327.7406667</v>
      </c>
      <c r="Q13" s="270" t="n">
        <f aca="false">'Cash Flow'!C8*Q6</f>
        <v>-33114626.9017667</v>
      </c>
      <c r="R13" s="270" t="n">
        <f aca="false">'Cash Flow'!C8*R6</f>
        <v>-33114626.9017667</v>
      </c>
      <c r="S13" s="270" t="n">
        <f aca="false">'Cash Flow'!C8*S6</f>
        <v>-33114626.9017667</v>
      </c>
      <c r="T13" s="270" t="n">
        <f aca="false">'Cash Flow'!C8*T6</f>
        <v>-38873692.4499</v>
      </c>
      <c r="U13" s="270" t="n">
        <f aca="false">'Cash Flow'!C8*U6</f>
        <v>-38873692.4499</v>
      </c>
      <c r="V13" s="270" t="n">
        <f aca="false">'Cash Flow'!C8*V6</f>
        <v>-38873692.4499</v>
      </c>
      <c r="W13" s="270" t="n">
        <f aca="false">'Cash Flow'!C8*W6</f>
        <v>-43192991.611</v>
      </c>
      <c r="X13" s="270" t="n">
        <f aca="false">'Cash Flow'!C8*X6</f>
        <v>-43192991.611</v>
      </c>
      <c r="Y13" s="270" t="n">
        <f aca="false">'Cash Flow'!C8*Y6</f>
        <v>-43192991.611</v>
      </c>
      <c r="Z13" s="270" t="n">
        <f aca="false">'Cash Flow'!D8*Z6</f>
        <v>-27597274.128</v>
      </c>
      <c r="AA13" s="270" t="n">
        <f aca="false">'Cash Flow'!D8*AA6</f>
        <v>-27597274.128</v>
      </c>
      <c r="AB13" s="270" t="n">
        <f aca="false">'Cash Flow'!D8*AB6</f>
        <v>-27597274.128</v>
      </c>
      <c r="AC13" s="270" t="n">
        <f aca="false">'Cash Flow'!D8*AC6</f>
        <v>-31736865.2472</v>
      </c>
      <c r="AD13" s="270" t="n">
        <f aca="false">'Cash Flow'!D8*AD6</f>
        <v>-31736865.2472</v>
      </c>
      <c r="AE13" s="270" t="n">
        <f aca="false">'Cash Flow'!D8*AE6</f>
        <v>-31736865.2472</v>
      </c>
      <c r="AF13" s="270" t="n">
        <f aca="false">'Cash Flow'!D8*AF6</f>
        <v>-37256320.0728</v>
      </c>
      <c r="AG13" s="270" t="n">
        <f aca="false">'Cash Flow'!D8*AG6</f>
        <v>-37256320.0728</v>
      </c>
      <c r="AH13" s="270" t="n">
        <f aca="false">'Cash Flow'!D8*AH6</f>
        <v>-37256320.0728</v>
      </c>
      <c r="AI13" s="270" t="n">
        <f aca="false">'Cash Flow'!D8*AI6</f>
        <v>-41395911.192</v>
      </c>
      <c r="AJ13" s="270" t="n">
        <f aca="false">'Cash Flow'!D8*AJ6</f>
        <v>-41395911.192</v>
      </c>
      <c r="AK13" s="270" t="n">
        <f aca="false">'Cash Flow'!D8*AK6</f>
        <v>-41395911.192</v>
      </c>
      <c r="AL13" s="270" t="n">
        <f aca="false">'Cash Flow'!E8*AL6</f>
        <v>-53391697.8101333</v>
      </c>
      <c r="AM13" s="270" t="n">
        <f aca="false">'Cash Flow'!E8*AM6</f>
        <v>-53391697.8101333</v>
      </c>
      <c r="AN13" s="270" t="n">
        <f aca="false">'Cash Flow'!E8*AN6</f>
        <v>-53391697.8101333</v>
      </c>
      <c r="AO13" s="270" t="n">
        <f aca="false">'Cash Flow'!E8*AO6</f>
        <v>-61400452.4816534</v>
      </c>
      <c r="AP13" s="270" t="n">
        <f aca="false">'Cash Flow'!E8*AP6</f>
        <v>-61400452.4816534</v>
      </c>
      <c r="AQ13" s="270" t="n">
        <f aca="false">'Cash Flow'!E8*AQ6</f>
        <v>-61400452.4816534</v>
      </c>
      <c r="AR13" s="270" t="n">
        <f aca="false">'Cash Flow'!E8*AR6</f>
        <v>-72078792.04368</v>
      </c>
      <c r="AS13" s="270" t="n">
        <f aca="false">'Cash Flow'!E8*AS6</f>
        <v>-72078792.04368</v>
      </c>
      <c r="AT13" s="270" t="n">
        <f aca="false">'Cash Flow'!E8*AT6</f>
        <v>-72078792.04368</v>
      </c>
      <c r="AU13" s="270" t="n">
        <f aca="false">'Cash Flow'!E8*AU6</f>
        <v>-80087546.7152</v>
      </c>
      <c r="AV13" s="270" t="n">
        <f aca="false">'Cash Flow'!E8*AV6</f>
        <v>-80087546.7152</v>
      </c>
      <c r="AW13" s="270" t="n">
        <f aca="false">'Cash Flow'!E8*AW6</f>
        <v>-80087546.7152</v>
      </c>
      <c r="AX13" s="270" t="n">
        <f aca="false">'Cash Flow'!F8*AX6</f>
        <v>-97201685.3527467</v>
      </c>
      <c r="AY13" s="270" t="n">
        <f aca="false">'Cash Flow'!F8*AY6</f>
        <v>-97201685.3527467</v>
      </c>
      <c r="AZ13" s="270" t="n">
        <f aca="false">'Cash Flow'!F8*AZ6</f>
        <v>-97201685.3527467</v>
      </c>
      <c r="BA13" s="270" t="n">
        <f aca="false">'Cash Flow'!F8*BA6</f>
        <v>-111781938.155659</v>
      </c>
      <c r="BB13" s="270" t="n">
        <f aca="false">'Cash Flow'!F8*BB6</f>
        <v>-111781938.155659</v>
      </c>
      <c r="BC13" s="270" t="n">
        <f aca="false">'Cash Flow'!F8*BC6</f>
        <v>-111781938.155659</v>
      </c>
      <c r="BD13" s="270" t="n">
        <f aca="false">'Cash Flow'!F8*BD6</f>
        <v>-131222275.226208</v>
      </c>
      <c r="BE13" s="270" t="n">
        <f aca="false">'Cash Flow'!F8*BE6</f>
        <v>-131222275.226208</v>
      </c>
      <c r="BF13" s="270" t="n">
        <f aca="false">'Cash Flow'!F8*BF6</f>
        <v>-131222275.226208</v>
      </c>
      <c r="BG13" s="270" t="n">
        <f aca="false">'Cash Flow'!F8*BG6</f>
        <v>-145802528.02912</v>
      </c>
      <c r="BH13" s="270" t="n">
        <f aca="false">'Cash Flow'!F8*BH6</f>
        <v>-145802528.02912</v>
      </c>
      <c r="BI13" s="270" t="n">
        <f aca="false">'Cash Flow'!F8*BI6</f>
        <v>-145802528.02912</v>
      </c>
    </row>
    <row r="14" customFormat="false" ht="15" hidden="false" customHeight="true" outlineLevel="0" collapsed="false">
      <c r="A14" s="102" t="s">
        <v>445</v>
      </c>
      <c r="B14" s="270" t="n">
        <f aca="false">'Cash Flow'!B9*B6</f>
        <v>0</v>
      </c>
      <c r="C14" s="270" t="n">
        <f aca="false">'Cash Flow'!B9*C6</f>
        <v>428571.428571428</v>
      </c>
      <c r="D14" s="270" t="n">
        <f aca="false">'Cash Flow'!B9*D6</f>
        <v>428571.428571428</v>
      </c>
      <c r="E14" s="270" t="n">
        <f aca="false">'Cash Flow'!B9*E6</f>
        <v>492857.142857143</v>
      </c>
      <c r="F14" s="270" t="n">
        <f aca="false">'Cash Flow'!B9*F6</f>
        <v>492857.142857143</v>
      </c>
      <c r="G14" s="270" t="n">
        <f aca="false">'Cash Flow'!B9*G6</f>
        <v>492857.142857143</v>
      </c>
      <c r="H14" s="270" t="n">
        <f aca="false">'Cash Flow'!B9*H6</f>
        <v>578571.428571429</v>
      </c>
      <c r="I14" s="270" t="n">
        <f aca="false">'Cash Flow'!B9*I6</f>
        <v>578571.428571429</v>
      </c>
      <c r="J14" s="270" t="n">
        <f aca="false">'Cash Flow'!B9*J6</f>
        <v>578571.428571429</v>
      </c>
      <c r="K14" s="270" t="n">
        <f aca="false">'Cash Flow'!B9*K6</f>
        <v>642857.142857142</v>
      </c>
      <c r="L14" s="270" t="n">
        <f aca="false">'Cash Flow'!B9*L6</f>
        <v>642857.142857142</v>
      </c>
      <c r="M14" s="270" t="n">
        <f aca="false">'Cash Flow'!B9*M6</f>
        <v>642857.142857142</v>
      </c>
      <c r="N14" s="270" t="n">
        <f aca="false">'Cash Flow'!C9*N6</f>
        <v>100000</v>
      </c>
      <c r="O14" s="270" t="n">
        <f aca="false">'Cash Flow'!C9*O6</f>
        <v>100000</v>
      </c>
      <c r="P14" s="270" t="n">
        <f aca="false">'Cash Flow'!C9*P6</f>
        <v>100000</v>
      </c>
      <c r="Q14" s="270" t="n">
        <f aca="false">'Cash Flow'!C9*Q6</f>
        <v>115000</v>
      </c>
      <c r="R14" s="270" t="n">
        <f aca="false">'Cash Flow'!C9*R6</f>
        <v>115000</v>
      </c>
      <c r="S14" s="270" t="n">
        <f aca="false">'Cash Flow'!C9*S6</f>
        <v>115000</v>
      </c>
      <c r="T14" s="270" t="n">
        <f aca="false">'Cash Flow'!C9*T6</f>
        <v>135000</v>
      </c>
      <c r="U14" s="270" t="n">
        <f aca="false">'Cash Flow'!C9*U6</f>
        <v>135000</v>
      </c>
      <c r="V14" s="270" t="n">
        <f aca="false">'Cash Flow'!C9*V6</f>
        <v>135000</v>
      </c>
      <c r="W14" s="270" t="n">
        <f aca="false">'Cash Flow'!C9*W6</f>
        <v>150000</v>
      </c>
      <c r="X14" s="270" t="n">
        <f aca="false">'Cash Flow'!C9*X6</f>
        <v>150000</v>
      </c>
      <c r="Y14" s="270" t="n">
        <f aca="false">'Cash Flow'!C9*Y6</f>
        <v>150000</v>
      </c>
      <c r="Z14" s="270" t="n">
        <f aca="false">'Cash Flow'!D9*Z6</f>
        <v>900000</v>
      </c>
      <c r="AA14" s="270" t="n">
        <f aca="false">'Cash Flow'!D9*AA6</f>
        <v>900000</v>
      </c>
      <c r="AB14" s="270" t="n">
        <f aca="false">'Cash Flow'!D9*AB6</f>
        <v>900000</v>
      </c>
      <c r="AC14" s="270" t="n">
        <f aca="false">'Cash Flow'!D9*AC6</f>
        <v>1035000</v>
      </c>
      <c r="AD14" s="270" t="n">
        <f aca="false">'Cash Flow'!D9*AD6</f>
        <v>1035000</v>
      </c>
      <c r="AE14" s="270" t="n">
        <f aca="false">'Cash Flow'!D9*AE6</f>
        <v>1035000</v>
      </c>
      <c r="AF14" s="270" t="n">
        <f aca="false">'Cash Flow'!D9*AF6</f>
        <v>1215000</v>
      </c>
      <c r="AG14" s="270" t="n">
        <f aca="false">'Cash Flow'!D9*AG6</f>
        <v>1215000</v>
      </c>
      <c r="AH14" s="270" t="n">
        <f aca="false">'Cash Flow'!D9*AH6</f>
        <v>1215000</v>
      </c>
      <c r="AI14" s="270" t="n">
        <f aca="false">'Cash Flow'!D9*AI6</f>
        <v>1350000</v>
      </c>
      <c r="AJ14" s="270" t="n">
        <f aca="false">'Cash Flow'!D9*AJ6</f>
        <v>1350000</v>
      </c>
      <c r="AK14" s="270" t="n">
        <f aca="false">'Cash Flow'!D9*AK6</f>
        <v>1350000</v>
      </c>
      <c r="AL14" s="270" t="n">
        <f aca="false">'Cash Flow'!E9*AL6</f>
        <v>1300000</v>
      </c>
      <c r="AM14" s="270" t="n">
        <f aca="false">'Cash Flow'!E9*AM6</f>
        <v>1300000</v>
      </c>
      <c r="AN14" s="270" t="n">
        <f aca="false">'Cash Flow'!E9*AN6</f>
        <v>1300000</v>
      </c>
      <c r="AO14" s="270" t="n">
        <f aca="false">'Cash Flow'!E9*AO6</f>
        <v>1495000</v>
      </c>
      <c r="AP14" s="270" t="n">
        <f aca="false">'Cash Flow'!E9*AP6</f>
        <v>1495000</v>
      </c>
      <c r="AQ14" s="270" t="n">
        <f aca="false">'Cash Flow'!E9*AQ6</f>
        <v>1495000</v>
      </c>
      <c r="AR14" s="270" t="n">
        <f aca="false">'Cash Flow'!E9*AR6</f>
        <v>1755000</v>
      </c>
      <c r="AS14" s="270" t="n">
        <f aca="false">'Cash Flow'!E9*AS6</f>
        <v>1755000</v>
      </c>
      <c r="AT14" s="270" t="n">
        <f aca="false">'Cash Flow'!E9*AT6</f>
        <v>1755000</v>
      </c>
      <c r="AU14" s="270" t="n">
        <f aca="false">'Cash Flow'!E9*AU6</f>
        <v>1950000</v>
      </c>
      <c r="AV14" s="270" t="n">
        <f aca="false">'Cash Flow'!E9*AV6</f>
        <v>1950000</v>
      </c>
      <c r="AW14" s="270" t="n">
        <f aca="false">'Cash Flow'!E9*AW6</f>
        <v>1950000</v>
      </c>
      <c r="AX14" s="270" t="n">
        <f aca="false">'Cash Flow'!F9*AX6</f>
        <v>2300000</v>
      </c>
      <c r="AY14" s="270" t="n">
        <f aca="false">'Cash Flow'!F9*AY6</f>
        <v>2300000</v>
      </c>
      <c r="AZ14" s="270" t="n">
        <f aca="false">'Cash Flow'!F9*AZ6</f>
        <v>2300000</v>
      </c>
      <c r="BA14" s="270" t="n">
        <f aca="false">'Cash Flow'!F9*BA6</f>
        <v>2645000</v>
      </c>
      <c r="BB14" s="270" t="n">
        <f aca="false">'Cash Flow'!F9*BB6</f>
        <v>2645000</v>
      </c>
      <c r="BC14" s="270" t="n">
        <f aca="false">'Cash Flow'!F9*BC6</f>
        <v>2645000</v>
      </c>
      <c r="BD14" s="270" t="n">
        <f aca="false">'Cash Flow'!F9*BD6</f>
        <v>3105000</v>
      </c>
      <c r="BE14" s="270" t="n">
        <f aca="false">'Cash Flow'!F9*BE6</f>
        <v>3105000</v>
      </c>
      <c r="BF14" s="270" t="n">
        <f aca="false">'Cash Flow'!F9*BF6</f>
        <v>3105000</v>
      </c>
      <c r="BG14" s="270" t="n">
        <f aca="false">'Cash Flow'!F9*BG6</f>
        <v>3450000</v>
      </c>
      <c r="BH14" s="270" t="n">
        <f aca="false">'Cash Flow'!F9*BH6</f>
        <v>3450000</v>
      </c>
      <c r="BI14" s="270" t="n">
        <f aca="false">'Cash Flow'!F9*BI6</f>
        <v>3450000</v>
      </c>
    </row>
    <row r="15" customFormat="false" ht="15" hidden="false" customHeight="true" outlineLevel="0" collapsed="false">
      <c r="A15" s="102" t="s">
        <v>446</v>
      </c>
      <c r="B15" s="270" t="n">
        <f aca="false">'Cash Flow'!B10*B6</f>
        <v>0</v>
      </c>
      <c r="C15" s="270" t="n">
        <f aca="false">'Cash Flow'!B10*C6</f>
        <v>0</v>
      </c>
      <c r="D15" s="270" t="n">
        <f aca="false">'Cash Flow'!B10*D6</f>
        <v>0</v>
      </c>
      <c r="E15" s="270" t="n">
        <f aca="false">'Cash Flow'!B10*E6</f>
        <v>0</v>
      </c>
      <c r="F15" s="270" t="n">
        <f aca="false">'Cash Flow'!B10*F6</f>
        <v>0</v>
      </c>
      <c r="G15" s="270" t="n">
        <f aca="false">'Cash Flow'!B10*G6</f>
        <v>0</v>
      </c>
      <c r="H15" s="270" t="n">
        <f aca="false">'Cash Flow'!B10*H6</f>
        <v>0</v>
      </c>
      <c r="I15" s="270" t="n">
        <f aca="false">'Cash Flow'!B10*I6</f>
        <v>0</v>
      </c>
      <c r="J15" s="270" t="n">
        <f aca="false">'Cash Flow'!B10*J6</f>
        <v>0</v>
      </c>
      <c r="K15" s="270" t="n">
        <f aca="false">'Cash Flow'!B10*K6</f>
        <v>0</v>
      </c>
      <c r="L15" s="270" t="n">
        <f aca="false">'Cash Flow'!B10*L6</f>
        <v>0</v>
      </c>
      <c r="M15" s="270" t="n">
        <f aca="false">'Cash Flow'!B10*M6</f>
        <v>0</v>
      </c>
      <c r="N15" s="270" t="n">
        <f aca="false">'Cash Flow'!C10*N6</f>
        <v>-0</v>
      </c>
      <c r="O15" s="270" t="n">
        <f aca="false">'Cash Flow'!C10*O6</f>
        <v>-0</v>
      </c>
      <c r="P15" s="270" t="n">
        <f aca="false">'Cash Flow'!C10*P6</f>
        <v>-0</v>
      </c>
      <c r="Q15" s="270" t="n">
        <f aca="false">'Cash Flow'!C10*Q6</f>
        <v>-0</v>
      </c>
      <c r="R15" s="270" t="n">
        <f aca="false">'Cash Flow'!C10*R6</f>
        <v>-0</v>
      </c>
      <c r="S15" s="270" t="n">
        <f aca="false">'Cash Flow'!C10*S6</f>
        <v>-0</v>
      </c>
      <c r="T15" s="270" t="n">
        <f aca="false">'Cash Flow'!C10*T6</f>
        <v>-0</v>
      </c>
      <c r="U15" s="270" t="n">
        <f aca="false">'Cash Flow'!C10*U6</f>
        <v>-0</v>
      </c>
      <c r="V15" s="270" t="n">
        <f aca="false">'Cash Flow'!C10*V6</f>
        <v>-0</v>
      </c>
      <c r="W15" s="270" t="n">
        <f aca="false">'Cash Flow'!C10*W6</f>
        <v>-0</v>
      </c>
      <c r="X15" s="270" t="n">
        <f aca="false">'Cash Flow'!C10*X6</f>
        <v>-0</v>
      </c>
      <c r="Y15" s="270" t="n">
        <f aca="false">'Cash Flow'!C10*Y6</f>
        <v>-0</v>
      </c>
      <c r="Z15" s="270" t="n">
        <f aca="false">'Cash Flow'!D10*Z6</f>
        <v>-0</v>
      </c>
      <c r="AA15" s="270" t="n">
        <f aca="false">'Cash Flow'!D10*AA6</f>
        <v>-0</v>
      </c>
      <c r="AB15" s="270" t="n">
        <f aca="false">'Cash Flow'!D10*AB6</f>
        <v>-0</v>
      </c>
      <c r="AC15" s="270" t="n">
        <f aca="false">'Cash Flow'!D10*AC6</f>
        <v>-0</v>
      </c>
      <c r="AD15" s="270" t="n">
        <f aca="false">'Cash Flow'!D10*AD6</f>
        <v>-0</v>
      </c>
      <c r="AE15" s="270" t="n">
        <f aca="false">'Cash Flow'!D10*AE6</f>
        <v>-0</v>
      </c>
      <c r="AF15" s="270" t="n">
        <f aca="false">'Cash Flow'!D10*AF6</f>
        <v>-0</v>
      </c>
      <c r="AG15" s="270" t="n">
        <f aca="false">'Cash Flow'!D10*AG6</f>
        <v>-0</v>
      </c>
      <c r="AH15" s="270" t="n">
        <f aca="false">'Cash Flow'!D10*AH6</f>
        <v>-0</v>
      </c>
      <c r="AI15" s="270" t="n">
        <f aca="false">'Cash Flow'!D10*AI6</f>
        <v>-0</v>
      </c>
      <c r="AJ15" s="270" t="n">
        <f aca="false">'Cash Flow'!D10*AJ6</f>
        <v>-0</v>
      </c>
      <c r="AK15" s="270" t="n">
        <f aca="false">'Cash Flow'!D10*AK6</f>
        <v>-0</v>
      </c>
      <c r="AL15" s="270" t="n">
        <f aca="false">'Cash Flow'!E10*AL6</f>
        <v>-0</v>
      </c>
      <c r="AM15" s="270" t="n">
        <f aca="false">'Cash Flow'!E10*AM6</f>
        <v>-0</v>
      </c>
      <c r="AN15" s="270" t="n">
        <f aca="false">'Cash Flow'!E10*AN6</f>
        <v>-0</v>
      </c>
      <c r="AO15" s="270" t="n">
        <f aca="false">'Cash Flow'!E10*AO6</f>
        <v>-0</v>
      </c>
      <c r="AP15" s="270" t="n">
        <f aca="false">'Cash Flow'!E10*AP6</f>
        <v>-0</v>
      </c>
      <c r="AQ15" s="270" t="n">
        <f aca="false">'Cash Flow'!E10*AQ6</f>
        <v>-0</v>
      </c>
      <c r="AR15" s="270" t="n">
        <f aca="false">'Cash Flow'!E10*AR6</f>
        <v>-0</v>
      </c>
      <c r="AS15" s="270" t="n">
        <f aca="false">'Cash Flow'!E10*AS6</f>
        <v>-0</v>
      </c>
      <c r="AT15" s="270" t="n">
        <f aca="false">'Cash Flow'!E10*AT6</f>
        <v>-0</v>
      </c>
      <c r="AU15" s="270" t="n">
        <f aca="false">'Cash Flow'!E10*AU6</f>
        <v>-0</v>
      </c>
      <c r="AV15" s="270" t="n">
        <f aca="false">'Cash Flow'!E10*AV6</f>
        <v>-0</v>
      </c>
      <c r="AW15" s="270" t="n">
        <f aca="false">'Cash Flow'!E10*AW6</f>
        <v>-0</v>
      </c>
      <c r="AX15" s="270" t="n">
        <f aca="false">'Cash Flow'!F10*AX6</f>
        <v>-0</v>
      </c>
      <c r="AY15" s="270" t="n">
        <f aca="false">'Cash Flow'!F10*AY6</f>
        <v>-0</v>
      </c>
      <c r="AZ15" s="270" t="n">
        <f aca="false">'Cash Flow'!F10*AZ6</f>
        <v>-0</v>
      </c>
      <c r="BA15" s="270" t="n">
        <f aca="false">'Cash Flow'!F10*BA6</f>
        <v>-0</v>
      </c>
      <c r="BB15" s="270" t="n">
        <f aca="false">'Cash Flow'!F10*BB6</f>
        <v>-0</v>
      </c>
      <c r="BC15" s="270" t="n">
        <f aca="false">'Cash Flow'!F10*BC6</f>
        <v>-0</v>
      </c>
      <c r="BD15" s="270" t="n">
        <f aca="false">'Cash Flow'!F10*BD6</f>
        <v>-0</v>
      </c>
      <c r="BE15" s="270" t="n">
        <f aca="false">'Cash Flow'!F10*BE6</f>
        <v>-0</v>
      </c>
      <c r="BF15" s="270" t="n">
        <f aca="false">'Cash Flow'!F10*BF6</f>
        <v>-0</v>
      </c>
      <c r="BG15" s="270" t="n">
        <f aca="false">'Cash Flow'!F10*BG6</f>
        <v>-0</v>
      </c>
      <c r="BH15" s="270" t="n">
        <f aca="false">'Cash Flow'!F10*BH6</f>
        <v>-0</v>
      </c>
      <c r="BI15" s="270" t="n">
        <f aca="false">'Cash Flow'!F10*BI6</f>
        <v>-0</v>
      </c>
    </row>
    <row r="16" customFormat="false" ht="15" hidden="false" customHeight="true" outlineLevel="0" collapsed="false">
      <c r="A16" s="268" t="s">
        <v>447</v>
      </c>
      <c r="B16" s="269" t="n">
        <f aca="false">SUM(B10:B15)</f>
        <v>0</v>
      </c>
      <c r="C16" s="269" t="n">
        <f aca="false">SUM(C10:C15)</f>
        <v>-1587071.83785714</v>
      </c>
      <c r="D16" s="269" t="n">
        <f aca="false">SUM(D10:D15)</f>
        <v>-1587071.83785714</v>
      </c>
      <c r="E16" s="269" t="n">
        <f aca="false">SUM(E10:E15)</f>
        <v>-1825132.61353572</v>
      </c>
      <c r="F16" s="269" t="n">
        <f aca="false">SUM(F10:F15)</f>
        <v>-1825132.61353572</v>
      </c>
      <c r="G16" s="269" t="n">
        <f aca="false">SUM(G10:G15)</f>
        <v>-1825132.61353572</v>
      </c>
      <c r="H16" s="269" t="n">
        <f aca="false">SUM(H10:H15)</f>
        <v>-2142546.98110714</v>
      </c>
      <c r="I16" s="269" t="n">
        <f aca="false">SUM(I10:I15)</f>
        <v>-2142546.98110714</v>
      </c>
      <c r="J16" s="269" t="n">
        <f aca="false">SUM(J10:J15)</f>
        <v>-2142546.98110714</v>
      </c>
      <c r="K16" s="269" t="n">
        <f aca="false">SUM(K10:K15)</f>
        <v>-2380607.75678571</v>
      </c>
      <c r="L16" s="269" t="n">
        <f aca="false">SUM(L10:L15)</f>
        <v>-2380607.75678571</v>
      </c>
      <c r="M16" s="269" t="n">
        <f aca="false">SUM(M10:M15)</f>
        <v>-2380607.75678571</v>
      </c>
      <c r="N16" s="269" t="n">
        <f aca="false">SUM(N10:N15)</f>
        <v>-27214560.17021</v>
      </c>
      <c r="O16" s="269" t="n">
        <f aca="false">SUM(O10:O15)</f>
        <v>-27214560.17021</v>
      </c>
      <c r="P16" s="269" t="n">
        <f aca="false">SUM(P10:P15)</f>
        <v>-27214560.17021</v>
      </c>
      <c r="Q16" s="269" t="n">
        <f aca="false">SUM(Q10:Q15)</f>
        <v>-31296744.1957415</v>
      </c>
      <c r="R16" s="269" t="n">
        <f aca="false">SUM(R10:R15)</f>
        <v>-31296744.1957415</v>
      </c>
      <c r="S16" s="269" t="n">
        <f aca="false">SUM(S10:S15)</f>
        <v>-31296744.1957415</v>
      </c>
      <c r="T16" s="269" t="n">
        <f aca="false">SUM(T10:T15)</f>
        <v>-36739656.2297835</v>
      </c>
      <c r="U16" s="269" t="n">
        <f aca="false">SUM(U10:U15)</f>
        <v>-36739656.2297835</v>
      </c>
      <c r="V16" s="269" t="n">
        <f aca="false">SUM(V10:V15)</f>
        <v>-36739656.2297835</v>
      </c>
      <c r="W16" s="269" t="n">
        <f aca="false">SUM(W10:W15)</f>
        <v>-40821840.255315</v>
      </c>
      <c r="X16" s="269" t="n">
        <f aca="false">SUM(X10:X15)</f>
        <v>-40821840.255315</v>
      </c>
      <c r="Y16" s="269" t="n">
        <f aca="false">SUM(Y10:Y15)</f>
        <v>-40821840.255315</v>
      </c>
      <c r="Z16" s="269" t="n">
        <f aca="false">SUM(Z10:Z15)</f>
        <v>-20685935.1288227</v>
      </c>
      <c r="AA16" s="269" t="n">
        <f aca="false">SUM(AA10:AA15)</f>
        <v>-20685935.1288227</v>
      </c>
      <c r="AB16" s="269" t="n">
        <f aca="false">SUM(AB10:AB15)</f>
        <v>-20685935.1288227</v>
      </c>
      <c r="AC16" s="269" t="n">
        <f aca="false">SUM(AC10:AC15)</f>
        <v>-23788825.3981461</v>
      </c>
      <c r="AD16" s="269" t="n">
        <f aca="false">SUM(AD10:AD15)</f>
        <v>-23788825.3981461</v>
      </c>
      <c r="AE16" s="269" t="n">
        <f aca="false">SUM(AE10:AE15)</f>
        <v>-23788825.3981461</v>
      </c>
      <c r="AF16" s="269" t="n">
        <f aca="false">SUM(AF10:AF15)</f>
        <v>-27926012.4239106</v>
      </c>
      <c r="AG16" s="269" t="n">
        <f aca="false">SUM(AG10:AG15)</f>
        <v>-27926012.4239106</v>
      </c>
      <c r="AH16" s="269" t="n">
        <f aca="false">SUM(AH10:AH15)</f>
        <v>-27926012.4239106</v>
      </c>
      <c r="AI16" s="269" t="n">
        <f aca="false">SUM(AI10:AI15)</f>
        <v>-31028902.693234</v>
      </c>
      <c r="AJ16" s="269" t="n">
        <f aca="false">SUM(AJ10:AJ15)</f>
        <v>-31028902.693234</v>
      </c>
      <c r="AK16" s="269" t="n">
        <f aca="false">SUM(AK10:AK15)</f>
        <v>-31028902.693234</v>
      </c>
      <c r="AL16" s="269" t="n">
        <f aca="false">SUM(AL10:AL15)</f>
        <v>-39727224.5728461</v>
      </c>
      <c r="AM16" s="269" t="n">
        <f aca="false">SUM(AM10:AM15)</f>
        <v>-39727224.5728461</v>
      </c>
      <c r="AN16" s="269" t="n">
        <f aca="false">SUM(AN10:AN15)</f>
        <v>-39727224.5728461</v>
      </c>
      <c r="AO16" s="269" t="n">
        <f aca="false">SUM(AO10:AO15)</f>
        <v>-45686308.2587731</v>
      </c>
      <c r="AP16" s="269" t="n">
        <f aca="false">SUM(AP10:AP15)</f>
        <v>-45686308.2587731</v>
      </c>
      <c r="AQ16" s="269" t="n">
        <f aca="false">SUM(AQ10:AQ15)</f>
        <v>-45686308.2587731</v>
      </c>
      <c r="AR16" s="269" t="n">
        <f aca="false">SUM(AR10:AR15)</f>
        <v>-53631753.1733423</v>
      </c>
      <c r="AS16" s="269" t="n">
        <f aca="false">SUM(AS10:AS15)</f>
        <v>-53631753.1733423</v>
      </c>
      <c r="AT16" s="269" t="n">
        <f aca="false">SUM(AT10:AT15)</f>
        <v>-53631753.1733423</v>
      </c>
      <c r="AU16" s="269" t="n">
        <f aca="false">SUM(AU10:AU15)</f>
        <v>-59590836.8592692</v>
      </c>
      <c r="AV16" s="269" t="n">
        <f aca="false">SUM(AV10:AV15)</f>
        <v>-59590836.8592692</v>
      </c>
      <c r="AW16" s="269" t="n">
        <f aca="false">SUM(AW10:AW15)</f>
        <v>-59590836.8592692</v>
      </c>
      <c r="AX16" s="269" t="n">
        <f aca="false">SUM(AX10:AX15)</f>
        <v>-72534969.4961059</v>
      </c>
      <c r="AY16" s="269" t="n">
        <f aca="false">SUM(AY10:AY15)</f>
        <v>-72534969.4961059</v>
      </c>
      <c r="AZ16" s="269" t="n">
        <f aca="false">SUM(AZ10:AZ15)</f>
        <v>-72534969.4961059</v>
      </c>
      <c r="BA16" s="269" t="n">
        <f aca="false">SUM(BA10:BA15)</f>
        <v>-83415214.9205218</v>
      </c>
      <c r="BB16" s="269" t="n">
        <f aca="false">SUM(BB10:BB15)</f>
        <v>-83415214.9205218</v>
      </c>
      <c r="BC16" s="269" t="n">
        <f aca="false">SUM(BC10:BC15)</f>
        <v>-83415214.9205218</v>
      </c>
      <c r="BD16" s="269" t="n">
        <f aca="false">SUM(BD10:BD15)</f>
        <v>-97922208.819743</v>
      </c>
      <c r="BE16" s="269" t="n">
        <f aca="false">SUM(BE10:BE15)</f>
        <v>-97922208.819743</v>
      </c>
      <c r="BF16" s="269" t="n">
        <f aca="false">SUM(BF10:BF15)</f>
        <v>-97922208.819743</v>
      </c>
      <c r="BG16" s="269" t="n">
        <f aca="false">SUM(BG10:BG15)</f>
        <v>-108802454.244159</v>
      </c>
      <c r="BH16" s="269" t="n">
        <f aca="false">SUM(BH10:BH15)</f>
        <v>-108802454.244159</v>
      </c>
      <c r="BI16" s="269" t="n">
        <f aca="false">SUM(BI10:BI15)</f>
        <v>-108802454.244159</v>
      </c>
    </row>
    <row r="17" customFormat="false" ht="15" hidden="false" customHeight="true" outlineLevel="0" collapsed="false">
      <c r="B17" s="270"/>
      <c r="C17" s="270"/>
      <c r="D17" s="270"/>
      <c r="E17" s="270"/>
      <c r="F17" s="270"/>
      <c r="G17" s="270"/>
      <c r="H17" s="270"/>
      <c r="I17" s="270"/>
      <c r="J17" s="270"/>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row>
    <row r="18" customFormat="false" ht="15" hidden="false" customHeight="true" outlineLevel="0" collapsed="false">
      <c r="A18" s="102" t="s">
        <v>96</v>
      </c>
      <c r="B18" s="270" t="n">
        <f aca="false">'Cash Flow'!B14*B6</f>
        <v>-0</v>
      </c>
      <c r="C18" s="270" t="n">
        <f aca="false">'Cash Flow'!B14*C6</f>
        <v>-307285.714285714</v>
      </c>
      <c r="D18" s="270" t="n">
        <f aca="false">'Cash Flow'!B14*D6</f>
        <v>-307285.714285714</v>
      </c>
      <c r="E18" s="270" t="n">
        <f aca="false">'Cash Flow'!B14*E6</f>
        <v>-353378.571428572</v>
      </c>
      <c r="F18" s="270" t="n">
        <f aca="false">'Cash Flow'!B14*F6</f>
        <v>-353378.571428572</v>
      </c>
      <c r="G18" s="270" t="n">
        <f aca="false">'Cash Flow'!B14*G6</f>
        <v>-353378.571428572</v>
      </c>
      <c r="H18" s="270" t="n">
        <f aca="false">'Cash Flow'!B14*H6</f>
        <v>-414835.714285715</v>
      </c>
      <c r="I18" s="270" t="n">
        <f aca="false">'Cash Flow'!B14*I6</f>
        <v>-414835.714285715</v>
      </c>
      <c r="J18" s="270" t="n">
        <f aca="false">'Cash Flow'!B14*J6</f>
        <v>-414835.714285715</v>
      </c>
      <c r="K18" s="270" t="n">
        <f aca="false">'Cash Flow'!B14*K6</f>
        <v>-460928.571428571</v>
      </c>
      <c r="L18" s="270" t="n">
        <f aca="false">'Cash Flow'!B14*L6</f>
        <v>-460928.571428571</v>
      </c>
      <c r="M18" s="270" t="n">
        <f aca="false">'Cash Flow'!B14*M6</f>
        <v>-460928.571428571</v>
      </c>
      <c r="N18" s="270" t="n">
        <f aca="false">'Cash Flow'!C14*N6</f>
        <v>-33333.3333333334</v>
      </c>
      <c r="O18" s="270" t="n">
        <f aca="false">'Cash Flow'!C14*O6</f>
        <v>-33333.3333333334</v>
      </c>
      <c r="P18" s="270" t="n">
        <f aca="false">'Cash Flow'!C14*P6</f>
        <v>-33333.3333333334</v>
      </c>
      <c r="Q18" s="270" t="n">
        <f aca="false">'Cash Flow'!C14*Q6</f>
        <v>-38333.3333333334</v>
      </c>
      <c r="R18" s="270" t="n">
        <f aca="false">'Cash Flow'!C14*R6</f>
        <v>-38333.3333333334</v>
      </c>
      <c r="S18" s="270" t="n">
        <f aca="false">'Cash Flow'!C14*S6</f>
        <v>-38333.3333333334</v>
      </c>
      <c r="T18" s="270" t="n">
        <f aca="false">'Cash Flow'!C14*T6</f>
        <v>-45000</v>
      </c>
      <c r="U18" s="270" t="n">
        <f aca="false">'Cash Flow'!C14*U6</f>
        <v>-45000</v>
      </c>
      <c r="V18" s="270" t="n">
        <f aca="false">'Cash Flow'!C14*V6</f>
        <v>-45000</v>
      </c>
      <c r="W18" s="270" t="n">
        <f aca="false">'Cash Flow'!C14*W6</f>
        <v>-50000</v>
      </c>
      <c r="X18" s="270" t="n">
        <f aca="false">'Cash Flow'!C14*X6</f>
        <v>-50000</v>
      </c>
      <c r="Y18" s="270" t="n">
        <f aca="false">'Cash Flow'!C14*Y6</f>
        <v>-50000</v>
      </c>
      <c r="Z18" s="270" t="n">
        <f aca="false">'Cash Flow'!D14*Z6</f>
        <v>-66666.6666666667</v>
      </c>
      <c r="AA18" s="270" t="n">
        <f aca="false">'Cash Flow'!D14*AA6</f>
        <v>-66666.6666666667</v>
      </c>
      <c r="AB18" s="270" t="n">
        <f aca="false">'Cash Flow'!D14*AB6</f>
        <v>-66666.6666666667</v>
      </c>
      <c r="AC18" s="270" t="n">
        <f aca="false">'Cash Flow'!D14*AC6</f>
        <v>-76666.6666666667</v>
      </c>
      <c r="AD18" s="270" t="n">
        <f aca="false">'Cash Flow'!D14*AD6</f>
        <v>-76666.6666666667</v>
      </c>
      <c r="AE18" s="270" t="n">
        <f aca="false">'Cash Flow'!D14*AE6</f>
        <v>-76666.6666666667</v>
      </c>
      <c r="AF18" s="270" t="n">
        <f aca="false">'Cash Flow'!D14*AF6</f>
        <v>-90000</v>
      </c>
      <c r="AG18" s="270" t="n">
        <f aca="false">'Cash Flow'!D14*AG6</f>
        <v>-90000</v>
      </c>
      <c r="AH18" s="270" t="n">
        <f aca="false">'Cash Flow'!D14*AH6</f>
        <v>-90000</v>
      </c>
      <c r="AI18" s="270" t="n">
        <f aca="false">'Cash Flow'!D14*AI6</f>
        <v>-100000</v>
      </c>
      <c r="AJ18" s="270" t="n">
        <f aca="false">'Cash Flow'!D14*AJ6</f>
        <v>-100000</v>
      </c>
      <c r="AK18" s="270" t="n">
        <f aca="false">'Cash Flow'!D14*AK6</f>
        <v>-100000</v>
      </c>
      <c r="AL18" s="270" t="n">
        <f aca="false">'Cash Flow'!E14*AL6</f>
        <v>-100000</v>
      </c>
      <c r="AM18" s="270" t="n">
        <f aca="false">'Cash Flow'!E14*AM6</f>
        <v>-100000</v>
      </c>
      <c r="AN18" s="270" t="n">
        <f aca="false">'Cash Flow'!E14*AN6</f>
        <v>-100000</v>
      </c>
      <c r="AO18" s="270" t="n">
        <f aca="false">'Cash Flow'!E14*AO6</f>
        <v>-115000</v>
      </c>
      <c r="AP18" s="270" t="n">
        <f aca="false">'Cash Flow'!E14*AP6</f>
        <v>-115000</v>
      </c>
      <c r="AQ18" s="270" t="n">
        <f aca="false">'Cash Flow'!E14*AQ6</f>
        <v>-115000</v>
      </c>
      <c r="AR18" s="270" t="n">
        <f aca="false">'Cash Flow'!E14*AR6</f>
        <v>-135000</v>
      </c>
      <c r="AS18" s="270" t="n">
        <f aca="false">'Cash Flow'!E14*AS6</f>
        <v>-135000</v>
      </c>
      <c r="AT18" s="270" t="n">
        <f aca="false">'Cash Flow'!E14*AT6</f>
        <v>-135000</v>
      </c>
      <c r="AU18" s="270" t="n">
        <f aca="false">'Cash Flow'!E14*AU6</f>
        <v>-150000</v>
      </c>
      <c r="AV18" s="270" t="n">
        <f aca="false">'Cash Flow'!E14*AV6</f>
        <v>-150000</v>
      </c>
      <c r="AW18" s="270" t="n">
        <f aca="false">'Cash Flow'!E14*AW6</f>
        <v>-150000</v>
      </c>
      <c r="AX18" s="270" t="n">
        <f aca="false">'Cash Flow'!F14*AX6</f>
        <v>-133333.333333333</v>
      </c>
      <c r="AY18" s="270" t="n">
        <f aca="false">'Cash Flow'!F14*AY6</f>
        <v>-133333.333333333</v>
      </c>
      <c r="AZ18" s="270" t="n">
        <f aca="false">'Cash Flow'!F14*AZ6</f>
        <v>-133333.333333333</v>
      </c>
      <c r="BA18" s="270" t="n">
        <f aca="false">'Cash Flow'!F14*BA6</f>
        <v>-153333.333333333</v>
      </c>
      <c r="BB18" s="270" t="n">
        <f aca="false">'Cash Flow'!F14*BB6</f>
        <v>-153333.333333333</v>
      </c>
      <c r="BC18" s="270" t="n">
        <f aca="false">'Cash Flow'!F14*BC6</f>
        <v>-153333.333333333</v>
      </c>
      <c r="BD18" s="270" t="n">
        <f aca="false">'Cash Flow'!F14*BD6</f>
        <v>-180000</v>
      </c>
      <c r="BE18" s="270" t="n">
        <f aca="false">'Cash Flow'!F14*BE6</f>
        <v>-180000</v>
      </c>
      <c r="BF18" s="270" t="n">
        <f aca="false">'Cash Flow'!F14*BF6</f>
        <v>-180000</v>
      </c>
      <c r="BG18" s="270" t="n">
        <f aca="false">'Cash Flow'!F14*BG6</f>
        <v>-200000</v>
      </c>
      <c r="BH18" s="270" t="n">
        <f aca="false">'Cash Flow'!F14*BH6</f>
        <v>-200000</v>
      </c>
      <c r="BI18" s="270" t="n">
        <f aca="false">'Cash Flow'!F14*BI6</f>
        <v>-200000</v>
      </c>
    </row>
    <row r="19" customFormat="false" ht="21.75" hidden="false" customHeight="true" outlineLevel="0" collapsed="false">
      <c r="A19" s="268" t="s">
        <v>448</v>
      </c>
      <c r="B19" s="269" t="n">
        <f aca="false">B18</f>
        <v>-0</v>
      </c>
      <c r="C19" s="269" t="n">
        <f aca="false">C18</f>
        <v>-307285.714285714</v>
      </c>
      <c r="D19" s="269" t="n">
        <f aca="false">D18</f>
        <v>-307285.714285714</v>
      </c>
      <c r="E19" s="269" t="n">
        <f aca="false">E18</f>
        <v>-353378.571428572</v>
      </c>
      <c r="F19" s="269" t="n">
        <f aca="false">F18</f>
        <v>-353378.571428572</v>
      </c>
      <c r="G19" s="269" t="n">
        <f aca="false">G18</f>
        <v>-353378.571428572</v>
      </c>
      <c r="H19" s="269" t="n">
        <f aca="false">H18</f>
        <v>-414835.714285715</v>
      </c>
      <c r="I19" s="269" t="n">
        <f aca="false">I18</f>
        <v>-414835.714285715</v>
      </c>
      <c r="J19" s="269" t="n">
        <f aca="false">J18</f>
        <v>-414835.714285715</v>
      </c>
      <c r="K19" s="269" t="n">
        <f aca="false">K18</f>
        <v>-460928.571428571</v>
      </c>
      <c r="L19" s="269" t="n">
        <f aca="false">L18</f>
        <v>-460928.571428571</v>
      </c>
      <c r="M19" s="269" t="n">
        <f aca="false">M18</f>
        <v>-460928.571428571</v>
      </c>
      <c r="N19" s="269" t="n">
        <f aca="false">N18</f>
        <v>-33333.3333333334</v>
      </c>
      <c r="O19" s="269" t="n">
        <f aca="false">O18</f>
        <v>-33333.3333333334</v>
      </c>
      <c r="P19" s="269" t="n">
        <f aca="false">P18</f>
        <v>-33333.3333333334</v>
      </c>
      <c r="Q19" s="269" t="n">
        <f aca="false">Q18</f>
        <v>-38333.3333333334</v>
      </c>
      <c r="R19" s="269" t="n">
        <f aca="false">R18</f>
        <v>-38333.3333333334</v>
      </c>
      <c r="S19" s="269" t="n">
        <f aca="false">S18</f>
        <v>-38333.3333333334</v>
      </c>
      <c r="T19" s="269" t="n">
        <f aca="false">T18</f>
        <v>-45000</v>
      </c>
      <c r="U19" s="269" t="n">
        <f aca="false">U18</f>
        <v>-45000</v>
      </c>
      <c r="V19" s="269" t="n">
        <f aca="false">V18</f>
        <v>-45000</v>
      </c>
      <c r="W19" s="269" t="n">
        <f aca="false">W18</f>
        <v>-50000</v>
      </c>
      <c r="X19" s="269" t="n">
        <f aca="false">X18</f>
        <v>-50000</v>
      </c>
      <c r="Y19" s="269" t="n">
        <f aca="false">Y18</f>
        <v>-50000</v>
      </c>
      <c r="Z19" s="269" t="n">
        <f aca="false">Z18</f>
        <v>-66666.6666666667</v>
      </c>
      <c r="AA19" s="269" t="n">
        <f aca="false">AA18</f>
        <v>-66666.6666666667</v>
      </c>
      <c r="AB19" s="269" t="n">
        <f aca="false">AB18</f>
        <v>-66666.6666666667</v>
      </c>
      <c r="AC19" s="269" t="n">
        <f aca="false">AC18</f>
        <v>-76666.6666666667</v>
      </c>
      <c r="AD19" s="269" t="n">
        <f aca="false">AD18</f>
        <v>-76666.6666666667</v>
      </c>
      <c r="AE19" s="269" t="n">
        <f aca="false">AE18</f>
        <v>-76666.6666666667</v>
      </c>
      <c r="AF19" s="269" t="n">
        <f aca="false">AF18</f>
        <v>-90000</v>
      </c>
      <c r="AG19" s="269" t="n">
        <f aca="false">AG18</f>
        <v>-90000</v>
      </c>
      <c r="AH19" s="269" t="n">
        <f aca="false">AH18</f>
        <v>-90000</v>
      </c>
      <c r="AI19" s="269" t="n">
        <f aca="false">AI18</f>
        <v>-100000</v>
      </c>
      <c r="AJ19" s="269" t="n">
        <f aca="false">AJ18</f>
        <v>-100000</v>
      </c>
      <c r="AK19" s="269" t="n">
        <f aca="false">AK18</f>
        <v>-100000</v>
      </c>
      <c r="AL19" s="269" t="n">
        <f aca="false">AL18</f>
        <v>-100000</v>
      </c>
      <c r="AM19" s="269" t="n">
        <f aca="false">AM18</f>
        <v>-100000</v>
      </c>
      <c r="AN19" s="269" t="n">
        <f aca="false">AN18</f>
        <v>-100000</v>
      </c>
      <c r="AO19" s="269" t="n">
        <f aca="false">AO18</f>
        <v>-115000</v>
      </c>
      <c r="AP19" s="269" t="n">
        <f aca="false">AP18</f>
        <v>-115000</v>
      </c>
      <c r="AQ19" s="269" t="n">
        <f aca="false">AQ18</f>
        <v>-115000</v>
      </c>
      <c r="AR19" s="269" t="n">
        <f aca="false">AR18</f>
        <v>-135000</v>
      </c>
      <c r="AS19" s="269" t="n">
        <f aca="false">AS18</f>
        <v>-135000</v>
      </c>
      <c r="AT19" s="269" t="n">
        <f aca="false">AT18</f>
        <v>-135000</v>
      </c>
      <c r="AU19" s="269" t="n">
        <f aca="false">AU18</f>
        <v>-150000</v>
      </c>
      <c r="AV19" s="269" t="n">
        <f aca="false">AV18</f>
        <v>-150000</v>
      </c>
      <c r="AW19" s="269" t="n">
        <f aca="false">AW18</f>
        <v>-150000</v>
      </c>
      <c r="AX19" s="269" t="n">
        <f aca="false">AX18</f>
        <v>-133333.333333333</v>
      </c>
      <c r="AY19" s="269" t="n">
        <f aca="false">AY18</f>
        <v>-133333.333333333</v>
      </c>
      <c r="AZ19" s="269" t="n">
        <f aca="false">AZ18</f>
        <v>-133333.333333333</v>
      </c>
      <c r="BA19" s="269" t="n">
        <f aca="false">BA18</f>
        <v>-153333.333333333</v>
      </c>
      <c r="BB19" s="269" t="n">
        <f aca="false">BB18</f>
        <v>-153333.333333333</v>
      </c>
      <c r="BC19" s="269" t="n">
        <f aca="false">BC18</f>
        <v>-153333.333333333</v>
      </c>
      <c r="BD19" s="269" t="n">
        <f aca="false">BD18</f>
        <v>-180000</v>
      </c>
      <c r="BE19" s="269" t="n">
        <f aca="false">BE18</f>
        <v>-180000</v>
      </c>
      <c r="BF19" s="269" t="n">
        <f aca="false">BF18</f>
        <v>-180000</v>
      </c>
      <c r="BG19" s="269" t="n">
        <f aca="false">BG18</f>
        <v>-200000</v>
      </c>
      <c r="BH19" s="269" t="n">
        <f aca="false">BH18</f>
        <v>-200000</v>
      </c>
      <c r="BI19" s="269" t="n">
        <f aca="false">BI18</f>
        <v>-200000</v>
      </c>
    </row>
    <row r="20" customFormat="false" ht="15" hidden="false" customHeight="true" outlineLevel="0" collapsed="false">
      <c r="A20" s="271" t="s">
        <v>449</v>
      </c>
      <c r="B20" s="272" t="n">
        <f aca="false">Assumptions!B101</f>
        <v>0</v>
      </c>
      <c r="C20" s="272" t="n">
        <f aca="false">Assumptions!B101</f>
        <v>0</v>
      </c>
      <c r="D20" s="272" t="n">
        <f aca="false">Assumptions!B101</f>
        <v>0</v>
      </c>
      <c r="E20" s="272" t="n">
        <f aca="false">Assumptions!B101</f>
        <v>0</v>
      </c>
      <c r="F20" s="272" t="n">
        <f aca="false">Assumptions!B101</f>
        <v>0</v>
      </c>
      <c r="G20" s="272" t="n">
        <f aca="false">Assumptions!B101</f>
        <v>0</v>
      </c>
      <c r="H20" s="272" t="n">
        <f aca="false">Assumptions!B101</f>
        <v>0</v>
      </c>
      <c r="I20" s="272" t="n">
        <f aca="false">Assumptions!B101</f>
        <v>0</v>
      </c>
      <c r="J20" s="272" t="n">
        <f aca="false">Assumptions!B101</f>
        <v>0</v>
      </c>
      <c r="K20" s="272" t="n">
        <f aca="false">Assumptions!B101</f>
        <v>0</v>
      </c>
      <c r="L20" s="272" t="n">
        <f aca="false">Assumptions!B101</f>
        <v>0</v>
      </c>
      <c r="M20" s="272" t="n">
        <f aca="false">Assumptions!B101</f>
        <v>0</v>
      </c>
      <c r="N20" s="272" t="n">
        <f aca="false">Assumptions!C101</f>
        <v>420000000</v>
      </c>
      <c r="O20" s="272" t="n">
        <f aca="false">Assumptions!C101</f>
        <v>420000000</v>
      </c>
      <c r="P20" s="272" t="n">
        <f aca="false">Assumptions!C101</f>
        <v>420000000</v>
      </c>
      <c r="Q20" s="272" t="n">
        <f aca="false">Assumptions!C101</f>
        <v>420000000</v>
      </c>
      <c r="R20" s="272" t="n">
        <f aca="false">Assumptions!C101</f>
        <v>420000000</v>
      </c>
      <c r="S20" s="272" t="n">
        <f aca="false">Assumptions!C101</f>
        <v>420000000</v>
      </c>
      <c r="T20" s="272" t="n">
        <f aca="false">Assumptions!C101</f>
        <v>420000000</v>
      </c>
      <c r="U20" s="272" t="n">
        <f aca="false">Assumptions!C101</f>
        <v>420000000</v>
      </c>
      <c r="V20" s="272" t="n">
        <f aca="false">Assumptions!C101</f>
        <v>420000000</v>
      </c>
      <c r="W20" s="272" t="n">
        <f aca="false">Assumptions!C101</f>
        <v>420000000</v>
      </c>
      <c r="X20" s="272" t="n">
        <f aca="false">Assumptions!C101</f>
        <v>420000000</v>
      </c>
      <c r="Y20" s="272" t="n">
        <f aca="false">Assumptions!C101</f>
        <v>420000000</v>
      </c>
      <c r="Z20" s="272" t="n">
        <f aca="false">Assumptions!D101</f>
        <v>850000000</v>
      </c>
      <c r="AA20" s="272" t="n">
        <f aca="false">Assumptions!D101</f>
        <v>850000000</v>
      </c>
      <c r="AB20" s="272" t="n">
        <f aca="false">Assumptions!D101</f>
        <v>850000000</v>
      </c>
      <c r="AC20" s="272" t="n">
        <f aca="false">Assumptions!D101</f>
        <v>850000000</v>
      </c>
      <c r="AD20" s="272" t="n">
        <f aca="false">Assumptions!D101</f>
        <v>850000000</v>
      </c>
      <c r="AE20" s="272" t="n">
        <f aca="false">Assumptions!D101</f>
        <v>850000000</v>
      </c>
      <c r="AF20" s="272" t="n">
        <f aca="false">Assumptions!D101</f>
        <v>850000000</v>
      </c>
      <c r="AG20" s="272" t="n">
        <f aca="false">Assumptions!D101</f>
        <v>850000000</v>
      </c>
      <c r="AH20" s="272" t="n">
        <f aca="false">Assumptions!D101</f>
        <v>850000000</v>
      </c>
      <c r="AI20" s="272" t="n">
        <f aca="false">Assumptions!D101</f>
        <v>850000000</v>
      </c>
      <c r="AJ20" s="272" t="n">
        <f aca="false">Assumptions!D101</f>
        <v>850000000</v>
      </c>
      <c r="AK20" s="272" t="n">
        <f aca="false">Assumptions!D101</f>
        <v>850000000</v>
      </c>
      <c r="AL20" s="272" t="n">
        <f aca="false">Assumptions!E101</f>
        <v>1600000000</v>
      </c>
      <c r="AM20" s="272" t="n">
        <f aca="false">Assumptions!E101</f>
        <v>1600000000</v>
      </c>
      <c r="AN20" s="272" t="n">
        <f aca="false">Assumptions!E101</f>
        <v>1600000000</v>
      </c>
      <c r="AO20" s="272" t="n">
        <f aca="false">Assumptions!E101</f>
        <v>1600000000</v>
      </c>
      <c r="AP20" s="272" t="n">
        <f aca="false">Assumptions!E101</f>
        <v>1600000000</v>
      </c>
      <c r="AQ20" s="272" t="n">
        <f aca="false">Assumptions!E101</f>
        <v>1600000000</v>
      </c>
      <c r="AR20" s="272" t="n">
        <f aca="false">Assumptions!E101</f>
        <v>1600000000</v>
      </c>
      <c r="AS20" s="272" t="n">
        <f aca="false">Assumptions!E101</f>
        <v>1600000000</v>
      </c>
      <c r="AT20" s="272" t="n">
        <f aca="false">Assumptions!E101</f>
        <v>1600000000</v>
      </c>
      <c r="AU20" s="272" t="n">
        <f aca="false">Assumptions!E101</f>
        <v>1600000000</v>
      </c>
      <c r="AV20" s="272" t="n">
        <f aca="false">Assumptions!E101</f>
        <v>1600000000</v>
      </c>
      <c r="AW20" s="272" t="n">
        <f aca="false">Assumptions!E101</f>
        <v>1600000000</v>
      </c>
      <c r="AX20" s="272" t="n">
        <f aca="false">Assumptions!F101</f>
        <v>3000000000</v>
      </c>
      <c r="AY20" s="272" t="n">
        <f aca="false">Assumptions!F101</f>
        <v>3000000000</v>
      </c>
      <c r="AZ20" s="272" t="n">
        <f aca="false">Assumptions!F101</f>
        <v>3000000000</v>
      </c>
      <c r="BA20" s="272" t="n">
        <f aca="false">Assumptions!F101</f>
        <v>3000000000</v>
      </c>
      <c r="BB20" s="272" t="n">
        <f aca="false">Assumptions!F101</f>
        <v>3000000000</v>
      </c>
      <c r="BC20" s="272" t="n">
        <f aca="false">Assumptions!F101</f>
        <v>3000000000</v>
      </c>
      <c r="BD20" s="272" t="n">
        <f aca="false">Assumptions!F101</f>
        <v>3000000000</v>
      </c>
      <c r="BE20" s="272" t="n">
        <f aca="false">Assumptions!F101</f>
        <v>3000000000</v>
      </c>
      <c r="BF20" s="272" t="n">
        <f aca="false">Assumptions!F101</f>
        <v>3000000000</v>
      </c>
      <c r="BG20" s="272" t="n">
        <f aca="false">Assumptions!F101</f>
        <v>3000000000</v>
      </c>
      <c r="BH20" s="272" t="n">
        <f aca="false">Assumptions!F101</f>
        <v>3000000000</v>
      </c>
      <c r="BI20" s="272" t="n">
        <f aca="false">Assumptions!F101</f>
        <v>3000000000</v>
      </c>
    </row>
    <row r="21" customFormat="false" ht="31.5" hidden="false" customHeight="true" outlineLevel="0" collapsed="false">
      <c r="A21" s="74" t="s">
        <v>450</v>
      </c>
      <c r="B21" s="270" t="n">
        <f aca="false">'Cash Flow'!B18*B6</f>
        <v>0</v>
      </c>
      <c r="C21" s="270" t="n">
        <f aca="false">'Cash Flow'!B18*C6</f>
        <v>0</v>
      </c>
      <c r="D21" s="270" t="n">
        <f aca="false">'Cash Flow'!B18*D6</f>
        <v>0</v>
      </c>
      <c r="E21" s="270" t="n">
        <f aca="false">'Cash Flow'!B18*E6</f>
        <v>0</v>
      </c>
      <c r="F21" s="270" t="n">
        <f aca="false">'Cash Flow'!B18*F6</f>
        <v>0</v>
      </c>
      <c r="G21" s="270" t="n">
        <f aca="false">'Cash Flow'!B18*G6</f>
        <v>0</v>
      </c>
      <c r="H21" s="270" t="n">
        <f aca="false">'Cash Flow'!B18*H6</f>
        <v>0</v>
      </c>
      <c r="I21" s="270" t="n">
        <f aca="false">'Cash Flow'!B18*I6</f>
        <v>0</v>
      </c>
      <c r="J21" s="270" t="n">
        <f aca="false">'Cash Flow'!B18*J6</f>
        <v>0</v>
      </c>
      <c r="K21" s="270" t="n">
        <f aca="false">'Cash Flow'!B18*K6</f>
        <v>0</v>
      </c>
      <c r="L21" s="270" t="n">
        <f aca="false">'Cash Flow'!B18*L6</f>
        <v>0</v>
      </c>
      <c r="M21" s="270" t="n">
        <f aca="false">'Cash Flow'!B18*M6</f>
        <v>0</v>
      </c>
      <c r="N21" s="270" t="n">
        <f aca="false">'Cash Flow'!C18*N6</f>
        <v>24666666.6666667</v>
      </c>
      <c r="O21" s="270" t="n">
        <f aca="false">'Cash Flow'!C18*O6</f>
        <v>24666666.6666667</v>
      </c>
      <c r="P21" s="270" t="n">
        <f aca="false">'Cash Flow'!C18*P6</f>
        <v>24666666.6666667</v>
      </c>
      <c r="Q21" s="270" t="n">
        <f aca="false">'Cash Flow'!C18*Q6</f>
        <v>28366666.6666667</v>
      </c>
      <c r="R21" s="270" t="n">
        <f aca="false">'Cash Flow'!C18*R6</f>
        <v>28366666.6666667</v>
      </c>
      <c r="S21" s="270" t="n">
        <f aca="false">'Cash Flow'!C18*S6</f>
        <v>28366666.6666667</v>
      </c>
      <c r="T21" s="270" t="n">
        <f aca="false">'Cash Flow'!C18*T6</f>
        <v>33300000</v>
      </c>
      <c r="U21" s="270" t="n">
        <f aca="false">'Cash Flow'!C18*U6</f>
        <v>33300000</v>
      </c>
      <c r="V21" s="270" t="n">
        <f aca="false">'Cash Flow'!C18*V6</f>
        <v>33300000</v>
      </c>
      <c r="W21" s="270" t="n">
        <f aca="false">'Cash Flow'!C18*W6</f>
        <v>37000000</v>
      </c>
      <c r="X21" s="270" t="n">
        <f aca="false">'Cash Flow'!C18*X6</f>
        <v>37000000</v>
      </c>
      <c r="Y21" s="270" t="n">
        <f aca="false">'Cash Flow'!C18*Y6</f>
        <v>37000000</v>
      </c>
      <c r="Z21" s="270" t="n">
        <f aca="false">'Cash Flow'!D18*Z6</f>
        <v>21000000</v>
      </c>
      <c r="AA21" s="270" t="n">
        <f aca="false">'Cash Flow'!D18*AA6</f>
        <v>21000000</v>
      </c>
      <c r="AB21" s="270" t="n">
        <f aca="false">'Cash Flow'!D18*AB6</f>
        <v>21000000</v>
      </c>
      <c r="AC21" s="270" t="n">
        <f aca="false">'Cash Flow'!D18*AC6</f>
        <v>24150000</v>
      </c>
      <c r="AD21" s="270" t="n">
        <f aca="false">'Cash Flow'!D18*AD6</f>
        <v>24150000</v>
      </c>
      <c r="AE21" s="270" t="n">
        <f aca="false">'Cash Flow'!D18*AE6</f>
        <v>24150000</v>
      </c>
      <c r="AF21" s="270" t="n">
        <f aca="false">'Cash Flow'!D18*AF6</f>
        <v>28350000</v>
      </c>
      <c r="AG21" s="270" t="n">
        <f aca="false">'Cash Flow'!D18*AG6</f>
        <v>28350000</v>
      </c>
      <c r="AH21" s="270" t="n">
        <f aca="false">'Cash Flow'!D18*AH6</f>
        <v>28350000</v>
      </c>
      <c r="AI21" s="270" t="n">
        <f aca="false">'Cash Flow'!D18*AI6</f>
        <v>31500000</v>
      </c>
      <c r="AJ21" s="270" t="n">
        <f aca="false">'Cash Flow'!D18*AJ6</f>
        <v>31500000</v>
      </c>
      <c r="AK21" s="270" t="n">
        <f aca="false">'Cash Flow'!D18*AK6</f>
        <v>31500000</v>
      </c>
      <c r="AL21" s="270" t="n">
        <f aca="false">'Cash Flow'!E18*AL6</f>
        <v>43333333.3333334</v>
      </c>
      <c r="AM21" s="270" t="n">
        <f aca="false">'Cash Flow'!E18*AM6</f>
        <v>43333333.3333334</v>
      </c>
      <c r="AN21" s="270" t="n">
        <f aca="false">'Cash Flow'!E18*AN6</f>
        <v>43333333.3333334</v>
      </c>
      <c r="AO21" s="270" t="n">
        <f aca="false">'Cash Flow'!E18*AO6</f>
        <v>49833333.3333334</v>
      </c>
      <c r="AP21" s="270" t="n">
        <f aca="false">'Cash Flow'!E18*AP6</f>
        <v>49833333.3333334</v>
      </c>
      <c r="AQ21" s="270" t="n">
        <f aca="false">'Cash Flow'!E18*AQ6</f>
        <v>49833333.3333334</v>
      </c>
      <c r="AR21" s="270" t="n">
        <f aca="false">'Cash Flow'!E18*AR6</f>
        <v>58500000</v>
      </c>
      <c r="AS21" s="270" t="n">
        <f aca="false">'Cash Flow'!E18*AS6</f>
        <v>58500000</v>
      </c>
      <c r="AT21" s="270" t="n">
        <f aca="false">'Cash Flow'!E18*AT6</f>
        <v>58500000</v>
      </c>
      <c r="AU21" s="270" t="n">
        <f aca="false">'Cash Flow'!E18*AU6</f>
        <v>65000000</v>
      </c>
      <c r="AV21" s="270" t="n">
        <f aca="false">'Cash Flow'!E18*AV6</f>
        <v>65000000</v>
      </c>
      <c r="AW21" s="270" t="n">
        <f aca="false">'Cash Flow'!E18*AW6</f>
        <v>65000000</v>
      </c>
      <c r="AX21" s="270" t="n">
        <f aca="false">'Cash Flow'!F18*AX6</f>
        <v>84333333.3333334</v>
      </c>
      <c r="AY21" s="270" t="n">
        <f aca="false">'Cash Flow'!F18*AY6</f>
        <v>84333333.3333334</v>
      </c>
      <c r="AZ21" s="270" t="n">
        <f aca="false">'Cash Flow'!F18*AZ6</f>
        <v>84333333.3333334</v>
      </c>
      <c r="BA21" s="270" t="n">
        <f aca="false">'Cash Flow'!F18*BA6</f>
        <v>96983333.3333334</v>
      </c>
      <c r="BB21" s="270" t="n">
        <f aca="false">'Cash Flow'!F18*BB6</f>
        <v>96983333.3333334</v>
      </c>
      <c r="BC21" s="270" t="n">
        <f aca="false">'Cash Flow'!F18*BC6</f>
        <v>96983333.3333334</v>
      </c>
      <c r="BD21" s="270" t="n">
        <f aca="false">'Cash Flow'!F18*BD6</f>
        <v>113850000</v>
      </c>
      <c r="BE21" s="270" t="n">
        <f aca="false">'Cash Flow'!F18*BE6</f>
        <v>113850000</v>
      </c>
      <c r="BF21" s="270" t="n">
        <f aca="false">'Cash Flow'!F18*BF6</f>
        <v>113850000</v>
      </c>
      <c r="BG21" s="270" t="n">
        <f aca="false">'Cash Flow'!F18*BG6</f>
        <v>126500000</v>
      </c>
      <c r="BH21" s="270" t="n">
        <f aca="false">'Cash Flow'!F18*BH6</f>
        <v>126500000</v>
      </c>
      <c r="BI21" s="270" t="n">
        <f aca="false">'Cash Flow'!F18*BI6</f>
        <v>126500000</v>
      </c>
    </row>
    <row r="22" customFormat="false" ht="31.5" hidden="false" customHeight="true" outlineLevel="0" collapsed="false">
      <c r="A22" s="74" t="s">
        <v>451</v>
      </c>
      <c r="B22" s="270" t="n">
        <v>0</v>
      </c>
      <c r="C22" s="270" t="n">
        <v>0</v>
      </c>
      <c r="D22" s="270" t="n">
        <v>3750000</v>
      </c>
      <c r="E22" s="270" t="n">
        <v>0</v>
      </c>
      <c r="F22" s="270" t="n">
        <v>0</v>
      </c>
      <c r="G22" s="270" t="n">
        <v>3750000</v>
      </c>
      <c r="H22" s="270" t="n">
        <v>0</v>
      </c>
      <c r="I22" s="270" t="n">
        <v>0</v>
      </c>
      <c r="J22" s="270" t="n">
        <v>3750000</v>
      </c>
      <c r="K22" s="270" t="n">
        <v>0</v>
      </c>
      <c r="L22" s="270" t="n">
        <v>0</v>
      </c>
      <c r="M22" s="270" t="n">
        <v>3750000</v>
      </c>
      <c r="N22" s="270" t="n">
        <v>15000000</v>
      </c>
      <c r="O22" s="270" t="n">
        <v>0</v>
      </c>
      <c r="P22" s="270" t="n">
        <v>0</v>
      </c>
      <c r="Q22" s="270" t="n">
        <v>0</v>
      </c>
      <c r="R22" s="270" t="n">
        <v>15000000</v>
      </c>
      <c r="S22" s="270" t="n">
        <v>0</v>
      </c>
      <c r="T22" s="270" t="n">
        <v>0</v>
      </c>
      <c r="U22" s="270" t="n">
        <v>0</v>
      </c>
      <c r="V22" s="270" t="n">
        <v>15000000</v>
      </c>
      <c r="W22" s="270" t="n">
        <v>0</v>
      </c>
      <c r="X22" s="270" t="n">
        <v>0</v>
      </c>
      <c r="Y22" s="270" t="n">
        <v>0</v>
      </c>
      <c r="Z22" s="270" t="n">
        <v>0</v>
      </c>
      <c r="AA22" s="270" t="n">
        <v>0</v>
      </c>
      <c r="AB22" s="270" t="n">
        <v>0</v>
      </c>
      <c r="AC22" s="270" t="n">
        <v>0</v>
      </c>
      <c r="AD22" s="270" t="n">
        <v>0</v>
      </c>
      <c r="AE22" s="270" t="n">
        <v>0</v>
      </c>
      <c r="AF22" s="270" t="n">
        <v>0</v>
      </c>
      <c r="AG22" s="270" t="n">
        <v>0</v>
      </c>
      <c r="AH22" s="270" t="n">
        <v>0</v>
      </c>
      <c r="AI22" s="270" t="n">
        <v>0</v>
      </c>
      <c r="AJ22" s="270" t="n">
        <v>0</v>
      </c>
      <c r="AK22" s="270" t="n">
        <v>0</v>
      </c>
      <c r="AL22" s="270" t="n">
        <v>0</v>
      </c>
      <c r="AM22" s="270" t="n">
        <v>0</v>
      </c>
      <c r="AN22" s="270" t="n">
        <v>0</v>
      </c>
      <c r="AO22" s="270" t="n">
        <v>0</v>
      </c>
      <c r="AP22" s="270" t="n">
        <v>0</v>
      </c>
      <c r="AQ22" s="270" t="n">
        <v>0</v>
      </c>
      <c r="AR22" s="270" t="n">
        <v>0</v>
      </c>
      <c r="AS22" s="270" t="n">
        <v>0</v>
      </c>
      <c r="AT22" s="270" t="n">
        <v>0</v>
      </c>
      <c r="AU22" s="270" t="n">
        <v>0</v>
      </c>
      <c r="AV22" s="270" t="n">
        <v>0</v>
      </c>
      <c r="AW22" s="270" t="n">
        <v>0</v>
      </c>
      <c r="AX22" s="270" t="n">
        <v>0</v>
      </c>
      <c r="AY22" s="270" t="n">
        <v>0</v>
      </c>
      <c r="AZ22" s="270" t="n">
        <v>0</v>
      </c>
      <c r="BA22" s="270" t="n">
        <v>0</v>
      </c>
      <c r="BB22" s="270" t="n">
        <v>0</v>
      </c>
      <c r="BC22" s="270" t="n">
        <v>0</v>
      </c>
      <c r="BD22" s="270" t="n">
        <v>0</v>
      </c>
      <c r="BE22" s="270" t="n">
        <v>0</v>
      </c>
      <c r="BF22" s="270" t="n">
        <v>0</v>
      </c>
      <c r="BG22" s="270" t="n">
        <v>0</v>
      </c>
      <c r="BH22" s="270" t="n">
        <v>0</v>
      </c>
      <c r="BI22" s="270" t="n">
        <v>0</v>
      </c>
    </row>
    <row r="23" customFormat="false" ht="31.5" hidden="false" customHeight="true" outlineLevel="0" collapsed="false">
      <c r="A23" s="273" t="s">
        <v>452</v>
      </c>
      <c r="B23" s="269" t="n">
        <f aca="false">SUM(B21:B22)</f>
        <v>0</v>
      </c>
      <c r="C23" s="269" t="n">
        <f aca="false">SUM(C21:C22)</f>
        <v>0</v>
      </c>
      <c r="D23" s="269" t="n">
        <f aca="false">SUM(D21:D22)</f>
        <v>3750000</v>
      </c>
      <c r="E23" s="269" t="n">
        <f aca="false">SUM(E21:E22)</f>
        <v>0</v>
      </c>
      <c r="F23" s="269" t="n">
        <f aca="false">SUM(F21:F22)</f>
        <v>0</v>
      </c>
      <c r="G23" s="269" t="n">
        <f aca="false">SUM(G21:G22)</f>
        <v>3750000</v>
      </c>
      <c r="H23" s="269" t="n">
        <f aca="false">SUM(H21:H22)</f>
        <v>0</v>
      </c>
      <c r="I23" s="269" t="n">
        <f aca="false">SUM(I21:I22)</f>
        <v>0</v>
      </c>
      <c r="J23" s="269" t="n">
        <f aca="false">SUM(J21:J22)</f>
        <v>3750000</v>
      </c>
      <c r="K23" s="269" t="n">
        <f aca="false">SUM(K21:K22)</f>
        <v>0</v>
      </c>
      <c r="L23" s="269" t="n">
        <f aca="false">SUM(L21:L22)</f>
        <v>0</v>
      </c>
      <c r="M23" s="269" t="n">
        <f aca="false">SUM(M21:M22)</f>
        <v>3750000</v>
      </c>
      <c r="N23" s="269" t="n">
        <f aca="false">SUM(N21:N22)</f>
        <v>39666666.6666667</v>
      </c>
      <c r="O23" s="269" t="n">
        <f aca="false">SUM(O21:O22)</f>
        <v>24666666.6666667</v>
      </c>
      <c r="P23" s="269" t="n">
        <f aca="false">SUM(P21:P22)</f>
        <v>24666666.6666667</v>
      </c>
      <c r="Q23" s="269" t="n">
        <f aca="false">SUM(Q21:Q22)</f>
        <v>28366666.6666667</v>
      </c>
      <c r="R23" s="269" t="n">
        <f aca="false">SUM(R21:R22)</f>
        <v>43366666.6666667</v>
      </c>
      <c r="S23" s="269" t="n">
        <f aca="false">SUM(S21:S22)</f>
        <v>28366666.6666667</v>
      </c>
      <c r="T23" s="269" t="n">
        <f aca="false">SUM(T21:T22)</f>
        <v>33300000</v>
      </c>
      <c r="U23" s="269" t="n">
        <f aca="false">SUM(U21:U22)</f>
        <v>33300000</v>
      </c>
      <c r="V23" s="269" t="n">
        <f aca="false">SUM(V21:V22)</f>
        <v>48300000</v>
      </c>
      <c r="W23" s="269" t="n">
        <f aca="false">SUM(W21:W22)</f>
        <v>37000000</v>
      </c>
      <c r="X23" s="269" t="n">
        <f aca="false">SUM(X21:X22)</f>
        <v>37000000</v>
      </c>
      <c r="Y23" s="269" t="n">
        <f aca="false">SUM(Y21:Y22)</f>
        <v>37000000</v>
      </c>
      <c r="Z23" s="269" t="n">
        <f aca="false">SUM(Z21:Z22)</f>
        <v>21000000</v>
      </c>
      <c r="AA23" s="269" t="n">
        <f aca="false">SUM(AA21:AA22)</f>
        <v>21000000</v>
      </c>
      <c r="AB23" s="269" t="n">
        <f aca="false">SUM(AB21:AB22)</f>
        <v>21000000</v>
      </c>
      <c r="AC23" s="269" t="n">
        <f aca="false">SUM(AC21:AC22)</f>
        <v>24150000</v>
      </c>
      <c r="AD23" s="269" t="n">
        <f aca="false">SUM(AD21:AD22)</f>
        <v>24150000</v>
      </c>
      <c r="AE23" s="269" t="n">
        <f aca="false">SUM(AE21:AE22)</f>
        <v>24150000</v>
      </c>
      <c r="AF23" s="269" t="n">
        <f aca="false">SUM(AF21:AF22)</f>
        <v>28350000</v>
      </c>
      <c r="AG23" s="269" t="n">
        <f aca="false">SUM(AG21:AG22)</f>
        <v>28350000</v>
      </c>
      <c r="AH23" s="269" t="n">
        <f aca="false">SUM(AH21:AH22)</f>
        <v>28350000</v>
      </c>
      <c r="AI23" s="269" t="n">
        <f aca="false">SUM(AI21:AI22)</f>
        <v>31500000</v>
      </c>
      <c r="AJ23" s="269" t="n">
        <f aca="false">SUM(AJ21:AJ22)</f>
        <v>31500000</v>
      </c>
      <c r="AK23" s="269" t="n">
        <f aca="false">SUM(AK21:AK22)</f>
        <v>31500000</v>
      </c>
      <c r="AL23" s="269" t="n">
        <f aca="false">SUM(AL21:AL22)</f>
        <v>43333333.3333334</v>
      </c>
      <c r="AM23" s="269" t="n">
        <f aca="false">SUM(AM21:AM22)</f>
        <v>43333333.3333334</v>
      </c>
      <c r="AN23" s="269" t="n">
        <f aca="false">SUM(AN21:AN22)</f>
        <v>43333333.3333334</v>
      </c>
      <c r="AO23" s="269" t="n">
        <f aca="false">SUM(AO21:AO22)</f>
        <v>49833333.3333334</v>
      </c>
      <c r="AP23" s="269" t="n">
        <f aca="false">SUM(AP21:AP22)</f>
        <v>49833333.3333334</v>
      </c>
      <c r="AQ23" s="269" t="n">
        <f aca="false">SUM(AQ21:AQ22)</f>
        <v>49833333.3333334</v>
      </c>
      <c r="AR23" s="269" t="n">
        <f aca="false">SUM(AR21:AR22)</f>
        <v>58500000</v>
      </c>
      <c r="AS23" s="269" t="n">
        <f aca="false">SUM(AS21:AS22)</f>
        <v>58500000</v>
      </c>
      <c r="AT23" s="269" t="n">
        <f aca="false">SUM(AT21:AT22)</f>
        <v>58500000</v>
      </c>
      <c r="AU23" s="269" t="n">
        <f aca="false">SUM(AU21:AU22)</f>
        <v>65000000</v>
      </c>
      <c r="AV23" s="269" t="n">
        <f aca="false">SUM(AV21:AV22)</f>
        <v>65000000</v>
      </c>
      <c r="AW23" s="269" t="n">
        <f aca="false">SUM(AW21:AW22)</f>
        <v>65000000</v>
      </c>
      <c r="AX23" s="269" t="n">
        <f aca="false">SUM(AX21:AX22)</f>
        <v>84333333.3333334</v>
      </c>
      <c r="AY23" s="269" t="n">
        <f aca="false">SUM(AY21:AY22)</f>
        <v>84333333.3333334</v>
      </c>
      <c r="AZ23" s="269" t="n">
        <f aca="false">SUM(AZ21:AZ22)</f>
        <v>84333333.3333334</v>
      </c>
      <c r="BA23" s="269" t="n">
        <f aca="false">SUM(BA21:BA22)</f>
        <v>96983333.3333334</v>
      </c>
      <c r="BB23" s="269" t="n">
        <f aca="false">SUM(BB21:BB22)</f>
        <v>96983333.3333334</v>
      </c>
      <c r="BC23" s="269" t="n">
        <f aca="false">SUM(BC21:BC22)</f>
        <v>96983333.3333334</v>
      </c>
      <c r="BD23" s="269" t="n">
        <f aca="false">SUM(BD21:BD22)</f>
        <v>113850000</v>
      </c>
      <c r="BE23" s="269" t="n">
        <f aca="false">SUM(BE21:BE22)</f>
        <v>113850000</v>
      </c>
      <c r="BF23" s="269" t="n">
        <f aca="false">SUM(BF21:BF22)</f>
        <v>113850000</v>
      </c>
      <c r="BG23" s="269" t="n">
        <f aca="false">SUM(BG21:BG22)</f>
        <v>126500000</v>
      </c>
      <c r="BH23" s="269" t="n">
        <f aca="false">SUM(BH21:BH22)</f>
        <v>126500000</v>
      </c>
      <c r="BI23" s="269" t="n">
        <f aca="false">SUM(BI21:BI22)</f>
        <v>126500000</v>
      </c>
    </row>
    <row r="24" customFormat="false" ht="31.5" hidden="false" customHeight="true" outlineLevel="0" collapsed="false">
      <c r="A24" s="274" t="s">
        <v>453</v>
      </c>
      <c r="B24" s="272" t="n">
        <f aca="false">IF(B$4=2027,'Funding &amp; Liquidity'!$B$12*B$6,IF(B$4=2028,'Funding &amp; Liquidity'!$C$12*B$6,IF(B$4=2029,'Funding &amp; Liquidity'!$D$12*B$6,IF(B$4=2030,'Funding &amp; Liquidity'!$E$12*B$6,'Funding &amp; Liquidity'!$F$12*B$6))))</f>
        <v>0</v>
      </c>
      <c r="C24" s="272" t="n">
        <f aca="false">IF(C$4=2027,'Funding &amp; Liquidity'!$B$12*C$6,IF(C$4=2028,'Funding &amp; Liquidity'!$C$12*C$6,IF(C$4=2029,'Funding &amp; Liquidity'!$D$12*C$6,IF(C$4=2030,'Funding &amp; Liquidity'!$E$12*C$6,'Funding &amp; Liquidity'!$F$12*C$6))))</f>
        <v>0</v>
      </c>
      <c r="D24" s="272" t="n">
        <f aca="false">IF(D$4=2027,'Funding &amp; Liquidity'!$B$12*D$6,IF(D$4=2028,'Funding &amp; Liquidity'!$C$12*D$6,IF(D$4=2029,'Funding &amp; Liquidity'!$D$12*D$6,IF(D$4=2030,'Funding &amp; Liquidity'!$E$12*D$6,'Funding &amp; Liquidity'!$F$12*D$6))))</f>
        <v>0</v>
      </c>
      <c r="E24" s="272" t="n">
        <f aca="false">IF(E$4=2027,'Funding &amp; Liquidity'!$B$12*E$6,IF(E$4=2028,'Funding &amp; Liquidity'!$C$12*E$6,IF(E$4=2029,'Funding &amp; Liquidity'!$D$12*E$6,IF(E$4=2030,'Funding &amp; Liquidity'!$E$12*E$6,'Funding &amp; Liquidity'!$F$12*E$6))))</f>
        <v>0</v>
      </c>
      <c r="F24" s="272" t="n">
        <f aca="false">IF(F$4=2027,'Funding &amp; Liquidity'!$B$12*F$6,IF(F$4=2028,'Funding &amp; Liquidity'!$C$12*F$6,IF(F$4=2029,'Funding &amp; Liquidity'!$D$12*F$6,IF(F$4=2030,'Funding &amp; Liquidity'!$E$12*F$6,'Funding &amp; Liquidity'!$F$12*F$6))))</f>
        <v>0</v>
      </c>
      <c r="G24" s="272" t="n">
        <f aca="false">IF(G$4=2027,'Funding &amp; Liquidity'!$B$12*G$6,IF(G$4=2028,'Funding &amp; Liquidity'!$C$12*G$6,IF(G$4=2029,'Funding &amp; Liquidity'!$D$12*G$6,IF(G$4=2030,'Funding &amp; Liquidity'!$E$12*G$6,'Funding &amp; Liquidity'!$F$12*G$6))))</f>
        <v>0</v>
      </c>
      <c r="H24" s="272" t="n">
        <f aca="false">IF(H$4=2027,'Funding &amp; Liquidity'!$B$12*H$6,IF(H$4=2028,'Funding &amp; Liquidity'!$C$12*H$6,IF(H$4=2029,'Funding &amp; Liquidity'!$D$12*H$6,IF(H$4=2030,'Funding &amp; Liquidity'!$E$12*H$6,'Funding &amp; Liquidity'!$F$12*H$6))))</f>
        <v>0</v>
      </c>
      <c r="I24" s="272" t="n">
        <f aca="false">IF(I$4=2027,'Funding &amp; Liquidity'!$B$12*I$6,IF(I$4=2028,'Funding &amp; Liquidity'!$C$12*I$6,IF(I$4=2029,'Funding &amp; Liquidity'!$D$12*I$6,IF(I$4=2030,'Funding &amp; Liquidity'!$E$12*I$6,'Funding &amp; Liquidity'!$F$12*I$6))))</f>
        <v>0</v>
      </c>
      <c r="J24" s="272" t="n">
        <f aca="false">IF(J$4=2027,'Funding &amp; Liquidity'!$B$12*J$6,IF(J$4=2028,'Funding &amp; Liquidity'!$C$12*J$6,IF(J$4=2029,'Funding &amp; Liquidity'!$D$12*J$6,IF(J$4=2030,'Funding &amp; Liquidity'!$E$12*J$6,'Funding &amp; Liquidity'!$F$12*J$6))))</f>
        <v>0</v>
      </c>
      <c r="K24" s="272" t="n">
        <f aca="false">IF(K$4=2027,'Funding &amp; Liquidity'!$B$12*K$6,IF(K$4=2028,'Funding &amp; Liquidity'!$C$12*K$6,IF(K$4=2029,'Funding &amp; Liquidity'!$D$12*K$6,IF(K$4=2030,'Funding &amp; Liquidity'!$E$12*K$6,'Funding &amp; Liquidity'!$F$12*K$6))))</f>
        <v>0</v>
      </c>
      <c r="L24" s="272" t="n">
        <f aca="false">IF(L$4=2027,'Funding &amp; Liquidity'!$B$12*L$6,IF(L$4=2028,'Funding &amp; Liquidity'!$C$12*L$6,IF(L$4=2029,'Funding &amp; Liquidity'!$D$12*L$6,IF(L$4=2030,'Funding &amp; Liquidity'!$E$12*L$6,'Funding &amp; Liquidity'!$F$12*L$6))))</f>
        <v>0</v>
      </c>
      <c r="M24" s="272" t="n">
        <f aca="false">IF(M$4=2027,'Funding &amp; Liquidity'!$B$12*M$6,IF(M$4=2028,'Funding &amp; Liquidity'!$C$12*M$6,IF(M$4=2029,'Funding &amp; Liquidity'!$D$12*M$6,IF(M$4=2030,'Funding &amp; Liquidity'!$E$12*M$6,'Funding &amp; Liquidity'!$F$12*M$6))))</f>
        <v>0</v>
      </c>
      <c r="N24" s="272" t="n">
        <f aca="false">IF(N$4=2027,'Funding &amp; Liquidity'!$B$12*N$6,IF(N$4=2028,'Funding &amp; Liquidity'!$C$12*N$6,IF(N$4=2029,'Funding &amp; Liquidity'!$D$12*N$6,IF(N$4=2030,'Funding &amp; Liquidity'!$E$12*N$6,'Funding &amp; Liquidity'!$F$12*N$6))))</f>
        <v>4778504.194</v>
      </c>
      <c r="O24" s="272" t="n">
        <f aca="false">IF(O$4=2027,'Funding &amp; Liquidity'!$B$12*O$6,IF(O$4=2028,'Funding &amp; Liquidity'!$C$12*O$6,IF(O$4=2029,'Funding &amp; Liquidity'!$D$12*O$6,IF(O$4=2030,'Funding &amp; Liquidity'!$E$12*O$6,'Funding &amp; Liquidity'!$F$12*O$6))))</f>
        <v>4778504.194</v>
      </c>
      <c r="P24" s="272" t="n">
        <f aca="false">IF(P$4=2027,'Funding &amp; Liquidity'!$B$12*P$6,IF(P$4=2028,'Funding &amp; Liquidity'!$C$12*P$6,IF(P$4=2029,'Funding &amp; Liquidity'!$D$12*P$6,IF(P$4=2030,'Funding &amp; Liquidity'!$E$12*P$6,'Funding &amp; Liquidity'!$F$12*P$6))))</f>
        <v>4778504.194</v>
      </c>
      <c r="Q24" s="272" t="n">
        <f aca="false">IF(Q$4=2027,'Funding &amp; Liquidity'!$B$12*Q$6,IF(Q$4=2028,'Funding &amp; Liquidity'!$C$12*Q$6,IF(Q$4=2029,'Funding &amp; Liquidity'!$D$12*Q$6,IF(Q$4=2030,'Funding &amp; Liquidity'!$E$12*Q$6,'Funding &amp; Liquidity'!$F$12*Q$6))))</f>
        <v>5495279.8231</v>
      </c>
      <c r="R24" s="272" t="n">
        <f aca="false">IF(R$4=2027,'Funding &amp; Liquidity'!$B$12*R$6,IF(R$4=2028,'Funding &amp; Liquidity'!$C$12*R$6,IF(R$4=2029,'Funding &amp; Liquidity'!$D$12*R$6,IF(R$4=2030,'Funding &amp; Liquidity'!$E$12*R$6,'Funding &amp; Liquidity'!$F$12*R$6))))</f>
        <v>5495279.8231</v>
      </c>
      <c r="S24" s="272" t="n">
        <f aca="false">IF(S$4=2027,'Funding &amp; Liquidity'!$B$12*S$6,IF(S$4=2028,'Funding &amp; Liquidity'!$C$12*S$6,IF(S$4=2029,'Funding &amp; Liquidity'!$D$12*S$6,IF(S$4=2030,'Funding &amp; Liquidity'!$E$12*S$6,'Funding &amp; Liquidity'!$F$12*S$6))))</f>
        <v>5495279.8231</v>
      </c>
      <c r="T24" s="272" t="n">
        <f aca="false">IF(T$4=2027,'Funding &amp; Liquidity'!$B$12*T$6,IF(T$4=2028,'Funding &amp; Liquidity'!$C$12*T$6,IF(T$4=2029,'Funding &amp; Liquidity'!$D$12*T$6,IF(T$4=2030,'Funding &amp; Liquidity'!$E$12*T$6,'Funding &amp; Liquidity'!$F$12*T$6))))</f>
        <v>6450980.6619</v>
      </c>
      <c r="U24" s="272" t="n">
        <f aca="false">IF(U$4=2027,'Funding &amp; Liquidity'!$B$12*U$6,IF(U$4=2028,'Funding &amp; Liquidity'!$C$12*U$6,IF(U$4=2029,'Funding &amp; Liquidity'!$D$12*U$6,IF(U$4=2030,'Funding &amp; Liquidity'!$E$12*U$6,'Funding &amp; Liquidity'!$F$12*U$6))))</f>
        <v>6450980.6619</v>
      </c>
      <c r="V24" s="272" t="n">
        <f aca="false">IF(V$4=2027,'Funding &amp; Liquidity'!$B$12*V$6,IF(V$4=2028,'Funding &amp; Liquidity'!$C$12*V$6,IF(V$4=2029,'Funding &amp; Liquidity'!$D$12*V$6,IF(V$4=2030,'Funding &amp; Liquidity'!$E$12*V$6,'Funding &amp; Liquidity'!$F$12*V$6))))</f>
        <v>6450980.6619</v>
      </c>
      <c r="W24" s="272" t="n">
        <f aca="false">IF(W$4=2027,'Funding &amp; Liquidity'!$B$12*W$6,IF(W$4=2028,'Funding &amp; Liquidity'!$C$12*W$6,IF(W$4=2029,'Funding &amp; Liquidity'!$D$12*W$6,IF(W$4=2030,'Funding &amp; Liquidity'!$E$12*W$6,'Funding &amp; Liquidity'!$F$12*W$6))))</f>
        <v>7167756.291</v>
      </c>
      <c r="X24" s="272" t="n">
        <f aca="false">IF(X$4=2027,'Funding &amp; Liquidity'!$B$12*X$6,IF(X$4=2028,'Funding &amp; Liquidity'!$C$12*X$6,IF(X$4=2029,'Funding &amp; Liquidity'!$D$12*X$6,IF(X$4=2030,'Funding &amp; Liquidity'!$E$12*X$6,'Funding &amp; Liquidity'!$F$12*X$6))))</f>
        <v>7167756.291</v>
      </c>
      <c r="Y24" s="272" t="n">
        <f aca="false">IF(Y$4=2027,'Funding &amp; Liquidity'!$B$12*Y$6,IF(Y$4=2028,'Funding &amp; Liquidity'!$C$12*Y$6,IF(Y$4=2029,'Funding &amp; Liquidity'!$D$12*Y$6,IF(Y$4=2030,'Funding &amp; Liquidity'!$E$12*Y$6,'Funding &amp; Liquidity'!$F$12*Y$6))))</f>
        <v>7167756.291</v>
      </c>
      <c r="Z24" s="272" t="n">
        <f aca="false">IF(Z$4=2027,'Funding &amp; Liquidity'!$B$12*Z$6,IF(Z$4=2028,'Funding &amp; Liquidity'!$C$12*Z$6,IF(Z$4=2029,'Funding &amp; Liquidity'!$D$12*Z$6,IF(Z$4=2030,'Funding &amp; Liquidity'!$E$12*Z$6,'Funding &amp; Liquidity'!$F$12*Z$6))))</f>
        <v>19500000</v>
      </c>
      <c r="AA24" s="272" t="n">
        <f aca="false">IF(AA$4=2027,'Funding &amp; Liquidity'!$B$12*AA$6,IF(AA$4=2028,'Funding &amp; Liquidity'!$C$12*AA$6,IF(AA$4=2029,'Funding &amp; Liquidity'!$D$12*AA$6,IF(AA$4=2030,'Funding &amp; Liquidity'!$E$12*AA$6,'Funding &amp; Liquidity'!$F$12*AA$6))))</f>
        <v>19500000</v>
      </c>
      <c r="AB24" s="272" t="n">
        <f aca="false">IF(AB$4=2027,'Funding &amp; Liquidity'!$B$12*AB$6,IF(AB$4=2028,'Funding &amp; Liquidity'!$C$12*AB$6,IF(AB$4=2029,'Funding &amp; Liquidity'!$D$12*AB$6,IF(AB$4=2030,'Funding &amp; Liquidity'!$E$12*AB$6,'Funding &amp; Liquidity'!$F$12*AB$6))))</f>
        <v>19500000</v>
      </c>
      <c r="AC24" s="272" t="n">
        <f aca="false">IF(AC$4=2027,'Funding &amp; Liquidity'!$B$12*AC$6,IF(AC$4=2028,'Funding &amp; Liquidity'!$C$12*AC$6,IF(AC$4=2029,'Funding &amp; Liquidity'!$D$12*AC$6,IF(AC$4=2030,'Funding &amp; Liquidity'!$E$12*AC$6,'Funding &amp; Liquidity'!$F$12*AC$6))))</f>
        <v>22425000</v>
      </c>
      <c r="AD24" s="272" t="n">
        <f aca="false">IF(AD$4=2027,'Funding &amp; Liquidity'!$B$12*AD$6,IF(AD$4=2028,'Funding &amp; Liquidity'!$C$12*AD$6,IF(AD$4=2029,'Funding &amp; Liquidity'!$D$12*AD$6,IF(AD$4=2030,'Funding &amp; Liquidity'!$E$12*AD$6,'Funding &amp; Liquidity'!$F$12*AD$6))))</f>
        <v>22425000</v>
      </c>
      <c r="AE24" s="272" t="n">
        <f aca="false">IF(AE$4=2027,'Funding &amp; Liquidity'!$B$12*AE$6,IF(AE$4=2028,'Funding &amp; Liquidity'!$C$12*AE$6,IF(AE$4=2029,'Funding &amp; Liquidity'!$D$12*AE$6,IF(AE$4=2030,'Funding &amp; Liquidity'!$E$12*AE$6,'Funding &amp; Liquidity'!$F$12*AE$6))))</f>
        <v>22425000</v>
      </c>
      <c r="AF24" s="272" t="n">
        <f aca="false">IF(AF$4=2027,'Funding &amp; Liquidity'!$B$12*AF$6,IF(AF$4=2028,'Funding &amp; Liquidity'!$C$12*AF$6,IF(AF$4=2029,'Funding &amp; Liquidity'!$D$12*AF$6,IF(AF$4=2030,'Funding &amp; Liquidity'!$E$12*AF$6,'Funding &amp; Liquidity'!$F$12*AF$6))))</f>
        <v>26325000</v>
      </c>
      <c r="AG24" s="272" t="n">
        <f aca="false">IF(AG$4=2027,'Funding &amp; Liquidity'!$B$12*AG$6,IF(AG$4=2028,'Funding &amp; Liquidity'!$C$12*AG$6,IF(AG$4=2029,'Funding &amp; Liquidity'!$D$12*AG$6,IF(AG$4=2030,'Funding &amp; Liquidity'!$E$12*AG$6,'Funding &amp; Liquidity'!$F$12*AG$6))))</f>
        <v>26325000</v>
      </c>
      <c r="AH24" s="272" t="n">
        <f aca="false">IF(AH$4=2027,'Funding &amp; Liquidity'!$B$12*AH$6,IF(AH$4=2028,'Funding &amp; Liquidity'!$C$12*AH$6,IF(AH$4=2029,'Funding &amp; Liquidity'!$D$12*AH$6,IF(AH$4=2030,'Funding &amp; Liquidity'!$E$12*AH$6,'Funding &amp; Liquidity'!$F$12*AH$6))))</f>
        <v>26325000</v>
      </c>
      <c r="AI24" s="272" t="n">
        <f aca="false">IF(AI$4=2027,'Funding &amp; Liquidity'!$B$12*AI$6,IF(AI$4=2028,'Funding &amp; Liquidity'!$C$12*AI$6,IF(AI$4=2029,'Funding &amp; Liquidity'!$D$12*AI$6,IF(AI$4=2030,'Funding &amp; Liquidity'!$E$12*AI$6,'Funding &amp; Liquidity'!$F$12*AI$6))))</f>
        <v>29250000</v>
      </c>
      <c r="AJ24" s="272" t="n">
        <f aca="false">IF(AJ$4=2027,'Funding &amp; Liquidity'!$B$12*AJ$6,IF(AJ$4=2028,'Funding &amp; Liquidity'!$C$12*AJ$6,IF(AJ$4=2029,'Funding &amp; Liquidity'!$D$12*AJ$6,IF(AJ$4=2030,'Funding &amp; Liquidity'!$E$12*AJ$6,'Funding &amp; Liquidity'!$F$12*AJ$6))))</f>
        <v>29250000</v>
      </c>
      <c r="AK24" s="272" t="n">
        <f aca="false">IF(AK$4=2027,'Funding &amp; Liquidity'!$B$12*AK$6,IF(AK$4=2028,'Funding &amp; Liquidity'!$C$12*AK$6,IF(AK$4=2029,'Funding &amp; Liquidity'!$D$12*AK$6,IF(AK$4=2030,'Funding &amp; Liquidity'!$E$12*AK$6,'Funding &amp; Liquidity'!$F$12*AK$6))))</f>
        <v>29250000</v>
      </c>
      <c r="AL24" s="272" t="n">
        <f aca="false">IF(AL$4=2027,'Funding &amp; Liquidity'!$B$12*AL$6,IF(AL$4=2028,'Funding &amp; Liquidity'!$C$12*AL$6,IF(AL$4=2029,'Funding &amp; Liquidity'!$D$12*AL$6,IF(AL$4=2030,'Funding &amp; Liquidity'!$E$12*AL$6,'Funding &amp; Liquidity'!$F$12*AL$6))))</f>
        <v>41000000</v>
      </c>
      <c r="AM24" s="272" t="n">
        <f aca="false">IF(AM$4=2027,'Funding &amp; Liquidity'!$B$12*AM$6,IF(AM$4=2028,'Funding &amp; Liquidity'!$C$12*AM$6,IF(AM$4=2029,'Funding &amp; Liquidity'!$D$12*AM$6,IF(AM$4=2030,'Funding &amp; Liquidity'!$E$12*AM$6,'Funding &amp; Liquidity'!$F$12*AM$6))))</f>
        <v>41000000</v>
      </c>
      <c r="AN24" s="272" t="n">
        <f aca="false">IF(AN$4=2027,'Funding &amp; Liquidity'!$B$12*AN$6,IF(AN$4=2028,'Funding &amp; Liquidity'!$C$12*AN$6,IF(AN$4=2029,'Funding &amp; Liquidity'!$D$12*AN$6,IF(AN$4=2030,'Funding &amp; Liquidity'!$E$12*AN$6,'Funding &amp; Liquidity'!$F$12*AN$6))))</f>
        <v>41000000</v>
      </c>
      <c r="AO24" s="272" t="n">
        <f aca="false">IF(AO$4=2027,'Funding &amp; Liquidity'!$B$12*AO$6,IF(AO$4=2028,'Funding &amp; Liquidity'!$C$12*AO$6,IF(AO$4=2029,'Funding &amp; Liquidity'!$D$12*AO$6,IF(AO$4=2030,'Funding &amp; Liquidity'!$E$12*AO$6,'Funding &amp; Liquidity'!$F$12*AO$6))))</f>
        <v>47150000</v>
      </c>
      <c r="AP24" s="272" t="n">
        <f aca="false">IF(AP$4=2027,'Funding &amp; Liquidity'!$B$12*AP$6,IF(AP$4=2028,'Funding &amp; Liquidity'!$C$12*AP$6,IF(AP$4=2029,'Funding &amp; Liquidity'!$D$12*AP$6,IF(AP$4=2030,'Funding &amp; Liquidity'!$E$12*AP$6,'Funding &amp; Liquidity'!$F$12*AP$6))))</f>
        <v>47150000</v>
      </c>
      <c r="AQ24" s="272" t="n">
        <f aca="false">IF(AQ$4=2027,'Funding &amp; Liquidity'!$B$12*AQ$6,IF(AQ$4=2028,'Funding &amp; Liquidity'!$C$12*AQ$6,IF(AQ$4=2029,'Funding &amp; Liquidity'!$D$12*AQ$6,IF(AQ$4=2030,'Funding &amp; Liquidity'!$E$12*AQ$6,'Funding &amp; Liquidity'!$F$12*AQ$6))))</f>
        <v>47150000</v>
      </c>
      <c r="AR24" s="272" t="n">
        <f aca="false">IF(AR$4=2027,'Funding &amp; Liquidity'!$B$12*AR$6,IF(AR$4=2028,'Funding &amp; Liquidity'!$C$12*AR$6,IF(AR$4=2029,'Funding &amp; Liquidity'!$D$12*AR$6,IF(AR$4=2030,'Funding &amp; Liquidity'!$E$12*AR$6,'Funding &amp; Liquidity'!$F$12*AR$6))))</f>
        <v>55350000</v>
      </c>
      <c r="AS24" s="272" t="n">
        <f aca="false">IF(AS$4=2027,'Funding &amp; Liquidity'!$B$12*AS$6,IF(AS$4=2028,'Funding &amp; Liquidity'!$C$12*AS$6,IF(AS$4=2029,'Funding &amp; Liquidity'!$D$12*AS$6,IF(AS$4=2030,'Funding &amp; Liquidity'!$E$12*AS$6,'Funding &amp; Liquidity'!$F$12*AS$6))))</f>
        <v>55350000</v>
      </c>
      <c r="AT24" s="272" t="n">
        <f aca="false">IF(AT$4=2027,'Funding &amp; Liquidity'!$B$12*AT$6,IF(AT$4=2028,'Funding &amp; Liquidity'!$C$12*AT$6,IF(AT$4=2029,'Funding &amp; Liquidity'!$D$12*AT$6,IF(AT$4=2030,'Funding &amp; Liquidity'!$E$12*AT$6,'Funding &amp; Liquidity'!$F$12*AT$6))))</f>
        <v>55350000</v>
      </c>
      <c r="AU24" s="272" t="n">
        <f aca="false">IF(AU$4=2027,'Funding &amp; Liquidity'!$B$12*AU$6,IF(AU$4=2028,'Funding &amp; Liquidity'!$C$12*AU$6,IF(AU$4=2029,'Funding &amp; Liquidity'!$D$12*AU$6,IF(AU$4=2030,'Funding &amp; Liquidity'!$E$12*AU$6,'Funding &amp; Liquidity'!$F$12*AU$6))))</f>
        <v>61500000</v>
      </c>
      <c r="AV24" s="272" t="n">
        <f aca="false">IF(AV$4=2027,'Funding &amp; Liquidity'!$B$12*AV$6,IF(AV$4=2028,'Funding &amp; Liquidity'!$C$12*AV$6,IF(AV$4=2029,'Funding &amp; Liquidity'!$D$12*AV$6,IF(AV$4=2030,'Funding &amp; Liquidity'!$E$12*AV$6,'Funding &amp; Liquidity'!$F$12*AV$6))))</f>
        <v>61500000</v>
      </c>
      <c r="AW24" s="272" t="n">
        <f aca="false">IF(AW$4=2027,'Funding &amp; Liquidity'!$B$12*AW$6,IF(AW$4=2028,'Funding &amp; Liquidity'!$C$12*AW$6,IF(AW$4=2029,'Funding &amp; Liquidity'!$D$12*AW$6,IF(AW$4=2030,'Funding &amp; Liquidity'!$E$12*AW$6,'Funding &amp; Liquidity'!$F$12*AW$6))))</f>
        <v>61500000</v>
      </c>
      <c r="AX24" s="272" t="n">
        <f aca="false">IF(AX$4=2027,'Funding &amp; Liquidity'!$B$12*AX$6,IF(AX$4=2028,'Funding &amp; Liquidity'!$C$12*AX$6,IF(AX$4=2029,'Funding &amp; Liquidity'!$D$12*AX$6,IF(AX$4=2030,'Funding &amp; Liquidity'!$E$12*AX$6,'Funding &amp; Liquidity'!$F$12*AX$6))))</f>
        <v>77500000</v>
      </c>
      <c r="AY24" s="272" t="n">
        <f aca="false">IF(AY$4=2027,'Funding &amp; Liquidity'!$B$12*AY$6,IF(AY$4=2028,'Funding &amp; Liquidity'!$C$12*AY$6,IF(AY$4=2029,'Funding &amp; Liquidity'!$D$12*AY$6,IF(AY$4=2030,'Funding &amp; Liquidity'!$E$12*AY$6,'Funding &amp; Liquidity'!$F$12*AY$6))))</f>
        <v>77500000</v>
      </c>
      <c r="AZ24" s="272" t="n">
        <f aca="false">IF(AZ$4=2027,'Funding &amp; Liquidity'!$B$12*AZ$6,IF(AZ$4=2028,'Funding &amp; Liquidity'!$C$12*AZ$6,IF(AZ$4=2029,'Funding &amp; Liquidity'!$D$12*AZ$6,IF(AZ$4=2030,'Funding &amp; Liquidity'!$E$12*AZ$6,'Funding &amp; Liquidity'!$F$12*AZ$6))))</f>
        <v>77500000</v>
      </c>
      <c r="BA24" s="272" t="n">
        <f aca="false">IF(BA$4=2027,'Funding &amp; Liquidity'!$B$12*BA$6,IF(BA$4=2028,'Funding &amp; Liquidity'!$C$12*BA$6,IF(BA$4=2029,'Funding &amp; Liquidity'!$D$12*BA$6,IF(BA$4=2030,'Funding &amp; Liquidity'!$E$12*BA$6,'Funding &amp; Liquidity'!$F$12*BA$6))))</f>
        <v>89125000</v>
      </c>
      <c r="BB24" s="272" t="n">
        <f aca="false">IF(BB$4=2027,'Funding &amp; Liquidity'!$B$12*BB$6,IF(BB$4=2028,'Funding &amp; Liquidity'!$C$12*BB$6,IF(BB$4=2029,'Funding &amp; Liquidity'!$D$12*BB$6,IF(BB$4=2030,'Funding &amp; Liquidity'!$E$12*BB$6,'Funding &amp; Liquidity'!$F$12*BB$6))))</f>
        <v>89125000</v>
      </c>
      <c r="BC24" s="272" t="n">
        <f aca="false">IF(BC$4=2027,'Funding &amp; Liquidity'!$B$12*BC$6,IF(BC$4=2028,'Funding &amp; Liquidity'!$C$12*BC$6,IF(BC$4=2029,'Funding &amp; Liquidity'!$D$12*BC$6,IF(BC$4=2030,'Funding &amp; Liquidity'!$E$12*BC$6,'Funding &amp; Liquidity'!$F$12*BC$6))))</f>
        <v>89125000</v>
      </c>
      <c r="BD24" s="272" t="n">
        <f aca="false">IF(BD$4=2027,'Funding &amp; Liquidity'!$B$12*BD$6,IF(BD$4=2028,'Funding &amp; Liquidity'!$C$12*BD$6,IF(BD$4=2029,'Funding &amp; Liquidity'!$D$12*BD$6,IF(BD$4=2030,'Funding &amp; Liquidity'!$E$12*BD$6,'Funding &amp; Liquidity'!$F$12*BD$6))))</f>
        <v>104625000</v>
      </c>
      <c r="BE24" s="272" t="n">
        <f aca="false">IF(BE$4=2027,'Funding &amp; Liquidity'!$B$12*BE$6,IF(BE$4=2028,'Funding &amp; Liquidity'!$C$12*BE$6,IF(BE$4=2029,'Funding &amp; Liquidity'!$D$12*BE$6,IF(BE$4=2030,'Funding &amp; Liquidity'!$E$12*BE$6,'Funding &amp; Liquidity'!$F$12*BE$6))))</f>
        <v>104625000</v>
      </c>
      <c r="BF24" s="272" t="n">
        <f aca="false">IF(BF$4=2027,'Funding &amp; Liquidity'!$B$12*BF$6,IF(BF$4=2028,'Funding &amp; Liquidity'!$C$12*BF$6,IF(BF$4=2029,'Funding &amp; Liquidity'!$D$12*BF$6,IF(BF$4=2030,'Funding &amp; Liquidity'!$E$12*BF$6,'Funding &amp; Liquidity'!$F$12*BF$6))))</f>
        <v>104625000</v>
      </c>
      <c r="BG24" s="272" t="n">
        <f aca="false">IF(BG$4=2027,'Funding &amp; Liquidity'!$B$12*BG$6,IF(BG$4=2028,'Funding &amp; Liquidity'!$C$12*BG$6,IF(BG$4=2029,'Funding &amp; Liquidity'!$D$12*BG$6,IF(BG$4=2030,'Funding &amp; Liquidity'!$E$12*BG$6,'Funding &amp; Liquidity'!$F$12*BG$6))))</f>
        <v>116250000</v>
      </c>
      <c r="BH24" s="272" t="n">
        <f aca="false">IF(BH$4=2027,'Funding &amp; Liquidity'!$B$12*BH$6,IF(BH$4=2028,'Funding &amp; Liquidity'!$C$12*BH$6,IF(BH$4=2029,'Funding &amp; Liquidity'!$D$12*BH$6,IF(BH$4=2030,'Funding &amp; Liquidity'!$E$12*BH$6,'Funding &amp; Liquidity'!$F$12*BH$6))))</f>
        <v>116250000</v>
      </c>
      <c r="BI24" s="272" t="n">
        <f aca="false">IF(BI$4=2027,'Funding &amp; Liquidity'!$B$12*BI$6,IF(BI$4=2028,'Funding &amp; Liquidity'!$C$12*BI$6,IF(BI$4=2029,'Funding &amp; Liquidity'!$D$12*BI$6,IF(BI$4=2030,'Funding &amp; Liquidity'!$E$12*BI$6,'Funding &amp; Liquidity'!$F$12*BI$6))))</f>
        <v>116250000</v>
      </c>
    </row>
    <row r="25" customFormat="false" ht="15" hidden="false" customHeight="true" outlineLevel="0" collapsed="false">
      <c r="A25" s="268" t="s">
        <v>454</v>
      </c>
      <c r="B25" s="269" t="n">
        <f aca="false">B16+B19+B23</f>
        <v>0</v>
      </c>
      <c r="C25" s="269" t="n">
        <f aca="false">C16+C19+C23</f>
        <v>-1894357.55214286</v>
      </c>
      <c r="D25" s="269" t="n">
        <f aca="false">D16+D19+D23</f>
        <v>1855642.44785714</v>
      </c>
      <c r="E25" s="269" t="n">
        <f aca="false">E16+E19+E23</f>
        <v>-2178511.18496429</v>
      </c>
      <c r="F25" s="269" t="n">
        <f aca="false">F16+F19+F23</f>
        <v>-2178511.18496429</v>
      </c>
      <c r="G25" s="269" t="n">
        <f aca="false">G16+G19+G23</f>
        <v>1571488.81503571</v>
      </c>
      <c r="H25" s="269" t="n">
        <f aca="false">H16+H19+H23</f>
        <v>-2557382.69539286</v>
      </c>
      <c r="I25" s="269" t="n">
        <f aca="false">I16+I19+I23</f>
        <v>-2557382.69539286</v>
      </c>
      <c r="J25" s="269" t="n">
        <f aca="false">J16+J19+J23</f>
        <v>1192617.30460714</v>
      </c>
      <c r="K25" s="269" t="n">
        <f aca="false">K16+K19+K23</f>
        <v>-2841536.32821428</v>
      </c>
      <c r="L25" s="269" t="n">
        <f aca="false">L16+L19+L23</f>
        <v>-2841536.32821428</v>
      </c>
      <c r="M25" s="269" t="n">
        <f aca="false">M16+M19+M23</f>
        <v>908463.671785718</v>
      </c>
      <c r="N25" s="269" t="n">
        <f aca="false">N16+N19+N23</f>
        <v>12418773.1631233</v>
      </c>
      <c r="O25" s="269" t="n">
        <f aca="false">O16+O19+O23</f>
        <v>-2581226.83687667</v>
      </c>
      <c r="P25" s="269" t="n">
        <f aca="false">P16+P19+P23</f>
        <v>-2581226.83687667</v>
      </c>
      <c r="Q25" s="269" t="n">
        <f aca="false">Q16+Q19+Q23</f>
        <v>-2968410.86240817</v>
      </c>
      <c r="R25" s="269" t="n">
        <f aca="false">R16+R19+R23</f>
        <v>12031589.1375918</v>
      </c>
      <c r="S25" s="269" t="n">
        <f aca="false">S16+S19+S23</f>
        <v>-2968410.86240817</v>
      </c>
      <c r="T25" s="269" t="n">
        <f aca="false">T16+T19+T23</f>
        <v>-3484656.22978351</v>
      </c>
      <c r="U25" s="269" t="n">
        <f aca="false">U16+U19+U23</f>
        <v>-3484656.22978351</v>
      </c>
      <c r="V25" s="269" t="n">
        <f aca="false">V16+V19+V23</f>
        <v>11515343.7702165</v>
      </c>
      <c r="W25" s="269" t="n">
        <f aca="false">W16+W19+W23</f>
        <v>-3871840.25531501</v>
      </c>
      <c r="X25" s="269" t="n">
        <f aca="false">X16+X19+X23</f>
        <v>-3871840.25531501</v>
      </c>
      <c r="Y25" s="269" t="n">
        <f aca="false">Y16+Y19+Y23</f>
        <v>-3871840.25531501</v>
      </c>
      <c r="Z25" s="269" t="n">
        <f aca="false">Z16+Z19+Z23</f>
        <v>247398.204510659</v>
      </c>
      <c r="AA25" s="269" t="n">
        <f aca="false">AA16+AA19+AA23</f>
        <v>247398.204510659</v>
      </c>
      <c r="AB25" s="269" t="n">
        <f aca="false">AB16+AB19+AB23</f>
        <v>247398.204510659</v>
      </c>
      <c r="AC25" s="269" t="n">
        <f aca="false">AC16+AC19+AC23</f>
        <v>284507.935187262</v>
      </c>
      <c r="AD25" s="269" t="n">
        <f aca="false">AD16+AD19+AD23</f>
        <v>284507.935187262</v>
      </c>
      <c r="AE25" s="269" t="n">
        <f aca="false">AE16+AE19+AE23</f>
        <v>284507.935187262</v>
      </c>
      <c r="AF25" s="269" t="n">
        <f aca="false">AF16+AF19+AF23</f>
        <v>333987.576089393</v>
      </c>
      <c r="AG25" s="269" t="n">
        <f aca="false">AG16+AG19+AG23</f>
        <v>333987.576089393</v>
      </c>
      <c r="AH25" s="269" t="n">
        <f aca="false">AH16+AH19+AH23</f>
        <v>333987.576089393</v>
      </c>
      <c r="AI25" s="269" t="n">
        <f aca="false">AI16+AI19+AI23</f>
        <v>371097.306765996</v>
      </c>
      <c r="AJ25" s="269" t="n">
        <f aca="false">AJ16+AJ19+AJ23</f>
        <v>371097.306765996</v>
      </c>
      <c r="AK25" s="269" t="n">
        <f aca="false">AK16+AK19+AK23</f>
        <v>371097.306765996</v>
      </c>
      <c r="AL25" s="269" t="n">
        <f aca="false">AL16+AL19+AL23</f>
        <v>3506108.76048721</v>
      </c>
      <c r="AM25" s="269" t="n">
        <f aca="false">AM16+AM19+AM23</f>
        <v>3506108.76048721</v>
      </c>
      <c r="AN25" s="269" t="n">
        <f aca="false">AN16+AN19+AN23</f>
        <v>3506108.76048721</v>
      </c>
      <c r="AO25" s="269" t="n">
        <f aca="false">AO16+AO19+AO23</f>
        <v>4032025.07456029</v>
      </c>
      <c r="AP25" s="269" t="n">
        <f aca="false">AP16+AP19+AP23</f>
        <v>4032025.07456029</v>
      </c>
      <c r="AQ25" s="269" t="n">
        <f aca="false">AQ16+AQ19+AQ23</f>
        <v>4032025.07456029</v>
      </c>
      <c r="AR25" s="269" t="n">
        <f aca="false">AR16+AR19+AR23</f>
        <v>4733246.82665774</v>
      </c>
      <c r="AS25" s="269" t="n">
        <f aca="false">AS16+AS19+AS23</f>
        <v>4733246.82665774</v>
      </c>
      <c r="AT25" s="269" t="n">
        <f aca="false">AT16+AT19+AT23</f>
        <v>4733246.82665774</v>
      </c>
      <c r="AU25" s="269" t="n">
        <f aca="false">AU16+AU19+AU23</f>
        <v>5259163.14073081</v>
      </c>
      <c r="AV25" s="269" t="n">
        <f aca="false">AV16+AV19+AV23</f>
        <v>5259163.14073081</v>
      </c>
      <c r="AW25" s="269" t="n">
        <f aca="false">AW16+AW19+AW23</f>
        <v>5259163.14073081</v>
      </c>
      <c r="AX25" s="269" t="n">
        <f aca="false">AX16+AX19+AX23</f>
        <v>11665030.5038941</v>
      </c>
      <c r="AY25" s="269" t="n">
        <f aca="false">AY16+AY19+AY23</f>
        <v>11665030.5038941</v>
      </c>
      <c r="AZ25" s="269" t="n">
        <f aca="false">AZ16+AZ19+AZ23</f>
        <v>11665030.5038941</v>
      </c>
      <c r="BA25" s="269" t="n">
        <f aca="false">BA16+BA19+BA23</f>
        <v>13414785.0794782</v>
      </c>
      <c r="BB25" s="269" t="n">
        <f aca="false">BB16+BB19+BB23</f>
        <v>13414785.0794782</v>
      </c>
      <c r="BC25" s="269" t="n">
        <f aca="false">BC16+BC19+BC23</f>
        <v>13414785.0794782</v>
      </c>
      <c r="BD25" s="269" t="n">
        <f aca="false">BD16+BD19+BD23</f>
        <v>15747791.180257</v>
      </c>
      <c r="BE25" s="269" t="n">
        <f aca="false">BE16+BE19+BE23</f>
        <v>15747791.180257</v>
      </c>
      <c r="BF25" s="269" t="n">
        <f aca="false">BF16+BF19+BF23</f>
        <v>15747791.180257</v>
      </c>
      <c r="BG25" s="269" t="n">
        <f aca="false">BG16+BG19+BG23</f>
        <v>17497545.7558412</v>
      </c>
      <c r="BH25" s="269" t="n">
        <f aca="false">BH16+BH19+BH23</f>
        <v>17497545.7558412</v>
      </c>
      <c r="BI25" s="269" t="n">
        <f aca="false">BI16+BI19+BI23</f>
        <v>17497545.7558412</v>
      </c>
    </row>
    <row r="26" customFormat="false" ht="15" hidden="false" customHeight="true" outlineLevel="0" collapsed="false">
      <c r="A26" s="102" t="s">
        <v>455</v>
      </c>
      <c r="B26" s="270" t="n">
        <f aca="false">14741923.72</f>
        <v>14741923.72</v>
      </c>
      <c r="C26" s="270" t="n">
        <f aca="false">B27</f>
        <v>14741923.72</v>
      </c>
      <c r="D26" s="270" t="n">
        <f aca="false">C27</f>
        <v>12847566.1678571</v>
      </c>
      <c r="E26" s="270" t="n">
        <f aca="false">D27</f>
        <v>14703208.6157143</v>
      </c>
      <c r="F26" s="270" t="n">
        <f aca="false">E27</f>
        <v>12524697.43075</v>
      </c>
      <c r="G26" s="270" t="n">
        <f aca="false">F27</f>
        <v>10346186.2457857</v>
      </c>
      <c r="H26" s="270" t="n">
        <f aca="false">G27</f>
        <v>11917675.0608214</v>
      </c>
      <c r="I26" s="270" t="n">
        <f aca="false">H27</f>
        <v>9360292.36542856</v>
      </c>
      <c r="J26" s="270" t="n">
        <f aca="false">I27</f>
        <v>6802909.6700357</v>
      </c>
      <c r="K26" s="270" t="n">
        <f aca="false">J27</f>
        <v>7995526.97464285</v>
      </c>
      <c r="L26" s="270" t="n">
        <f aca="false">K27</f>
        <v>5153990.64642856</v>
      </c>
      <c r="M26" s="270" t="n">
        <f aca="false">L27</f>
        <v>2312454.31821428</v>
      </c>
      <c r="N26" s="270" t="n">
        <f aca="false">M27</f>
        <v>3220917.99</v>
      </c>
      <c r="O26" s="270" t="n">
        <f aca="false">N27</f>
        <v>15639691.1531233</v>
      </c>
      <c r="P26" s="270" t="n">
        <f aca="false">O27</f>
        <v>13058464.3162467</v>
      </c>
      <c r="Q26" s="270" t="n">
        <f aca="false">P27</f>
        <v>10477237.47937</v>
      </c>
      <c r="R26" s="270" t="n">
        <f aca="false">Q27</f>
        <v>7508826.61696181</v>
      </c>
      <c r="S26" s="270" t="n">
        <f aca="false">R27</f>
        <v>19540415.7545536</v>
      </c>
      <c r="T26" s="270" t="n">
        <f aca="false">S27</f>
        <v>16572004.8921455</v>
      </c>
      <c r="U26" s="270" t="n">
        <f aca="false">T27</f>
        <v>13087348.662362</v>
      </c>
      <c r="V26" s="270" t="n">
        <f aca="false">U27</f>
        <v>9602692.43257845</v>
      </c>
      <c r="W26" s="270" t="n">
        <f aca="false">V27</f>
        <v>21118036.2027949</v>
      </c>
      <c r="X26" s="270" t="n">
        <f aca="false">W27</f>
        <v>17246195.9474799</v>
      </c>
      <c r="Y26" s="270" t="n">
        <f aca="false">X27</f>
        <v>13374355.6921649</v>
      </c>
      <c r="Z26" s="270" t="n">
        <f aca="false">Y27</f>
        <v>9502515.43684993</v>
      </c>
      <c r="AA26" s="270" t="n">
        <f aca="false">Z27</f>
        <v>9749913.64136059</v>
      </c>
      <c r="AB26" s="270" t="n">
        <f aca="false">AA27</f>
        <v>9997311.84587125</v>
      </c>
      <c r="AC26" s="270" t="n">
        <f aca="false">AB27</f>
        <v>10244710.0503819</v>
      </c>
      <c r="AD26" s="270" t="n">
        <f aca="false">AC27</f>
        <v>10529217.9855692</v>
      </c>
      <c r="AE26" s="270" t="n">
        <f aca="false">AD27</f>
        <v>10813725.9207564</v>
      </c>
      <c r="AF26" s="270" t="n">
        <f aca="false">AE27</f>
        <v>11098233.8559437</v>
      </c>
      <c r="AG26" s="270" t="n">
        <f aca="false">AF27</f>
        <v>11432221.4320331</v>
      </c>
      <c r="AH26" s="270" t="n">
        <f aca="false">AG27</f>
        <v>11766209.0081225</v>
      </c>
      <c r="AI26" s="270" t="n">
        <f aca="false">AH27</f>
        <v>12100196.5842119</v>
      </c>
      <c r="AJ26" s="270" t="n">
        <f aca="false">AI27</f>
        <v>12471293.8909779</v>
      </c>
      <c r="AK26" s="270" t="n">
        <f aca="false">AJ27</f>
        <v>12842391.1977439</v>
      </c>
      <c r="AL26" s="270" t="n">
        <f aca="false">AK27</f>
        <v>13213488.5045099</v>
      </c>
      <c r="AM26" s="270" t="n">
        <f aca="false">AL27</f>
        <v>16719597.2649971</v>
      </c>
      <c r="AN26" s="270" t="n">
        <f aca="false">AM27</f>
        <v>20225706.0254843</v>
      </c>
      <c r="AO26" s="270" t="n">
        <f aca="false">AN27</f>
        <v>23731814.7859715</v>
      </c>
      <c r="AP26" s="270" t="n">
        <f aca="false">AO27</f>
        <v>27763839.8605318</v>
      </c>
      <c r="AQ26" s="270" t="n">
        <f aca="false">AP27</f>
        <v>31795864.9350921</v>
      </c>
      <c r="AR26" s="270" t="n">
        <f aca="false">AQ27</f>
        <v>35827890.0096524</v>
      </c>
      <c r="AS26" s="270" t="n">
        <f aca="false">AR27</f>
        <v>40561136.8363101</v>
      </c>
      <c r="AT26" s="270" t="n">
        <f aca="false">AS27</f>
        <v>45294383.6629678</v>
      </c>
      <c r="AU26" s="270" t="n">
        <f aca="false">AT27</f>
        <v>50027630.4896256</v>
      </c>
      <c r="AV26" s="270" t="n">
        <f aca="false">AU27</f>
        <v>55286793.6303564</v>
      </c>
      <c r="AW26" s="270" t="n">
        <f aca="false">AV27</f>
        <v>60545956.7710872</v>
      </c>
      <c r="AX26" s="270" t="n">
        <f aca="false">AW27</f>
        <v>65805119.911818</v>
      </c>
      <c r="AY26" s="270" t="n">
        <f aca="false">AX27</f>
        <v>77470150.4157121</v>
      </c>
      <c r="AZ26" s="270" t="n">
        <f aca="false">AY27</f>
        <v>89135180.9196062</v>
      </c>
      <c r="BA26" s="270" t="n">
        <f aca="false">AZ27</f>
        <v>100800211.4235</v>
      </c>
      <c r="BB26" s="270" t="n">
        <f aca="false">BA27</f>
        <v>114214996.502979</v>
      </c>
      <c r="BC26" s="270" t="n">
        <f aca="false">BB27</f>
        <v>127629781.582457</v>
      </c>
      <c r="BD26" s="270" t="n">
        <f aca="false">BC27</f>
        <v>141044566.661935</v>
      </c>
      <c r="BE26" s="270" t="n">
        <f aca="false">BD27</f>
        <v>156792357.842192</v>
      </c>
      <c r="BF26" s="270" t="n">
        <f aca="false">BE27</f>
        <v>172540149.022449</v>
      </c>
      <c r="BG26" s="270" t="n">
        <f aca="false">BF27</f>
        <v>188287940.202706</v>
      </c>
      <c r="BH26" s="270" t="n">
        <f aca="false">BG27</f>
        <v>205785485.958547</v>
      </c>
      <c r="BI26" s="270" t="n">
        <f aca="false">BH27</f>
        <v>223283031.714388</v>
      </c>
    </row>
    <row r="27" customFormat="false" ht="15" hidden="false" customHeight="true" outlineLevel="0" collapsed="false">
      <c r="A27" s="268" t="s">
        <v>456</v>
      </c>
      <c r="B27" s="269" t="n">
        <f aca="false">B26+B25</f>
        <v>14741923.72</v>
      </c>
      <c r="C27" s="269" t="n">
        <f aca="false">C26+C25</f>
        <v>12847566.1678571</v>
      </c>
      <c r="D27" s="269" t="n">
        <f aca="false">D26+D25</f>
        <v>14703208.6157143</v>
      </c>
      <c r="E27" s="269" t="n">
        <f aca="false">E26+E25</f>
        <v>12524697.43075</v>
      </c>
      <c r="F27" s="269" t="n">
        <f aca="false">F26+F25</f>
        <v>10346186.2457857</v>
      </c>
      <c r="G27" s="269" t="n">
        <f aca="false">G26+G25</f>
        <v>11917675.0608214</v>
      </c>
      <c r="H27" s="269" t="n">
        <f aca="false">H26+H25</f>
        <v>9360292.36542856</v>
      </c>
      <c r="I27" s="269" t="n">
        <f aca="false">I26+I25</f>
        <v>6802909.6700357</v>
      </c>
      <c r="J27" s="269" t="n">
        <f aca="false">J26+J25</f>
        <v>7995526.97464285</v>
      </c>
      <c r="K27" s="269" t="n">
        <f aca="false">K26+K25</f>
        <v>5153990.64642856</v>
      </c>
      <c r="L27" s="269" t="n">
        <f aca="false">L26+L25</f>
        <v>2312454.31821428</v>
      </c>
      <c r="M27" s="269" t="n">
        <f aca="false">M26+M25</f>
        <v>3220917.99</v>
      </c>
      <c r="N27" s="269" t="n">
        <f aca="false">N26+N25</f>
        <v>15639691.1531233</v>
      </c>
      <c r="O27" s="269" t="n">
        <f aca="false">O26+O25</f>
        <v>13058464.3162467</v>
      </c>
      <c r="P27" s="269" t="n">
        <f aca="false">P26+P25</f>
        <v>10477237.47937</v>
      </c>
      <c r="Q27" s="269" t="n">
        <f aca="false">Q26+Q25</f>
        <v>7508826.61696181</v>
      </c>
      <c r="R27" s="269" t="n">
        <f aca="false">R26+R25</f>
        <v>19540415.7545536</v>
      </c>
      <c r="S27" s="269" t="n">
        <f aca="false">S26+S25</f>
        <v>16572004.8921455</v>
      </c>
      <c r="T27" s="269" t="n">
        <f aca="false">T26+T25</f>
        <v>13087348.662362</v>
      </c>
      <c r="U27" s="269" t="n">
        <f aca="false">U26+U25</f>
        <v>9602692.43257845</v>
      </c>
      <c r="V27" s="269" t="n">
        <f aca="false">V26+V25</f>
        <v>21118036.2027949</v>
      </c>
      <c r="W27" s="269" t="n">
        <f aca="false">W26+W25</f>
        <v>17246195.9474799</v>
      </c>
      <c r="X27" s="269" t="n">
        <f aca="false">X26+X25</f>
        <v>13374355.6921649</v>
      </c>
      <c r="Y27" s="269" t="n">
        <f aca="false">Y26+Y25</f>
        <v>9502515.43684993</v>
      </c>
      <c r="Z27" s="269" t="n">
        <f aca="false">Z26+Z25</f>
        <v>9749913.64136059</v>
      </c>
      <c r="AA27" s="269" t="n">
        <f aca="false">AA26+AA25</f>
        <v>9997311.84587125</v>
      </c>
      <c r="AB27" s="269" t="n">
        <f aca="false">AB26+AB25</f>
        <v>10244710.0503819</v>
      </c>
      <c r="AC27" s="269" t="n">
        <f aca="false">AC26+AC25</f>
        <v>10529217.9855692</v>
      </c>
      <c r="AD27" s="269" t="n">
        <f aca="false">AD26+AD25</f>
        <v>10813725.9207564</v>
      </c>
      <c r="AE27" s="269" t="n">
        <f aca="false">AE26+AE25</f>
        <v>11098233.8559437</v>
      </c>
      <c r="AF27" s="269" t="n">
        <f aca="false">AF26+AF25</f>
        <v>11432221.4320331</v>
      </c>
      <c r="AG27" s="269" t="n">
        <f aca="false">AG26+AG25</f>
        <v>11766209.0081225</v>
      </c>
      <c r="AH27" s="269" t="n">
        <f aca="false">AH26+AH25</f>
        <v>12100196.5842119</v>
      </c>
      <c r="AI27" s="269" t="n">
        <f aca="false">AI26+AI25</f>
        <v>12471293.8909779</v>
      </c>
      <c r="AJ27" s="269" t="n">
        <f aca="false">AJ26+AJ25</f>
        <v>12842391.1977439</v>
      </c>
      <c r="AK27" s="269" t="n">
        <f aca="false">AK26+AK25</f>
        <v>13213488.5045099</v>
      </c>
      <c r="AL27" s="269" t="n">
        <f aca="false">AL26+AL25</f>
        <v>16719597.2649971</v>
      </c>
      <c r="AM27" s="269" t="n">
        <f aca="false">AM26+AM25</f>
        <v>20225706.0254843</v>
      </c>
      <c r="AN27" s="269" t="n">
        <f aca="false">AN26+AN25</f>
        <v>23731814.7859715</v>
      </c>
      <c r="AO27" s="269" t="n">
        <f aca="false">AO26+AO25</f>
        <v>27763839.8605318</v>
      </c>
      <c r="AP27" s="269" t="n">
        <f aca="false">AP26+AP25</f>
        <v>31795864.9350921</v>
      </c>
      <c r="AQ27" s="269" t="n">
        <f aca="false">AQ26+AQ25</f>
        <v>35827890.0096524</v>
      </c>
      <c r="AR27" s="269" t="n">
        <f aca="false">AR26+AR25</f>
        <v>40561136.8363101</v>
      </c>
      <c r="AS27" s="269" t="n">
        <f aca="false">AS26+AS25</f>
        <v>45294383.6629678</v>
      </c>
      <c r="AT27" s="269" t="n">
        <f aca="false">AT26+AT25</f>
        <v>50027630.4896256</v>
      </c>
      <c r="AU27" s="269" t="n">
        <f aca="false">AU26+AU25</f>
        <v>55286793.6303564</v>
      </c>
      <c r="AV27" s="269" t="n">
        <f aca="false">AV26+AV25</f>
        <v>60545956.7710872</v>
      </c>
      <c r="AW27" s="269" t="n">
        <f aca="false">AW26+AW25</f>
        <v>65805119.911818</v>
      </c>
      <c r="AX27" s="269" t="n">
        <f aca="false">AX26+AX25</f>
        <v>77470150.4157121</v>
      </c>
      <c r="AY27" s="269" t="n">
        <f aca="false">AY26+AY25</f>
        <v>89135180.9196062</v>
      </c>
      <c r="AZ27" s="269" t="n">
        <f aca="false">AZ26+AZ25</f>
        <v>100800211.4235</v>
      </c>
      <c r="BA27" s="269" t="n">
        <f aca="false">BA26+BA25</f>
        <v>114214996.502979</v>
      </c>
      <c r="BB27" s="269" t="n">
        <f aca="false">BB26+BB25</f>
        <v>127629781.582457</v>
      </c>
      <c r="BC27" s="269" t="n">
        <f aca="false">BC26+BC25</f>
        <v>141044566.661935</v>
      </c>
      <c r="BD27" s="269" t="n">
        <f aca="false">BD26+BD25</f>
        <v>156792357.842192</v>
      </c>
      <c r="BE27" s="269" t="n">
        <f aca="false">BE26+BE25</f>
        <v>172540149.022449</v>
      </c>
      <c r="BF27" s="269" t="n">
        <f aca="false">BF26+BF25</f>
        <v>188287940.202706</v>
      </c>
      <c r="BG27" s="269" t="n">
        <f aca="false">BG26+BG25</f>
        <v>205785485.958547</v>
      </c>
      <c r="BH27" s="269" t="n">
        <f aca="false">BH26+BH25</f>
        <v>223283031.714388</v>
      </c>
      <c r="BI27" s="269" t="n">
        <f aca="false">BI26+BI25</f>
        <v>240780577.470229</v>
      </c>
    </row>
    <row r="28" customFormat="false" ht="21.75" hidden="false" customHeight="true" outlineLevel="0" collapsed="false">
      <c r="A28" s="102" t="s">
        <v>457</v>
      </c>
      <c r="B28" s="270" t="n">
        <f aca="false">B21+B24</f>
        <v>0</v>
      </c>
      <c r="C28" s="270" t="n">
        <f aca="false">C21+C24</f>
        <v>0</v>
      </c>
      <c r="D28" s="270" t="n">
        <f aca="false">D21+D24</f>
        <v>0</v>
      </c>
      <c r="E28" s="270" t="n">
        <f aca="false">E21+E24</f>
        <v>0</v>
      </c>
      <c r="F28" s="270" t="n">
        <f aca="false">F21+F24</f>
        <v>0</v>
      </c>
      <c r="G28" s="270" t="n">
        <f aca="false">G21+G24</f>
        <v>0</v>
      </c>
      <c r="H28" s="270" t="n">
        <f aca="false">H21+H24</f>
        <v>0</v>
      </c>
      <c r="I28" s="270" t="n">
        <f aca="false">I21+I24</f>
        <v>0</v>
      </c>
      <c r="J28" s="270" t="n">
        <f aca="false">J21+J24</f>
        <v>0</v>
      </c>
      <c r="K28" s="270" t="n">
        <f aca="false">K21+K24</f>
        <v>0</v>
      </c>
      <c r="L28" s="270" t="n">
        <f aca="false">L21+L24</f>
        <v>0</v>
      </c>
      <c r="M28" s="270" t="n">
        <f aca="false">M21+M24</f>
        <v>0</v>
      </c>
      <c r="N28" s="270" t="n">
        <f aca="false">N21+N24</f>
        <v>29445170.8606667</v>
      </c>
      <c r="O28" s="270" t="n">
        <f aca="false">O21+O24</f>
        <v>29445170.8606667</v>
      </c>
      <c r="P28" s="270" t="n">
        <f aca="false">P21+P24</f>
        <v>29445170.8606667</v>
      </c>
      <c r="Q28" s="270" t="n">
        <f aca="false">Q21+Q24</f>
        <v>33861946.4897667</v>
      </c>
      <c r="R28" s="270" t="n">
        <f aca="false">R21+R24</f>
        <v>33861946.4897667</v>
      </c>
      <c r="S28" s="270" t="n">
        <f aca="false">S21+S24</f>
        <v>33861946.4897667</v>
      </c>
      <c r="T28" s="270" t="n">
        <f aca="false">T21+T24</f>
        <v>39750980.6619</v>
      </c>
      <c r="U28" s="270" t="n">
        <f aca="false">U21+U24</f>
        <v>39750980.6619</v>
      </c>
      <c r="V28" s="270" t="n">
        <f aca="false">V21+V24</f>
        <v>39750980.6619</v>
      </c>
      <c r="W28" s="270" t="n">
        <f aca="false">W21+W24</f>
        <v>44167756.291</v>
      </c>
      <c r="X28" s="270" t="n">
        <f aca="false">X21+X24</f>
        <v>44167756.291</v>
      </c>
      <c r="Y28" s="270" t="n">
        <f aca="false">Y21+Y24</f>
        <v>44167756.291</v>
      </c>
      <c r="Z28" s="270" t="n">
        <f aca="false">Z21+Z24</f>
        <v>40500000</v>
      </c>
      <c r="AA28" s="270" t="n">
        <f aca="false">AA21+AA24</f>
        <v>40500000</v>
      </c>
      <c r="AB28" s="270" t="n">
        <f aca="false">AB21+AB24</f>
        <v>40500000</v>
      </c>
      <c r="AC28" s="270" t="n">
        <f aca="false">AC21+AC24</f>
        <v>46575000</v>
      </c>
      <c r="AD28" s="270" t="n">
        <f aca="false">AD21+AD24</f>
        <v>46575000</v>
      </c>
      <c r="AE28" s="270" t="n">
        <f aca="false">AE21+AE24</f>
        <v>46575000</v>
      </c>
      <c r="AF28" s="270" t="n">
        <f aca="false">AF21+AF24</f>
        <v>54675000</v>
      </c>
      <c r="AG28" s="270" t="n">
        <f aca="false">AG21+AG24</f>
        <v>54675000</v>
      </c>
      <c r="AH28" s="270" t="n">
        <f aca="false">AH21+AH24</f>
        <v>54675000</v>
      </c>
      <c r="AI28" s="270" t="n">
        <f aca="false">AI21+AI24</f>
        <v>60750000</v>
      </c>
      <c r="AJ28" s="270" t="n">
        <f aca="false">AJ21+AJ24</f>
        <v>60750000</v>
      </c>
      <c r="AK28" s="270" t="n">
        <f aca="false">AK21+AK24</f>
        <v>60750000</v>
      </c>
      <c r="AL28" s="270" t="n">
        <f aca="false">AL21+AL24</f>
        <v>84333333.3333334</v>
      </c>
      <c r="AM28" s="270" t="n">
        <f aca="false">AM21+AM24</f>
        <v>84333333.3333334</v>
      </c>
      <c r="AN28" s="270" t="n">
        <f aca="false">AN21+AN24</f>
        <v>84333333.3333334</v>
      </c>
      <c r="AO28" s="270" t="n">
        <f aca="false">AO21+AO24</f>
        <v>96983333.3333334</v>
      </c>
      <c r="AP28" s="270" t="n">
        <f aca="false">AP21+AP24</f>
        <v>96983333.3333334</v>
      </c>
      <c r="AQ28" s="270" t="n">
        <f aca="false">AQ21+AQ24</f>
        <v>96983333.3333334</v>
      </c>
      <c r="AR28" s="270" t="n">
        <f aca="false">AR21+AR24</f>
        <v>113850000</v>
      </c>
      <c r="AS28" s="270" t="n">
        <f aca="false">AS21+AS24</f>
        <v>113850000</v>
      </c>
      <c r="AT28" s="270" t="n">
        <f aca="false">AT21+AT24</f>
        <v>113850000</v>
      </c>
      <c r="AU28" s="270" t="n">
        <f aca="false">AU21+AU24</f>
        <v>126500000</v>
      </c>
      <c r="AV28" s="270" t="n">
        <f aca="false">AV21+AV24</f>
        <v>126500000</v>
      </c>
      <c r="AW28" s="270" t="n">
        <f aca="false">AW21+AW24</f>
        <v>126500000</v>
      </c>
      <c r="AX28" s="270" t="n">
        <f aca="false">AX21+AX24</f>
        <v>161833333.333333</v>
      </c>
      <c r="AY28" s="270" t="n">
        <f aca="false">AY21+AY24</f>
        <v>161833333.333333</v>
      </c>
      <c r="AZ28" s="270" t="n">
        <f aca="false">AZ21+AZ24</f>
        <v>161833333.333333</v>
      </c>
      <c r="BA28" s="270" t="n">
        <f aca="false">BA21+BA24</f>
        <v>186108333.333333</v>
      </c>
      <c r="BB28" s="270" t="n">
        <f aca="false">BB21+BB24</f>
        <v>186108333.333333</v>
      </c>
      <c r="BC28" s="270" t="n">
        <f aca="false">BC21+BC24</f>
        <v>186108333.333333</v>
      </c>
      <c r="BD28" s="270" t="n">
        <f aca="false">BD21+BD24</f>
        <v>218475000</v>
      </c>
      <c r="BE28" s="270" t="n">
        <f aca="false">BE21+BE24</f>
        <v>218475000</v>
      </c>
      <c r="BF28" s="270" t="n">
        <f aca="false">BF21+BF24</f>
        <v>218475000</v>
      </c>
      <c r="BG28" s="270" t="n">
        <f aca="false">BG21+BG24</f>
        <v>242750000</v>
      </c>
      <c r="BH28" s="270" t="n">
        <f aca="false">BH21+BH24</f>
        <v>242750000</v>
      </c>
      <c r="BI28" s="270" t="n">
        <f aca="false">BI21+BI24</f>
        <v>242750000</v>
      </c>
    </row>
    <row r="29" customFormat="false" ht="15" hidden="false" customHeight="true" outlineLevel="0" collapsed="false">
      <c r="A29" s="102" t="s">
        <v>458</v>
      </c>
      <c r="B29" s="270" t="n">
        <f aca="false">15000000</f>
        <v>15000000</v>
      </c>
      <c r="C29" s="270" t="n">
        <f aca="false">B32</f>
        <v>15000000</v>
      </c>
      <c r="D29" s="270" t="n">
        <f aca="false">C32</f>
        <v>14416652.0883786</v>
      </c>
      <c r="E29" s="270" t="n">
        <f aca="false">D32</f>
        <v>17583304.1767571</v>
      </c>
      <c r="F29" s="270" t="n">
        <f aca="false">E32</f>
        <v>16912454.0783925</v>
      </c>
      <c r="G29" s="270" t="n">
        <f aca="false">F32</f>
        <v>16241603.9800279</v>
      </c>
      <c r="H29" s="270" t="n">
        <f aca="false">G32</f>
        <v>19320753.8816632</v>
      </c>
      <c r="I29" s="270" t="n">
        <f aca="false">H32</f>
        <v>18533234.2009743</v>
      </c>
      <c r="J29" s="270" t="n">
        <f aca="false">I32</f>
        <v>17745714.5202854</v>
      </c>
      <c r="K29" s="270" t="n">
        <f aca="false">J32</f>
        <v>20708194.8395964</v>
      </c>
      <c r="L29" s="270" t="n">
        <f aca="false">K32</f>
        <v>19833172.9721643</v>
      </c>
      <c r="M29" s="270" t="n">
        <f aca="false">L32</f>
        <v>18958151.1047321</v>
      </c>
      <c r="N29" s="270" t="n">
        <f aca="false">M32</f>
        <v>21833129.2373</v>
      </c>
      <c r="O29" s="270" t="n">
        <f aca="false">N32</f>
        <v>37450036.9755367</v>
      </c>
      <c r="P29" s="270" t="n">
        <f aca="false">O32</f>
        <v>38066944.7137733</v>
      </c>
      <c r="Q29" s="270" t="n">
        <f aca="false">P32</f>
        <v>38683852.45201</v>
      </c>
      <c r="R29" s="270" t="n">
        <f aca="false">Q32</f>
        <v>39393296.3509822</v>
      </c>
      <c r="S29" s="270" t="n">
        <f aca="false">R32</f>
        <v>55102740.2499543</v>
      </c>
      <c r="T29" s="270" t="n">
        <f aca="false">S32</f>
        <v>55812184.1489265</v>
      </c>
      <c r="U29" s="270" t="n">
        <f aca="false">T32</f>
        <v>56645009.595546</v>
      </c>
      <c r="V29" s="270" t="n">
        <f aca="false">U32</f>
        <v>57477835.0421655</v>
      </c>
      <c r="W29" s="270" t="n">
        <f aca="false">V32</f>
        <v>73310660.488785</v>
      </c>
      <c r="X29" s="270" t="n">
        <f aca="false">W32</f>
        <v>74236022.09614</v>
      </c>
      <c r="Y29" s="270" t="n">
        <f aca="false">X32</f>
        <v>75161383.703495</v>
      </c>
      <c r="Z29" s="270" t="n">
        <f aca="false">Y32</f>
        <v>76086745.31085</v>
      </c>
      <c r="AA29" s="270" t="n">
        <f aca="false">Z32</f>
        <v>81203499.4195207</v>
      </c>
      <c r="AB29" s="270" t="n">
        <f aca="false">AA32</f>
        <v>86320253.5281913</v>
      </c>
      <c r="AC29" s="270" t="n">
        <f aca="false">AB32</f>
        <v>91437007.636862</v>
      </c>
      <c r="AD29" s="270" t="n">
        <f aca="false">AC32</f>
        <v>97321274.8618332</v>
      </c>
      <c r="AE29" s="270" t="n">
        <f aca="false">AD32</f>
        <v>103205542.086805</v>
      </c>
      <c r="AF29" s="270" t="n">
        <f aca="false">AE32</f>
        <v>109089809.311776</v>
      </c>
      <c r="AG29" s="270" t="n">
        <f aca="false">AF32</f>
        <v>115997427.358481</v>
      </c>
      <c r="AH29" s="270" t="n">
        <f aca="false">AG32</f>
        <v>122905045.405187</v>
      </c>
      <c r="AI29" s="270" t="n">
        <f aca="false">AH32</f>
        <v>129812663.451892</v>
      </c>
      <c r="AJ29" s="270" t="n">
        <f aca="false">AI32</f>
        <v>137487794.614898</v>
      </c>
      <c r="AK29" s="270" t="n">
        <f aca="false">AJ32</f>
        <v>145162925.777904</v>
      </c>
      <c r="AL29" s="270" t="n">
        <f aca="false">AK32</f>
        <v>152838056.94091</v>
      </c>
      <c r="AM29" s="270" t="n">
        <f aca="false">AL32</f>
        <v>163500779.243893</v>
      </c>
      <c r="AN29" s="270" t="n">
        <f aca="false">AM32</f>
        <v>174163501.546876</v>
      </c>
      <c r="AO29" s="270" t="n">
        <f aca="false">AN32</f>
        <v>184826223.84986</v>
      </c>
      <c r="AP29" s="270" t="n">
        <f aca="false">AO32</f>
        <v>197088354.49829</v>
      </c>
      <c r="AQ29" s="270" t="n">
        <f aca="false">AP32</f>
        <v>209350485.146721</v>
      </c>
      <c r="AR29" s="270" t="n">
        <f aca="false">AQ32</f>
        <v>221612615.795152</v>
      </c>
      <c r="AS29" s="270" t="n">
        <f aca="false">AR32</f>
        <v>236007290.904179</v>
      </c>
      <c r="AT29" s="270" t="n">
        <f aca="false">AS32</f>
        <v>250401966.013206</v>
      </c>
      <c r="AU29" s="270" t="n">
        <f aca="false">AT32</f>
        <v>264796641.122234</v>
      </c>
      <c r="AV29" s="270" t="n">
        <f aca="false">AU32</f>
        <v>280790724.576708</v>
      </c>
      <c r="AW29" s="270" t="n">
        <f aca="false">AV32</f>
        <v>296784808.031183</v>
      </c>
      <c r="AX29" s="270" t="n">
        <f aca="false">AW32</f>
        <v>312778891.485658</v>
      </c>
      <c r="AY29" s="270" t="n">
        <f aca="false">AX32</f>
        <v>332096223.448383</v>
      </c>
      <c r="AZ29" s="270" t="n">
        <f aca="false">AY32</f>
        <v>351413555.411108</v>
      </c>
      <c r="BA29" s="270" t="n">
        <f aca="false">AZ32</f>
        <v>370730887.373833</v>
      </c>
      <c r="BB29" s="270" t="n">
        <f aca="false">BA32</f>
        <v>392945819.130967</v>
      </c>
      <c r="BC29" s="270" t="n">
        <f aca="false">BB32</f>
        <v>415160750.888101</v>
      </c>
      <c r="BD29" s="270" t="n">
        <f aca="false">BC32</f>
        <v>437375682.645235</v>
      </c>
      <c r="BE29" s="270" t="n">
        <f aca="false">BD32</f>
        <v>463454080.794914</v>
      </c>
      <c r="BF29" s="270" t="n">
        <f aca="false">BE32</f>
        <v>489532478.944592</v>
      </c>
      <c r="BG29" s="270" t="n">
        <f aca="false">BF32</f>
        <v>515610877.094271</v>
      </c>
      <c r="BH29" s="270" t="n">
        <f aca="false">BG32</f>
        <v>544586875.038359</v>
      </c>
      <c r="BI29" s="270" t="n">
        <f aca="false">BH32</f>
        <v>573562872.982446</v>
      </c>
    </row>
    <row r="30" customFormat="false" ht="15" hidden="false" customHeight="true" outlineLevel="0" collapsed="false">
      <c r="A30" s="102" t="s">
        <v>459</v>
      </c>
      <c r="B30" s="270" t="n">
        <f aca="false">B10</f>
        <v>-0</v>
      </c>
      <c r="C30" s="270" t="n">
        <f aca="false">C10</f>
        <v>-583347.911621428</v>
      </c>
      <c r="D30" s="270" t="n">
        <f aca="false">D10</f>
        <v>-583347.911621428</v>
      </c>
      <c r="E30" s="270" t="n">
        <f aca="false">E10</f>
        <v>-670850.098364643</v>
      </c>
      <c r="F30" s="270" t="n">
        <f aca="false">F10</f>
        <v>-670850.098364643</v>
      </c>
      <c r="G30" s="270" t="n">
        <f aca="false">G10</f>
        <v>-670850.098364643</v>
      </c>
      <c r="H30" s="270" t="n">
        <f aca="false">H10</f>
        <v>-787519.680688929</v>
      </c>
      <c r="I30" s="270" t="n">
        <f aca="false">I10</f>
        <v>-787519.680688929</v>
      </c>
      <c r="J30" s="270" t="n">
        <f aca="false">J10</f>
        <v>-787519.680688929</v>
      </c>
      <c r="K30" s="270" t="n">
        <f aca="false">K10</f>
        <v>-875021.867432142</v>
      </c>
      <c r="L30" s="270" t="n">
        <f aca="false">L10</f>
        <v>-875021.867432142</v>
      </c>
      <c r="M30" s="270" t="n">
        <f aca="false">M10</f>
        <v>-875021.867432142</v>
      </c>
      <c r="N30" s="270" t="n">
        <f aca="false">N10</f>
        <v>616907.738236666</v>
      </c>
      <c r="O30" s="270" t="n">
        <f aca="false">O10</f>
        <v>616907.738236666</v>
      </c>
      <c r="P30" s="270" t="n">
        <f aca="false">P10</f>
        <v>616907.738236666</v>
      </c>
      <c r="Q30" s="270" t="n">
        <f aca="false">Q10</f>
        <v>709443.898972166</v>
      </c>
      <c r="R30" s="270" t="n">
        <f aca="false">R10</f>
        <v>709443.898972166</v>
      </c>
      <c r="S30" s="270" t="n">
        <f aca="false">S10</f>
        <v>709443.898972166</v>
      </c>
      <c r="T30" s="270" t="n">
        <f aca="false">T10</f>
        <v>832825.446619498</v>
      </c>
      <c r="U30" s="270" t="n">
        <f aca="false">U10</f>
        <v>832825.446619498</v>
      </c>
      <c r="V30" s="270" t="n">
        <f aca="false">V10</f>
        <v>832825.446619498</v>
      </c>
      <c r="W30" s="270" t="n">
        <f aca="false">W10</f>
        <v>925361.607354998</v>
      </c>
      <c r="X30" s="270" t="n">
        <f aca="false">X10</f>
        <v>925361.607354998</v>
      </c>
      <c r="Y30" s="270" t="n">
        <f aca="false">Y10</f>
        <v>925361.607354998</v>
      </c>
      <c r="Z30" s="270" t="n">
        <f aca="false">Z10</f>
        <v>5116754.10867067</v>
      </c>
      <c r="AA30" s="270" t="n">
        <f aca="false">AA10</f>
        <v>5116754.10867067</v>
      </c>
      <c r="AB30" s="270" t="n">
        <f aca="false">AB10</f>
        <v>5116754.10867067</v>
      </c>
      <c r="AC30" s="270" t="n">
        <f aca="false">AC10</f>
        <v>5884267.22497127</v>
      </c>
      <c r="AD30" s="270" t="n">
        <f aca="false">AD10</f>
        <v>5884267.22497127</v>
      </c>
      <c r="AE30" s="270" t="n">
        <f aca="false">AE10</f>
        <v>5884267.22497127</v>
      </c>
      <c r="AF30" s="270" t="n">
        <f aca="false">AF10</f>
        <v>6907618.0467054</v>
      </c>
      <c r="AG30" s="270" t="n">
        <f aca="false">AG10</f>
        <v>6907618.0467054</v>
      </c>
      <c r="AH30" s="270" t="n">
        <f aca="false">AH10</f>
        <v>6907618.0467054</v>
      </c>
      <c r="AI30" s="270" t="n">
        <f aca="false">AI10</f>
        <v>7675131.163006</v>
      </c>
      <c r="AJ30" s="270" t="n">
        <f aca="false">AJ10</f>
        <v>7675131.163006</v>
      </c>
      <c r="AK30" s="270" t="n">
        <f aca="false">AK10</f>
        <v>7675131.163006</v>
      </c>
      <c r="AL30" s="270" t="n">
        <f aca="false">AL10</f>
        <v>10662722.3029832</v>
      </c>
      <c r="AM30" s="270" t="n">
        <f aca="false">AM10</f>
        <v>10662722.3029832</v>
      </c>
      <c r="AN30" s="270" t="n">
        <f aca="false">AN10</f>
        <v>10662722.3029832</v>
      </c>
      <c r="AO30" s="270" t="n">
        <f aca="false">AO10</f>
        <v>12262130.6484307</v>
      </c>
      <c r="AP30" s="270" t="n">
        <f aca="false">AP10</f>
        <v>12262130.6484307</v>
      </c>
      <c r="AQ30" s="270" t="n">
        <f aca="false">AQ10</f>
        <v>12262130.6484307</v>
      </c>
      <c r="AR30" s="270" t="n">
        <f aca="false">AR10</f>
        <v>14394675.1090273</v>
      </c>
      <c r="AS30" s="270" t="n">
        <f aca="false">AS10</f>
        <v>14394675.1090273</v>
      </c>
      <c r="AT30" s="270" t="n">
        <f aca="false">AT10</f>
        <v>14394675.1090273</v>
      </c>
      <c r="AU30" s="270" t="n">
        <f aca="false">AU10</f>
        <v>15994083.4544748</v>
      </c>
      <c r="AV30" s="270" t="n">
        <f aca="false">AV10</f>
        <v>15994083.4544748</v>
      </c>
      <c r="AW30" s="270" t="n">
        <f aca="false">AW10</f>
        <v>15994083.4544748</v>
      </c>
      <c r="AX30" s="270" t="n">
        <f aca="false">AX10</f>
        <v>19317331.9627251</v>
      </c>
      <c r="AY30" s="270" t="n">
        <f aca="false">AY10</f>
        <v>19317331.9627251</v>
      </c>
      <c r="AZ30" s="270" t="n">
        <f aca="false">AZ10</f>
        <v>19317331.9627251</v>
      </c>
      <c r="BA30" s="270" t="n">
        <f aca="false">BA10</f>
        <v>22214931.7571338</v>
      </c>
      <c r="BB30" s="270" t="n">
        <f aca="false">BB10</f>
        <v>22214931.7571338</v>
      </c>
      <c r="BC30" s="270" t="n">
        <f aca="false">BC10</f>
        <v>22214931.7571338</v>
      </c>
      <c r="BD30" s="270" t="n">
        <f aca="false">BD10</f>
        <v>26078398.1496788</v>
      </c>
      <c r="BE30" s="270" t="n">
        <f aca="false">BE10</f>
        <v>26078398.1496788</v>
      </c>
      <c r="BF30" s="270" t="n">
        <f aca="false">BF10</f>
        <v>26078398.1496788</v>
      </c>
      <c r="BG30" s="270" t="n">
        <f aca="false">BG10</f>
        <v>28975997.9440876</v>
      </c>
      <c r="BH30" s="270" t="n">
        <f aca="false">BH10</f>
        <v>28975997.9440876</v>
      </c>
      <c r="BI30" s="270" t="n">
        <f aca="false">BI10</f>
        <v>28975997.9440876</v>
      </c>
    </row>
    <row r="31" customFormat="false" ht="15" hidden="false" customHeight="true" outlineLevel="0" collapsed="false">
      <c r="A31" s="102" t="s">
        <v>460</v>
      </c>
      <c r="B31" s="270" t="n">
        <f aca="false">B22</f>
        <v>0</v>
      </c>
      <c r="C31" s="270" t="n">
        <f aca="false">C22</f>
        <v>0</v>
      </c>
      <c r="D31" s="270" t="n">
        <f aca="false">D22</f>
        <v>3750000</v>
      </c>
      <c r="E31" s="270" t="n">
        <f aca="false">E22</f>
        <v>0</v>
      </c>
      <c r="F31" s="270" t="n">
        <f aca="false">F22</f>
        <v>0</v>
      </c>
      <c r="G31" s="270" t="n">
        <f aca="false">G22</f>
        <v>3750000</v>
      </c>
      <c r="H31" s="270" t="n">
        <f aca="false">H22</f>
        <v>0</v>
      </c>
      <c r="I31" s="270" t="n">
        <f aca="false">I22</f>
        <v>0</v>
      </c>
      <c r="J31" s="270" t="n">
        <f aca="false">J22</f>
        <v>3750000</v>
      </c>
      <c r="K31" s="270" t="n">
        <f aca="false">K22</f>
        <v>0</v>
      </c>
      <c r="L31" s="270" t="n">
        <f aca="false">L22</f>
        <v>0</v>
      </c>
      <c r="M31" s="270" t="n">
        <f aca="false">M22</f>
        <v>3750000</v>
      </c>
      <c r="N31" s="270" t="n">
        <f aca="false">N22</f>
        <v>15000000</v>
      </c>
      <c r="O31" s="270" t="n">
        <f aca="false">O22</f>
        <v>0</v>
      </c>
      <c r="P31" s="270" t="n">
        <f aca="false">P22</f>
        <v>0</v>
      </c>
      <c r="Q31" s="270" t="n">
        <f aca="false">Q22</f>
        <v>0</v>
      </c>
      <c r="R31" s="270" t="n">
        <f aca="false">R22</f>
        <v>15000000</v>
      </c>
      <c r="S31" s="270" t="n">
        <f aca="false">S22</f>
        <v>0</v>
      </c>
      <c r="T31" s="270" t="n">
        <f aca="false">T22</f>
        <v>0</v>
      </c>
      <c r="U31" s="270" t="n">
        <f aca="false">U22</f>
        <v>0</v>
      </c>
      <c r="V31" s="270" t="n">
        <f aca="false">V22</f>
        <v>15000000</v>
      </c>
      <c r="W31" s="270" t="n">
        <f aca="false">W22</f>
        <v>0</v>
      </c>
      <c r="X31" s="270" t="n">
        <f aca="false">X22</f>
        <v>0</v>
      </c>
      <c r="Y31" s="270" t="n">
        <f aca="false">Y22</f>
        <v>0</v>
      </c>
      <c r="Z31" s="270" t="n">
        <f aca="false">Z22</f>
        <v>0</v>
      </c>
      <c r="AA31" s="270" t="n">
        <f aca="false">AA22</f>
        <v>0</v>
      </c>
      <c r="AB31" s="270" t="n">
        <f aca="false">AB22</f>
        <v>0</v>
      </c>
      <c r="AC31" s="270" t="n">
        <f aca="false">AC22</f>
        <v>0</v>
      </c>
      <c r="AD31" s="270" t="n">
        <f aca="false">AD22</f>
        <v>0</v>
      </c>
      <c r="AE31" s="270" t="n">
        <f aca="false">AE22</f>
        <v>0</v>
      </c>
      <c r="AF31" s="270" t="n">
        <f aca="false">AF22</f>
        <v>0</v>
      </c>
      <c r="AG31" s="270" t="n">
        <f aca="false">AG22</f>
        <v>0</v>
      </c>
      <c r="AH31" s="270" t="n">
        <f aca="false">AH22</f>
        <v>0</v>
      </c>
      <c r="AI31" s="270" t="n">
        <f aca="false">AI22</f>
        <v>0</v>
      </c>
      <c r="AJ31" s="270" t="n">
        <f aca="false">AJ22</f>
        <v>0</v>
      </c>
      <c r="AK31" s="270" t="n">
        <f aca="false">AK22</f>
        <v>0</v>
      </c>
      <c r="AL31" s="270" t="n">
        <f aca="false">AL22</f>
        <v>0</v>
      </c>
      <c r="AM31" s="270" t="n">
        <f aca="false">AM22</f>
        <v>0</v>
      </c>
      <c r="AN31" s="270" t="n">
        <f aca="false">AN22</f>
        <v>0</v>
      </c>
      <c r="AO31" s="270" t="n">
        <f aca="false">AO22</f>
        <v>0</v>
      </c>
      <c r="AP31" s="270" t="n">
        <f aca="false">AP22</f>
        <v>0</v>
      </c>
      <c r="AQ31" s="270" t="n">
        <f aca="false">AQ22</f>
        <v>0</v>
      </c>
      <c r="AR31" s="270" t="n">
        <f aca="false">AR22</f>
        <v>0</v>
      </c>
      <c r="AS31" s="270" t="n">
        <f aca="false">AS22</f>
        <v>0</v>
      </c>
      <c r="AT31" s="270" t="n">
        <f aca="false">AT22</f>
        <v>0</v>
      </c>
      <c r="AU31" s="270" t="n">
        <f aca="false">AU22</f>
        <v>0</v>
      </c>
      <c r="AV31" s="270" t="n">
        <f aca="false">AV22</f>
        <v>0</v>
      </c>
      <c r="AW31" s="270" t="n">
        <f aca="false">AW22</f>
        <v>0</v>
      </c>
      <c r="AX31" s="270" t="n">
        <f aca="false">AX22</f>
        <v>0</v>
      </c>
      <c r="AY31" s="270" t="n">
        <f aca="false">AY22</f>
        <v>0</v>
      </c>
      <c r="AZ31" s="270" t="n">
        <f aca="false">AZ22</f>
        <v>0</v>
      </c>
      <c r="BA31" s="270" t="n">
        <f aca="false">BA22</f>
        <v>0</v>
      </c>
      <c r="BB31" s="270" t="n">
        <f aca="false">BB22</f>
        <v>0</v>
      </c>
      <c r="BC31" s="270" t="n">
        <f aca="false">BC22</f>
        <v>0</v>
      </c>
      <c r="BD31" s="270" t="n">
        <f aca="false">BD22</f>
        <v>0</v>
      </c>
      <c r="BE31" s="270" t="n">
        <f aca="false">BE22</f>
        <v>0</v>
      </c>
      <c r="BF31" s="270" t="n">
        <f aca="false">BF22</f>
        <v>0</v>
      </c>
      <c r="BG31" s="270" t="n">
        <f aca="false">BG22</f>
        <v>0</v>
      </c>
      <c r="BH31" s="270" t="n">
        <f aca="false">BH22</f>
        <v>0</v>
      </c>
      <c r="BI31" s="270" t="n">
        <f aca="false">BI22</f>
        <v>0</v>
      </c>
    </row>
    <row r="32" customFormat="false" ht="15" hidden="false" customHeight="true" outlineLevel="0" collapsed="false">
      <c r="A32" s="268" t="s">
        <v>461</v>
      </c>
      <c r="B32" s="269" t="n">
        <f aca="false">B29+B30+B31</f>
        <v>15000000</v>
      </c>
      <c r="C32" s="269" t="n">
        <f aca="false">C29+C30+C31</f>
        <v>14416652.0883786</v>
      </c>
      <c r="D32" s="269" t="n">
        <f aca="false">D29+D30+D31</f>
        <v>17583304.1767571</v>
      </c>
      <c r="E32" s="269" t="n">
        <f aca="false">E29+E30+E31</f>
        <v>16912454.0783925</v>
      </c>
      <c r="F32" s="269" t="n">
        <f aca="false">F29+F30+F31</f>
        <v>16241603.9800279</v>
      </c>
      <c r="G32" s="269" t="n">
        <f aca="false">G29+G30+G31</f>
        <v>19320753.8816632</v>
      </c>
      <c r="H32" s="269" t="n">
        <f aca="false">H29+H30+H31</f>
        <v>18533234.2009743</v>
      </c>
      <c r="I32" s="269" t="n">
        <f aca="false">I29+I30+I31</f>
        <v>17745714.5202854</v>
      </c>
      <c r="J32" s="269" t="n">
        <f aca="false">J29+J30+J31</f>
        <v>20708194.8395964</v>
      </c>
      <c r="K32" s="269" t="n">
        <f aca="false">K29+K30+K31</f>
        <v>19833172.9721643</v>
      </c>
      <c r="L32" s="269" t="n">
        <f aca="false">L29+L30+L31</f>
        <v>18958151.1047321</v>
      </c>
      <c r="M32" s="269" t="n">
        <f aca="false">M29+M30+M31</f>
        <v>21833129.2373</v>
      </c>
      <c r="N32" s="269" t="n">
        <f aca="false">N29+N30+N31</f>
        <v>37450036.9755367</v>
      </c>
      <c r="O32" s="269" t="n">
        <f aca="false">O29+O30+O31</f>
        <v>38066944.7137733</v>
      </c>
      <c r="P32" s="269" t="n">
        <f aca="false">P29+P30+P31</f>
        <v>38683852.45201</v>
      </c>
      <c r="Q32" s="269" t="n">
        <f aca="false">Q29+Q30+Q31</f>
        <v>39393296.3509822</v>
      </c>
      <c r="R32" s="269" t="n">
        <f aca="false">R29+R30+R31</f>
        <v>55102740.2499543</v>
      </c>
      <c r="S32" s="269" t="n">
        <f aca="false">S29+S30+S31</f>
        <v>55812184.1489265</v>
      </c>
      <c r="T32" s="269" t="n">
        <f aca="false">T29+T30+T31</f>
        <v>56645009.595546</v>
      </c>
      <c r="U32" s="269" t="n">
        <f aca="false">U29+U30+U31</f>
        <v>57477835.0421655</v>
      </c>
      <c r="V32" s="269" t="n">
        <f aca="false">V29+V30+V31</f>
        <v>73310660.488785</v>
      </c>
      <c r="W32" s="269" t="n">
        <f aca="false">W29+W30+W31</f>
        <v>74236022.09614</v>
      </c>
      <c r="X32" s="269" t="n">
        <f aca="false">X29+X30+X31</f>
        <v>75161383.703495</v>
      </c>
      <c r="Y32" s="269" t="n">
        <f aca="false">Y29+Y30+Y31</f>
        <v>76086745.31085</v>
      </c>
      <c r="Z32" s="269" t="n">
        <f aca="false">Z29+Z30+Z31</f>
        <v>81203499.4195207</v>
      </c>
      <c r="AA32" s="269" t="n">
        <f aca="false">AA29+AA30+AA31</f>
        <v>86320253.5281913</v>
      </c>
      <c r="AB32" s="269" t="n">
        <f aca="false">AB29+AB30+AB31</f>
        <v>91437007.636862</v>
      </c>
      <c r="AC32" s="269" t="n">
        <f aca="false">AC29+AC30+AC31</f>
        <v>97321274.8618332</v>
      </c>
      <c r="AD32" s="269" t="n">
        <f aca="false">AD29+AD30+AD31</f>
        <v>103205542.086805</v>
      </c>
      <c r="AE32" s="269" t="n">
        <f aca="false">AE29+AE30+AE31</f>
        <v>109089809.311776</v>
      </c>
      <c r="AF32" s="269" t="n">
        <f aca="false">AF29+AF30+AF31</f>
        <v>115997427.358481</v>
      </c>
      <c r="AG32" s="269" t="n">
        <f aca="false">AG29+AG30+AG31</f>
        <v>122905045.405187</v>
      </c>
      <c r="AH32" s="269" t="n">
        <f aca="false">AH29+AH30+AH31</f>
        <v>129812663.451892</v>
      </c>
      <c r="AI32" s="269" t="n">
        <f aca="false">AI29+AI30+AI31</f>
        <v>137487794.614898</v>
      </c>
      <c r="AJ32" s="269" t="n">
        <f aca="false">AJ29+AJ30+AJ31</f>
        <v>145162925.777904</v>
      </c>
      <c r="AK32" s="269" t="n">
        <f aca="false">AK29+AK30+AK31</f>
        <v>152838056.94091</v>
      </c>
      <c r="AL32" s="269" t="n">
        <f aca="false">AL29+AL30+AL31</f>
        <v>163500779.243893</v>
      </c>
      <c r="AM32" s="269" t="n">
        <f aca="false">AM29+AM30+AM31</f>
        <v>174163501.546876</v>
      </c>
      <c r="AN32" s="269" t="n">
        <f aca="false">AN29+AN30+AN31</f>
        <v>184826223.84986</v>
      </c>
      <c r="AO32" s="269" t="n">
        <f aca="false">AO29+AO30+AO31</f>
        <v>197088354.49829</v>
      </c>
      <c r="AP32" s="269" t="n">
        <f aca="false">AP29+AP30+AP31</f>
        <v>209350485.146721</v>
      </c>
      <c r="AQ32" s="269" t="n">
        <f aca="false">AQ29+AQ30+AQ31</f>
        <v>221612615.795152</v>
      </c>
      <c r="AR32" s="269" t="n">
        <f aca="false">AR29+AR30+AR31</f>
        <v>236007290.904179</v>
      </c>
      <c r="AS32" s="269" t="n">
        <f aca="false">AS29+AS30+AS31</f>
        <v>250401966.013206</v>
      </c>
      <c r="AT32" s="269" t="n">
        <f aca="false">AT29+AT30+AT31</f>
        <v>264796641.122234</v>
      </c>
      <c r="AU32" s="269" t="n">
        <f aca="false">AU29+AU30+AU31</f>
        <v>280790724.576708</v>
      </c>
      <c r="AV32" s="269" t="n">
        <f aca="false">AV29+AV30+AV31</f>
        <v>296784808.031183</v>
      </c>
      <c r="AW32" s="269" t="n">
        <f aca="false">AW29+AW30+AW31</f>
        <v>312778891.485658</v>
      </c>
      <c r="AX32" s="269" t="n">
        <f aca="false">AX29+AX30+AX31</f>
        <v>332096223.448383</v>
      </c>
      <c r="AY32" s="269" t="n">
        <f aca="false">AY29+AY30+AY31</f>
        <v>351413555.411108</v>
      </c>
      <c r="AZ32" s="269" t="n">
        <f aca="false">AZ29+AZ30+AZ31</f>
        <v>370730887.373833</v>
      </c>
      <c r="BA32" s="269" t="n">
        <f aca="false">BA29+BA30+BA31</f>
        <v>392945819.130967</v>
      </c>
      <c r="BB32" s="269" t="n">
        <f aca="false">BB29+BB30+BB31</f>
        <v>415160750.888101</v>
      </c>
      <c r="BC32" s="269" t="n">
        <f aca="false">BC29+BC30+BC31</f>
        <v>437375682.645235</v>
      </c>
      <c r="BD32" s="269" t="n">
        <f aca="false">BD29+BD30+BD31</f>
        <v>463454080.794914</v>
      </c>
      <c r="BE32" s="269" t="n">
        <f aca="false">BE29+BE30+BE31</f>
        <v>489532478.944592</v>
      </c>
      <c r="BF32" s="269" t="n">
        <f aca="false">BF29+BF30+BF31</f>
        <v>515610877.094271</v>
      </c>
      <c r="BG32" s="269" t="n">
        <f aca="false">BG29+BG30+BG31</f>
        <v>544586875.038359</v>
      </c>
      <c r="BH32" s="269" t="n">
        <f aca="false">BH29+BH30+BH31</f>
        <v>573562872.982446</v>
      </c>
      <c r="BI32" s="269" t="n">
        <f aca="false">BI29+BI30+BI31</f>
        <v>602538870.926534</v>
      </c>
    </row>
    <row r="33" customFormat="false" ht="15" hidden="false" customHeight="true" outlineLevel="0" collapsed="false">
      <c r="A33" s="268" t="s">
        <v>462</v>
      </c>
      <c r="B33" s="269" t="n">
        <f aca="false">B21</f>
        <v>0</v>
      </c>
      <c r="C33" s="269" t="n">
        <f aca="false">B33+C21</f>
        <v>0</v>
      </c>
      <c r="D33" s="269" t="n">
        <f aca="false">C33+D21</f>
        <v>0</v>
      </c>
      <c r="E33" s="269" t="n">
        <f aca="false">D33+E21</f>
        <v>0</v>
      </c>
      <c r="F33" s="269" t="n">
        <f aca="false">E33+F21</f>
        <v>0</v>
      </c>
      <c r="G33" s="269" t="n">
        <f aca="false">F33+G21</f>
        <v>0</v>
      </c>
      <c r="H33" s="269" t="n">
        <f aca="false">G33+H21</f>
        <v>0</v>
      </c>
      <c r="I33" s="269" t="n">
        <f aca="false">H33+I21</f>
        <v>0</v>
      </c>
      <c r="J33" s="269" t="n">
        <f aca="false">I33+J21</f>
        <v>0</v>
      </c>
      <c r="K33" s="269" t="n">
        <f aca="false">J33+K21</f>
        <v>0</v>
      </c>
      <c r="L33" s="269" t="n">
        <f aca="false">K33+L21</f>
        <v>0</v>
      </c>
      <c r="M33" s="269" t="n">
        <f aca="false">L33+M21</f>
        <v>0</v>
      </c>
      <c r="N33" s="269" t="n">
        <f aca="false">M33+N21</f>
        <v>24666666.6666667</v>
      </c>
      <c r="O33" s="269" t="n">
        <f aca="false">N33+O21</f>
        <v>49333333.3333334</v>
      </c>
      <c r="P33" s="269" t="n">
        <f aca="false">O33+P21</f>
        <v>74000000</v>
      </c>
      <c r="Q33" s="269" t="n">
        <f aca="false">P33+Q21</f>
        <v>102366666.666667</v>
      </c>
      <c r="R33" s="269" t="n">
        <f aca="false">Q33+R21</f>
        <v>130733333.333333</v>
      </c>
      <c r="S33" s="269" t="n">
        <f aca="false">R33+S21</f>
        <v>159100000</v>
      </c>
      <c r="T33" s="269" t="n">
        <f aca="false">S33+T21</f>
        <v>192400000</v>
      </c>
      <c r="U33" s="269" t="n">
        <f aca="false">T33+U21</f>
        <v>225700000</v>
      </c>
      <c r="V33" s="269" t="n">
        <f aca="false">U33+V21</f>
        <v>259000000</v>
      </c>
      <c r="W33" s="269" t="n">
        <f aca="false">V33+W21</f>
        <v>296000000</v>
      </c>
      <c r="X33" s="269" t="n">
        <f aca="false">W33+X21</f>
        <v>333000000</v>
      </c>
      <c r="Y33" s="269" t="n">
        <f aca="false">X33+Y21</f>
        <v>370000000</v>
      </c>
      <c r="Z33" s="269" t="n">
        <f aca="false">Y33+Z21</f>
        <v>391000000</v>
      </c>
      <c r="AA33" s="269" t="n">
        <f aca="false">Z33+AA21</f>
        <v>412000000</v>
      </c>
      <c r="AB33" s="269" t="n">
        <f aca="false">AA33+AB21</f>
        <v>433000000</v>
      </c>
      <c r="AC33" s="269" t="n">
        <f aca="false">AB33+AC21</f>
        <v>457150000</v>
      </c>
      <c r="AD33" s="269" t="n">
        <f aca="false">AC33+AD21</f>
        <v>481300000</v>
      </c>
      <c r="AE33" s="269" t="n">
        <f aca="false">AD33+AE21</f>
        <v>505450000</v>
      </c>
      <c r="AF33" s="269" t="n">
        <f aca="false">AE33+AF21</f>
        <v>533800000</v>
      </c>
      <c r="AG33" s="269" t="n">
        <f aca="false">AF33+AG21</f>
        <v>562150000</v>
      </c>
      <c r="AH33" s="269" t="n">
        <f aca="false">AG33+AH21</f>
        <v>590500000</v>
      </c>
      <c r="AI33" s="269" t="n">
        <f aca="false">AH33+AI21</f>
        <v>622000000</v>
      </c>
      <c r="AJ33" s="269" t="n">
        <f aca="false">AI33+AJ21</f>
        <v>653500000</v>
      </c>
      <c r="AK33" s="269" t="n">
        <f aca="false">AJ33+AK21</f>
        <v>685000000</v>
      </c>
      <c r="AL33" s="269" t="n">
        <f aca="false">AK33+AL21</f>
        <v>728333333.333334</v>
      </c>
      <c r="AM33" s="269" t="n">
        <f aca="false">AL33+AM21</f>
        <v>771666666.666667</v>
      </c>
      <c r="AN33" s="269" t="n">
        <f aca="false">AM33+AN21</f>
        <v>815000000</v>
      </c>
      <c r="AO33" s="269" t="n">
        <f aca="false">AN33+AO21</f>
        <v>864833333.333334</v>
      </c>
      <c r="AP33" s="269" t="n">
        <f aca="false">AO33+AP21</f>
        <v>914666666.666667</v>
      </c>
      <c r="AQ33" s="269" t="n">
        <f aca="false">AP33+AQ21</f>
        <v>964500000</v>
      </c>
      <c r="AR33" s="269" t="n">
        <f aca="false">AQ33+AR21</f>
        <v>1023000000</v>
      </c>
      <c r="AS33" s="269" t="n">
        <f aca="false">AR33+AS21</f>
        <v>1081500000</v>
      </c>
      <c r="AT33" s="269" t="n">
        <f aca="false">AS33+AT21</f>
        <v>1140000000</v>
      </c>
      <c r="AU33" s="269" t="n">
        <f aca="false">AT33+AU21</f>
        <v>1205000000</v>
      </c>
      <c r="AV33" s="269" t="n">
        <f aca="false">AU33+AV21</f>
        <v>1270000000</v>
      </c>
      <c r="AW33" s="269" t="n">
        <f aca="false">AV33+AW21</f>
        <v>1335000000</v>
      </c>
      <c r="AX33" s="269" t="n">
        <f aca="false">AW33+AX21</f>
        <v>1419333333.33333</v>
      </c>
      <c r="AY33" s="269" t="n">
        <f aca="false">AX33+AY21</f>
        <v>1503666666.66667</v>
      </c>
      <c r="AZ33" s="269" t="n">
        <f aca="false">AY33+AZ21</f>
        <v>1588000000</v>
      </c>
      <c r="BA33" s="269" t="n">
        <f aca="false">AZ33+BA21</f>
        <v>1684983333.33333</v>
      </c>
      <c r="BB33" s="269" t="n">
        <f aca="false">BA33+BB21</f>
        <v>1781966666.66667</v>
      </c>
      <c r="BC33" s="269" t="n">
        <f aca="false">BB33+BC21</f>
        <v>1878950000</v>
      </c>
      <c r="BD33" s="269" t="n">
        <f aca="false">BC33+BD21</f>
        <v>1992800000</v>
      </c>
      <c r="BE33" s="269" t="n">
        <f aca="false">BD33+BE21</f>
        <v>2106650000</v>
      </c>
      <c r="BF33" s="269" t="n">
        <f aca="false">BE33+BF21</f>
        <v>2220500000</v>
      </c>
      <c r="BG33" s="269" t="n">
        <f aca="false">BF33+BG21</f>
        <v>2347000000</v>
      </c>
      <c r="BH33" s="269" t="n">
        <f aca="false">BG33+BH21</f>
        <v>2473500000</v>
      </c>
      <c r="BI33" s="269" t="n">
        <f aca="false">BH33+BI21</f>
        <v>2600000000</v>
      </c>
    </row>
    <row r="34" customFormat="false" ht="15" hidden="false" customHeight="true" outlineLevel="0" collapsed="false">
      <c r="A34" s="102" t="s">
        <v>463</v>
      </c>
      <c r="B34" s="275" t="n">
        <f aca="false">IF(B$4&lt;=2028,4,9)</f>
        <v>4</v>
      </c>
      <c r="C34" s="275" t="n">
        <f aca="false">IF(C$4&lt;=2028,4,9)</f>
        <v>4</v>
      </c>
      <c r="D34" s="275" t="n">
        <f aca="false">IF(D$4&lt;=2028,4,9)</f>
        <v>4</v>
      </c>
      <c r="E34" s="275" t="n">
        <f aca="false">IF(E$4&lt;=2028,4,9)</f>
        <v>4</v>
      </c>
      <c r="F34" s="275" t="n">
        <f aca="false">IF(F$4&lt;=2028,4,9)</f>
        <v>4</v>
      </c>
      <c r="G34" s="275" t="n">
        <f aca="false">IF(G$4&lt;=2028,4,9)</f>
        <v>4</v>
      </c>
      <c r="H34" s="275" t="n">
        <f aca="false">IF(H$4&lt;=2028,4,9)</f>
        <v>4</v>
      </c>
      <c r="I34" s="275" t="n">
        <f aca="false">IF(I$4&lt;=2028,4,9)</f>
        <v>4</v>
      </c>
      <c r="J34" s="275" t="n">
        <f aca="false">IF(J$4&lt;=2028,4,9)</f>
        <v>4</v>
      </c>
      <c r="K34" s="275" t="n">
        <f aca="false">IF(K$4&lt;=2028,4,9)</f>
        <v>4</v>
      </c>
      <c r="L34" s="275" t="n">
        <f aca="false">IF(L$4&lt;=2028,4,9)</f>
        <v>4</v>
      </c>
      <c r="M34" s="275" t="n">
        <f aca="false">IF(M$4&lt;=2028,4,9)</f>
        <v>4</v>
      </c>
      <c r="N34" s="275" t="n">
        <f aca="false">IF(N$4&lt;=2028,4,9)</f>
        <v>4</v>
      </c>
      <c r="O34" s="275" t="n">
        <f aca="false">IF(O$4&lt;=2028,4,9)</f>
        <v>4</v>
      </c>
      <c r="P34" s="275" t="n">
        <f aca="false">IF(P$4&lt;=2028,4,9)</f>
        <v>4</v>
      </c>
      <c r="Q34" s="275" t="n">
        <f aca="false">IF(Q$4&lt;=2028,4,9)</f>
        <v>4</v>
      </c>
      <c r="R34" s="275" t="n">
        <f aca="false">IF(R$4&lt;=2028,4,9)</f>
        <v>4</v>
      </c>
      <c r="S34" s="275" t="n">
        <f aca="false">IF(S$4&lt;=2028,4,9)</f>
        <v>4</v>
      </c>
      <c r="T34" s="275" t="n">
        <f aca="false">IF(T$4&lt;=2028,4,9)</f>
        <v>4</v>
      </c>
      <c r="U34" s="275" t="n">
        <f aca="false">IF(U$4&lt;=2028,4,9)</f>
        <v>4</v>
      </c>
      <c r="V34" s="275" t="n">
        <f aca="false">IF(V$4&lt;=2028,4,9)</f>
        <v>4</v>
      </c>
      <c r="W34" s="275" t="n">
        <f aca="false">IF(W$4&lt;=2028,4,9)</f>
        <v>4</v>
      </c>
      <c r="X34" s="275" t="n">
        <f aca="false">IF(X$4&lt;=2028,4,9)</f>
        <v>4</v>
      </c>
      <c r="Y34" s="275" t="n">
        <f aca="false">IF(Y$4&lt;=2028,4,9)</f>
        <v>4</v>
      </c>
      <c r="Z34" s="275" t="n">
        <f aca="false">IF(Z$4&lt;=2028,4,9)</f>
        <v>9</v>
      </c>
      <c r="AA34" s="275" t="n">
        <f aca="false">IF(AA$4&lt;=2028,4,9)</f>
        <v>9</v>
      </c>
      <c r="AB34" s="275" t="n">
        <f aca="false">IF(AB$4&lt;=2028,4,9)</f>
        <v>9</v>
      </c>
      <c r="AC34" s="275" t="n">
        <f aca="false">IF(AC$4&lt;=2028,4,9)</f>
        <v>9</v>
      </c>
      <c r="AD34" s="275" t="n">
        <f aca="false">IF(AD$4&lt;=2028,4,9)</f>
        <v>9</v>
      </c>
      <c r="AE34" s="275" t="n">
        <f aca="false">IF(AE$4&lt;=2028,4,9)</f>
        <v>9</v>
      </c>
      <c r="AF34" s="275" t="n">
        <f aca="false">IF(AF$4&lt;=2028,4,9)</f>
        <v>9</v>
      </c>
      <c r="AG34" s="275" t="n">
        <f aca="false">IF(AG$4&lt;=2028,4,9)</f>
        <v>9</v>
      </c>
      <c r="AH34" s="275" t="n">
        <f aca="false">IF(AH$4&lt;=2028,4,9)</f>
        <v>9</v>
      </c>
      <c r="AI34" s="275" t="n">
        <f aca="false">IF(AI$4&lt;=2028,4,9)</f>
        <v>9</v>
      </c>
      <c r="AJ34" s="275" t="n">
        <f aca="false">IF(AJ$4&lt;=2028,4,9)</f>
        <v>9</v>
      </c>
      <c r="AK34" s="275" t="n">
        <f aca="false">IF(AK$4&lt;=2028,4,9)</f>
        <v>9</v>
      </c>
      <c r="AL34" s="275" t="n">
        <f aca="false">IF(AL$4&lt;=2028,4,9)</f>
        <v>9</v>
      </c>
      <c r="AM34" s="275" t="n">
        <f aca="false">IF(AM$4&lt;=2028,4,9)</f>
        <v>9</v>
      </c>
      <c r="AN34" s="275" t="n">
        <f aca="false">IF(AN$4&lt;=2028,4,9)</f>
        <v>9</v>
      </c>
      <c r="AO34" s="275" t="n">
        <f aca="false">IF(AO$4&lt;=2028,4,9)</f>
        <v>9</v>
      </c>
      <c r="AP34" s="275" t="n">
        <f aca="false">IF(AP$4&lt;=2028,4,9)</f>
        <v>9</v>
      </c>
      <c r="AQ34" s="275" t="n">
        <f aca="false">IF(AQ$4&lt;=2028,4,9)</f>
        <v>9</v>
      </c>
      <c r="AR34" s="275" t="n">
        <f aca="false">IF(AR$4&lt;=2028,4,9)</f>
        <v>9</v>
      </c>
      <c r="AS34" s="275" t="n">
        <f aca="false">IF(AS$4&lt;=2028,4,9)</f>
        <v>9</v>
      </c>
      <c r="AT34" s="275" t="n">
        <f aca="false">IF(AT$4&lt;=2028,4,9)</f>
        <v>9</v>
      </c>
      <c r="AU34" s="275" t="n">
        <f aca="false">IF(AU$4&lt;=2028,4,9)</f>
        <v>9</v>
      </c>
      <c r="AV34" s="275" t="n">
        <f aca="false">IF(AV$4&lt;=2028,4,9)</f>
        <v>9</v>
      </c>
      <c r="AW34" s="275" t="n">
        <f aca="false">IF(AW$4&lt;=2028,4,9)</f>
        <v>9</v>
      </c>
      <c r="AX34" s="275" t="n">
        <f aca="false">IF(AX$4&lt;=2028,4,9)</f>
        <v>9</v>
      </c>
      <c r="AY34" s="275" t="n">
        <f aca="false">IF(AY$4&lt;=2028,4,9)</f>
        <v>9</v>
      </c>
      <c r="AZ34" s="275" t="n">
        <f aca="false">IF(AZ$4&lt;=2028,4,9)</f>
        <v>9</v>
      </c>
      <c r="BA34" s="275" t="n">
        <f aca="false">IF(BA$4&lt;=2028,4,9)</f>
        <v>9</v>
      </c>
      <c r="BB34" s="275" t="n">
        <f aca="false">IF(BB$4&lt;=2028,4,9)</f>
        <v>9</v>
      </c>
      <c r="BC34" s="275" t="n">
        <f aca="false">IF(BC$4&lt;=2028,4,9)</f>
        <v>9</v>
      </c>
      <c r="BD34" s="275" t="n">
        <f aca="false">IF(BD$4&lt;=2028,4,9)</f>
        <v>9</v>
      </c>
      <c r="BE34" s="275" t="n">
        <f aca="false">IF(BE$4&lt;=2028,4,9)</f>
        <v>9</v>
      </c>
      <c r="BF34" s="275" t="n">
        <f aca="false">IF(BF$4&lt;=2028,4,9)</f>
        <v>9</v>
      </c>
      <c r="BG34" s="275" t="n">
        <f aca="false">IF(BG$4&lt;=2028,4,9)</f>
        <v>9</v>
      </c>
      <c r="BH34" s="275" t="n">
        <f aca="false">IF(BH$4&lt;=2028,4,9)</f>
        <v>9</v>
      </c>
      <c r="BI34" s="275" t="n">
        <f aca="false">IF(BI$4&lt;=2028,4,9)</f>
        <v>9</v>
      </c>
    </row>
    <row r="35" customFormat="false" ht="15" hidden="false" customHeight="true" outlineLevel="0" collapsed="false">
      <c r="A35" s="268" t="s">
        <v>464</v>
      </c>
      <c r="B35" s="276" t="n">
        <f aca="false">IFERROR(B33/MAX(1,B32-IF(B34=9,INDEX('Regulatory Capital Plan'!$B$9:$F$9,1,B$4-2026),0)),0)</f>
        <v>0</v>
      </c>
      <c r="C35" s="276" t="n">
        <f aca="false">IFERROR(C33/MAX(1,C32-IF(C34=9,INDEX('Regulatory Capital Plan'!$B$9:$F$9,1,C$4-2026),0)),0)</f>
        <v>0</v>
      </c>
      <c r="D35" s="276" t="n">
        <f aca="false">IFERROR(D33/MAX(1,D32-IF(D34=9,INDEX('Regulatory Capital Plan'!$B$9:$F$9,1,D$4-2026),0)),0)</f>
        <v>0</v>
      </c>
      <c r="E35" s="276" t="n">
        <f aca="false">IFERROR(E33/MAX(1,E32-IF(E34=9,INDEX('Regulatory Capital Plan'!$B$9:$F$9,1,E$4-2026),0)),0)</f>
        <v>0</v>
      </c>
      <c r="F35" s="276" t="n">
        <f aca="false">IFERROR(F33/MAX(1,F32-IF(F34=9,INDEX('Regulatory Capital Plan'!$B$9:$F$9,1,F$4-2026),0)),0)</f>
        <v>0</v>
      </c>
      <c r="G35" s="276" t="n">
        <f aca="false">IFERROR(G33/MAX(1,G32-IF(G34=9,INDEX('Regulatory Capital Plan'!$B$9:$F$9,1,G$4-2026),0)),0)</f>
        <v>0</v>
      </c>
      <c r="H35" s="276" t="n">
        <f aca="false">IFERROR(H33/MAX(1,H32-IF(H34=9,INDEX('Regulatory Capital Plan'!$B$9:$F$9,1,H$4-2026),0)),0)</f>
        <v>0</v>
      </c>
      <c r="I35" s="276" t="n">
        <f aca="false">IFERROR(I33/MAX(1,I32-IF(I34=9,INDEX('Regulatory Capital Plan'!$B$9:$F$9,1,I$4-2026),0)),0)</f>
        <v>0</v>
      </c>
      <c r="J35" s="276" t="n">
        <f aca="false">IFERROR(J33/MAX(1,J32-IF(J34=9,INDEX('Regulatory Capital Plan'!$B$9:$F$9,1,J$4-2026),0)),0)</f>
        <v>0</v>
      </c>
      <c r="K35" s="276" t="n">
        <f aca="false">IFERROR(K33/MAX(1,K32-IF(K34=9,INDEX('Regulatory Capital Plan'!$B$9:$F$9,1,K$4-2026),0)),0)</f>
        <v>0</v>
      </c>
      <c r="L35" s="276" t="n">
        <f aca="false">IFERROR(L33/MAX(1,L32-IF(L34=9,INDEX('Regulatory Capital Plan'!$B$9:$F$9,1,L$4-2026),0)),0)</f>
        <v>0</v>
      </c>
      <c r="M35" s="276" t="n">
        <f aca="false">IFERROR(M33/MAX(1,M32-IF(M34=9,INDEX('Regulatory Capital Plan'!$B$9:$F$9,1,M$4-2026),0)),0)</f>
        <v>0</v>
      </c>
      <c r="N35" s="276" t="n">
        <f aca="false">IFERROR(N33/MAX(1,N32-IF(N34=9,INDEX('Regulatory Capital Plan'!$B$9:$F$9,1,N$4-2026),0)),0)</f>
        <v>0.658655335448122</v>
      </c>
      <c r="O35" s="276" t="n">
        <f aca="false">IFERROR(O33/MAX(1,O32-IF(O34=9,INDEX('Regulatory Capital Plan'!$B$9:$F$9,1,O$4-2026),0)),0)</f>
        <v>1.29596251299579</v>
      </c>
      <c r="P35" s="276" t="n">
        <f aca="false">IFERROR(P33/MAX(1,P32-IF(P34=9,INDEX('Regulatory Capital Plan'!$B$9:$F$9,1,P$4-2026),0)),0)</f>
        <v>1.91294287692267</v>
      </c>
      <c r="Q35" s="276" t="n">
        <f aca="false">IFERROR(Q33/MAX(1,Q32-IF(Q34=9,INDEX('Regulatory Capital Plan'!$B$9:$F$9,1,Q$4-2026),0)),0)</f>
        <v>2.59858087920877</v>
      </c>
      <c r="R35" s="276" t="n">
        <f aca="false">IFERROR(R33/MAX(1,R32-IF(R34=9,INDEX('Regulatory Capital Plan'!$B$9:$F$9,1,R$4-2026),0)),0)</f>
        <v>2.3725377856039</v>
      </c>
      <c r="S35" s="276" t="n">
        <f aca="false">IFERROR(S33/MAX(1,S32-IF(S34=9,INDEX('Regulatory Capital Plan'!$B$9:$F$9,1,S$4-2026),0)),0)</f>
        <v>2.85063203359799</v>
      </c>
      <c r="T35" s="276" t="n">
        <f aca="false">IFERROR(T33/MAX(1,T32-IF(T34=9,INDEX('Regulatory Capital Plan'!$B$9:$F$9,1,T$4-2026),0)),0)</f>
        <v>3.39659223952411</v>
      </c>
      <c r="U35" s="276" t="n">
        <f aca="false">IFERROR(U33/MAX(1,U32-IF(U34=9,INDEX('Regulatory Capital Plan'!$B$9:$F$9,1,U$4-2026),0)),0)</f>
        <v>3.92673105788392</v>
      </c>
      <c r="V35" s="276" t="n">
        <f aca="false">IFERROR(V33/MAX(1,V32-IF(V34=9,INDEX('Regulatory Capital Plan'!$B$9:$F$9,1,V$4-2026),0)),0)</f>
        <v>3.53291046995303</v>
      </c>
      <c r="W35" s="276" t="n">
        <f aca="false">IFERROR(W33/MAX(1,W32-IF(W34=9,INDEX('Regulatory Capital Plan'!$B$9:$F$9,1,W$4-2026),0)),0)</f>
        <v>3.98728261081477</v>
      </c>
      <c r="X35" s="276" t="n">
        <f aca="false">IFERROR(X33/MAX(1,X32-IF(X34=9,INDEX('Regulatory Capital Plan'!$B$9:$F$9,1,X$4-2026),0)),0)</f>
        <v>4.43046659856151</v>
      </c>
      <c r="Y35" s="276" t="n">
        <f aca="false">IFERROR(Y33/MAX(1,Y32-IF(Y34=9,INDEX('Regulatory Capital Plan'!$B$9:$F$9,1,Y$4-2026),0)),0)</f>
        <v>4.86287064177048</v>
      </c>
      <c r="Z35" s="276" t="n">
        <f aca="false">IFERROR(Z33/MAX(1,Z32-IF(Z34=9,INDEX('Regulatory Capital Plan'!$B$9:$F$9,1,Z$4-2026),0)),0)</f>
        <v>4.99219255432827</v>
      </c>
      <c r="AA35" s="276" t="n">
        <f aca="false">IFERROR(AA33/MAX(1,AA32-IF(AA34=9,INDEX('Regulatory Capital Plan'!$B$9:$F$9,1,AA$4-2026),0)),0)</f>
        <v>4.93773577933502</v>
      </c>
      <c r="AB35" s="276" t="n">
        <f aca="false">IFERROR(AB33/MAX(1,AB32-IF(AB34=9,INDEX('Regulatory Capital Plan'!$B$9:$F$9,1,AB$4-2026),0)),0)</f>
        <v>4.88957202869844</v>
      </c>
      <c r="AC35" s="276" t="n">
        <f aca="false">IFERROR(AC33/MAX(1,AC32-IF(AC34=9,INDEX('Regulatory Capital Plan'!$B$9:$F$9,1,AC$4-2026),0)),0)</f>
        <v>4.84063572237543</v>
      </c>
      <c r="AD35" s="276" t="n">
        <f aca="false">IFERROR(AD33/MAX(1,AD32-IF(AD34=9,INDEX('Regulatory Capital Plan'!$B$9:$F$9,1,AD$4-2026),0)),0)</f>
        <v>4.79743988336909</v>
      </c>
      <c r="AE35" s="276" t="n">
        <f aca="false">IFERROR(AE33/MAX(1,AE32-IF(AE34=9,INDEX('Regulatory Capital Plan'!$B$9:$F$9,1,AE$4-2026),0)),0)</f>
        <v>4.7590303957022</v>
      </c>
      <c r="AF35" s="276" t="n">
        <f aca="false">IFERROR(AF33/MAX(1,AF32-IF(AF34=9,INDEX('Regulatory Capital Plan'!$B$9:$F$9,1,AF$4-2026),0)),0)</f>
        <v>4.71903998626398</v>
      </c>
      <c r="AG35" s="276" t="n">
        <f aca="false">IFERROR(AG33/MAX(1,AG32-IF(AG34=9,INDEX('Regulatory Capital Plan'!$B$9:$F$9,1,AG$4-2026),0)),0)</f>
        <v>4.68365263670937</v>
      </c>
      <c r="AH35" s="276" t="n">
        <f aca="false">IFERROR(AH33/MAX(1,AH32-IF(AH34=9,INDEX('Regulatory Capital Plan'!$B$9:$F$9,1,AH$4-2026),0)),0)</f>
        <v>4.65211685063258</v>
      </c>
      <c r="AI35" s="276" t="n">
        <f aca="false">IFERROR(AI33/MAX(1,AI32-IF(AI34=9,INDEX('Regulatory Capital Plan'!$B$9:$F$9,1,AI$4-2026),0)),0)</f>
        <v>4.62087315840288</v>
      </c>
      <c r="AJ35" s="276" t="n">
        <f aca="false">IFERROR(AJ33/MAX(1,AJ32-IF(AJ34=9,INDEX('Regulatory Capital Plan'!$B$9:$F$9,1,AJ$4-2026),0)),0)</f>
        <v>4.59300023546304</v>
      </c>
      <c r="AK35" s="276" t="n">
        <f aca="false">IFERROR(AK33/MAX(1,AK32-IF(AK34=9,INDEX('Regulatory Capital Plan'!$B$9:$F$9,1,AK$4-2026),0)),0)</f>
        <v>4.56798051102073</v>
      </c>
      <c r="AL35" s="276" t="n">
        <f aca="false">IFERROR(AL33/MAX(1,AL32-IF(AL34=9,INDEX('Regulatory Capital Plan'!$B$9:$F$9,1,AL$4-2026),0)),0)</f>
        <v>4.53452397747471</v>
      </c>
      <c r="AM35" s="276" t="n">
        <f aca="false">IFERROR(AM33/MAX(1,AM32-IF(AM34=9,INDEX('Regulatory Capital Plan'!$B$9:$F$9,1,AM$4-2026),0)),0)</f>
        <v>4.50523293824072</v>
      </c>
      <c r="AN35" s="276" t="n">
        <f aca="false">IFERROR(AN33/MAX(1,AN32-IF(AN34=9,INDEX('Regulatory Capital Plan'!$B$9:$F$9,1,AN$4-2026),0)),0)</f>
        <v>4.47937504832523</v>
      </c>
      <c r="AO35" s="276" t="n">
        <f aca="false">IFERROR(AO33/MAX(1,AO32-IF(AO34=9,INDEX('Regulatory Capital Plan'!$B$9:$F$9,1,AO$4-2026),0)),0)</f>
        <v>4.45314867810881</v>
      </c>
      <c r="AP35" s="276" t="n">
        <f aca="false">IFERROR(AP33/MAX(1,AP32-IF(AP34=9,INDEX('Regulatory Capital Plan'!$B$9:$F$9,1,AP$4-2026),0)),0)</f>
        <v>4.43003745577309</v>
      </c>
      <c r="AQ35" s="276" t="n">
        <f aca="false">IFERROR(AQ33/MAX(1,AQ32-IF(AQ34=9,INDEX('Regulatory Capital Plan'!$B$9:$F$9,1,AQ$4-2026),0)),0)</f>
        <v>4.40951747371892</v>
      </c>
      <c r="AR35" s="276" t="n">
        <f aca="false">IFERROR(AR33/MAX(1,AR32-IF(AR34=9,INDEX('Regulatory Capital Plan'!$B$9:$F$9,1,AR$4-2026),0)),0)</f>
        <v>4.388183218928</v>
      </c>
      <c r="AS35" s="276" t="n">
        <f aca="false">IFERROR(AS33/MAX(1,AS32-IF(AS34=9,INDEX('Regulatory Capital Plan'!$B$9:$F$9,1,AS$4-2026),0)),0)</f>
        <v>4.36933036940544</v>
      </c>
      <c r="AT35" s="276" t="n">
        <f aca="false">IFERROR(AT33/MAX(1,AT32-IF(AT34=9,INDEX('Regulatory Capital Plan'!$B$9:$F$9,1,AT$4-2026),0)),0)</f>
        <v>4.352549796665</v>
      </c>
      <c r="AU35" s="276" t="n">
        <f aca="false">IFERROR(AU33/MAX(1,AU32-IF(AU34=9,INDEX('Regulatory Capital Plan'!$B$9:$F$9,1,AU$4-2026),0)),0)</f>
        <v>4.33594351195904</v>
      </c>
      <c r="AV35" s="276" t="n">
        <f aca="false">IFERROR(AV33/MAX(1,AV32-IF(AV34=9,INDEX('Regulatory Capital Plan'!$B$9:$F$9,1,AV$4-2026),0)),0)</f>
        <v>4.32114463822864</v>
      </c>
      <c r="AW35" s="276" t="n">
        <f aca="false">IFERROR(AW33/MAX(1,AW32-IF(AW34=9,INDEX('Regulatory Capital Plan'!$B$9:$F$9,1,AW$4-2026),0)),0)</f>
        <v>4.30787332942035</v>
      </c>
      <c r="AX35" s="276" t="n">
        <f aca="false">IFERROR(AX33/MAX(1,AX32-IF(AX34=9,INDEX('Regulatory Capital Plan'!$B$9:$F$9,1,AX$4-2026),0)),0)</f>
        <v>4.31126538049947</v>
      </c>
      <c r="AY35" s="276" t="n">
        <f aca="false">IFERROR(AY33/MAX(1,AY32-IF(AY34=9,INDEX('Regulatory Capital Plan'!$B$9:$F$9,1,AY$4-2026),0)),0)</f>
        <v>4.31428142415367</v>
      </c>
      <c r="AZ35" s="276" t="n">
        <f aca="false">IFERROR(AZ33/MAX(1,AZ32-IF(AZ34=9,INDEX('Regulatory Capital Plan'!$B$9:$F$9,1,AZ$4-2026),0)),0)</f>
        <v>4.31698069757001</v>
      </c>
      <c r="BA35" s="276" t="n">
        <f aca="false">IFERROR(BA33/MAX(1,BA32-IF(BA34=9,INDEX('Regulatory Capital Plan'!$B$9:$F$9,1,BA$4-2026),0)),0)</f>
        <v>4.31975434502966</v>
      </c>
      <c r="BB35" s="276" t="n">
        <f aca="false">IFERROR(BB33/MAX(1,BB32-IF(BB34=9,INDEX('Regulatory Capital Plan'!$B$9:$F$9,1,BB$4-2026),0)),0)</f>
        <v>4.32222908661876</v>
      </c>
      <c r="BC35" s="276" t="n">
        <f aca="false">IFERROR(BC33/MAX(1,BC32-IF(BC34=9,INDEX('Regulatory Capital Plan'!$B$9:$F$9,1,BC$4-2026),0)),0)</f>
        <v>4.32445076991729</v>
      </c>
      <c r="BD35" s="276" t="n">
        <f aca="false">IFERROR(BD33/MAX(1,BD32-IF(BD34=9,INDEX('Regulatory Capital Plan'!$B$9:$F$9,1,BD$4-2026),0)),0)</f>
        <v>4.32678536469751</v>
      </c>
      <c r="BE35" s="276" t="n">
        <f aca="false">IFERROR(BE33/MAX(1,BE32-IF(BE34=9,INDEX('Regulatory Capital Plan'!$B$9:$F$9,1,BE$4-2026),0)),0)</f>
        <v>4.32886974954371</v>
      </c>
      <c r="BF35" s="276" t="n">
        <f aca="false">IFERROR(BF33/MAX(1,BF32-IF(BF34=9,INDEX('Regulatory Capital Plan'!$B$9:$F$9,1,BF$4-2026),0)),0)</f>
        <v>4.33074210290296</v>
      </c>
      <c r="BG35" s="276" t="n">
        <f aca="false">IFERROR(BG33/MAX(1,BG32-IF(BG34=9,INDEX('Regulatory Capital Plan'!$B$9:$F$9,1,BG$4-2026),0)),0)</f>
        <v>4.33261106196425</v>
      </c>
      <c r="BH35" s="276" t="n">
        <f aca="false">IFERROR(BH33/MAX(1,BH32-IF(BH34=9,INDEX('Regulatory Capital Plan'!$B$9:$F$9,1,BH$4-2026),0)),0)</f>
        <v>4.33429023061703</v>
      </c>
      <c r="BI35" s="276" t="n">
        <f aca="false">IFERROR(BI33/MAX(1,BI32-IF(BI34=9,INDEX('Regulatory Capital Plan'!$B$9:$F$9,1,BI$4-2026),0)),0)</f>
        <v>4.33580712139099</v>
      </c>
    </row>
    <row r="36" customFormat="false" ht="14.25" hidden="false" customHeight="true" outlineLevel="0" collapsed="false">
      <c r="A36" s="102" t="s">
        <v>465</v>
      </c>
      <c r="B36" s="1" t="str">
        <f aca="false">IF(B35&lt;=B34,"متوافق","فجوة")</f>
        <v>متوافق</v>
      </c>
      <c r="C36" s="1" t="str">
        <f aca="false">IF(C35&lt;=C34,"متوافق","فجوة")</f>
        <v>متوافق</v>
      </c>
      <c r="D36" s="1" t="str">
        <f aca="false">IF(D35&lt;=D34,"متوافق","فجوة")</f>
        <v>متوافق</v>
      </c>
      <c r="E36" s="1" t="str">
        <f aca="false">IF(E35&lt;=E34,"متوافق","فجوة")</f>
        <v>متوافق</v>
      </c>
      <c r="F36" s="1" t="str">
        <f aca="false">IF(F35&lt;=F34,"متوافق","فجوة")</f>
        <v>متوافق</v>
      </c>
      <c r="G36" s="1" t="str">
        <f aca="false">IF(G35&lt;=G34,"متوافق","فجوة")</f>
        <v>متوافق</v>
      </c>
      <c r="H36" s="1" t="str">
        <f aca="false">IF(H35&lt;=H34,"متوافق","فجوة")</f>
        <v>متوافق</v>
      </c>
      <c r="I36" s="1" t="str">
        <f aca="false">IF(I35&lt;=I34,"متوافق","فجوة")</f>
        <v>متوافق</v>
      </c>
      <c r="J36" s="1" t="str">
        <f aca="false">IF(J35&lt;=J34,"متوافق","فجوة")</f>
        <v>متوافق</v>
      </c>
      <c r="K36" s="1" t="str">
        <f aca="false">IF(K35&lt;=K34,"متوافق","فجوة")</f>
        <v>متوافق</v>
      </c>
      <c r="L36" s="1" t="str">
        <f aca="false">IF(L35&lt;=L34,"متوافق","فجوة")</f>
        <v>متوافق</v>
      </c>
      <c r="M36" s="1" t="str">
        <f aca="false">IF(M35&lt;=M34,"متوافق","فجوة")</f>
        <v>متوافق</v>
      </c>
      <c r="N36" s="1" t="str">
        <f aca="false">IF(N35&lt;=N34,"متوافق","فجوة")</f>
        <v>متوافق</v>
      </c>
      <c r="O36" s="1" t="str">
        <f aca="false">IF(O35&lt;=O34,"متوافق","فجوة")</f>
        <v>متوافق</v>
      </c>
      <c r="P36" s="1" t="str">
        <f aca="false">IF(P35&lt;=P34,"متوافق","فجوة")</f>
        <v>متوافق</v>
      </c>
      <c r="Q36" s="1" t="str">
        <f aca="false">IF(Q35&lt;=Q34,"متوافق","فجوة")</f>
        <v>متوافق</v>
      </c>
      <c r="R36" s="1" t="str">
        <f aca="false">IF(R35&lt;=R34,"متوافق","فجوة")</f>
        <v>متوافق</v>
      </c>
      <c r="S36" s="1" t="str">
        <f aca="false">IF(S35&lt;=S34,"متوافق","فجوة")</f>
        <v>متوافق</v>
      </c>
      <c r="T36" s="1" t="str">
        <f aca="false">IF(T35&lt;=T34,"متوافق","فجوة")</f>
        <v>متوافق</v>
      </c>
      <c r="U36" s="1" t="str">
        <f aca="false">IF(U35&lt;=U34,"متوافق","فجوة")</f>
        <v>متوافق</v>
      </c>
      <c r="V36" s="1" t="str">
        <f aca="false">IF(V35&lt;=V34,"متوافق","فجوة")</f>
        <v>متوافق</v>
      </c>
      <c r="W36" s="1" t="str">
        <f aca="false">IF(W35&lt;=W34,"متوافق","فجوة")</f>
        <v>متوافق</v>
      </c>
      <c r="X36" s="1" t="str">
        <f aca="false">IF(X35&lt;=X34,"متوافق","فجوة")</f>
        <v>فجوة</v>
      </c>
      <c r="Y36" s="1" t="str">
        <f aca="false">IF(Y35&lt;=Y34,"متوافق","فجوة")</f>
        <v>فجوة</v>
      </c>
      <c r="Z36" s="1" t="str">
        <f aca="false">IF(Z35&lt;=Z34,"متوافق","فجوة")</f>
        <v>متوافق</v>
      </c>
      <c r="AA36" s="1" t="str">
        <f aca="false">IF(AA35&lt;=AA34,"متوافق","فجوة")</f>
        <v>متوافق</v>
      </c>
      <c r="AB36" s="1" t="str">
        <f aca="false">IF(AB35&lt;=AB34,"متوافق","فجوة")</f>
        <v>متوافق</v>
      </c>
      <c r="AC36" s="1" t="str">
        <f aca="false">IF(AC35&lt;=AC34,"متوافق","فجوة")</f>
        <v>متوافق</v>
      </c>
      <c r="AD36" s="1" t="str">
        <f aca="false">IF(AD35&lt;=AD34,"متوافق","فجوة")</f>
        <v>متوافق</v>
      </c>
      <c r="AE36" s="1" t="str">
        <f aca="false">IF(AE35&lt;=AE34,"متوافق","فجوة")</f>
        <v>متوافق</v>
      </c>
      <c r="AF36" s="1" t="str">
        <f aca="false">IF(AF35&lt;=AF34,"متوافق","فجوة")</f>
        <v>متوافق</v>
      </c>
      <c r="AG36" s="1" t="str">
        <f aca="false">IF(AG35&lt;=AG34,"متوافق","فجوة")</f>
        <v>متوافق</v>
      </c>
      <c r="AH36" s="1" t="str">
        <f aca="false">IF(AH35&lt;=AH34,"متوافق","فجوة")</f>
        <v>متوافق</v>
      </c>
      <c r="AI36" s="1" t="str">
        <f aca="false">IF(AI35&lt;=AI34,"متوافق","فجوة")</f>
        <v>متوافق</v>
      </c>
      <c r="AJ36" s="1" t="str">
        <f aca="false">IF(AJ35&lt;=AJ34,"متوافق","فجوة")</f>
        <v>متوافق</v>
      </c>
      <c r="AK36" s="1" t="str">
        <f aca="false">IF(AK35&lt;=AK34,"متوافق","فجوة")</f>
        <v>متوافق</v>
      </c>
      <c r="AL36" s="1" t="str">
        <f aca="false">IF(AL35&lt;=AL34,"متوافق","فجوة")</f>
        <v>متوافق</v>
      </c>
      <c r="AM36" s="1" t="str">
        <f aca="false">IF(AM35&lt;=AM34,"متوافق","فجوة")</f>
        <v>متوافق</v>
      </c>
      <c r="AN36" s="1" t="str">
        <f aca="false">IF(AN35&lt;=AN34,"متوافق","فجوة")</f>
        <v>متوافق</v>
      </c>
      <c r="AO36" s="1" t="str">
        <f aca="false">IF(AO35&lt;=AO34,"متوافق","فجوة")</f>
        <v>متوافق</v>
      </c>
      <c r="AP36" s="1" t="str">
        <f aca="false">IF(AP35&lt;=AP34,"متوافق","فجوة")</f>
        <v>متوافق</v>
      </c>
      <c r="AQ36" s="1" t="str">
        <f aca="false">IF(AQ35&lt;=AQ34,"متوافق","فجوة")</f>
        <v>متوافق</v>
      </c>
      <c r="AR36" s="1" t="str">
        <f aca="false">IF(AR35&lt;=AR34,"متوافق","فجوة")</f>
        <v>متوافق</v>
      </c>
      <c r="AS36" s="1" t="str">
        <f aca="false">IF(AS35&lt;=AS34,"متوافق","فجوة")</f>
        <v>متوافق</v>
      </c>
      <c r="AT36" s="1" t="str">
        <f aca="false">IF(AT35&lt;=AT34,"متوافق","فجوة")</f>
        <v>متوافق</v>
      </c>
      <c r="AU36" s="1" t="str">
        <f aca="false">IF(AU35&lt;=AU34,"متوافق","فجوة")</f>
        <v>متوافق</v>
      </c>
      <c r="AV36" s="1" t="str">
        <f aca="false">IF(AV35&lt;=AV34,"متوافق","فجوة")</f>
        <v>متوافق</v>
      </c>
      <c r="AW36" s="1" t="str">
        <f aca="false">IF(AW35&lt;=AW34,"متوافق","فجوة")</f>
        <v>متوافق</v>
      </c>
      <c r="AX36" s="1" t="str">
        <f aca="false">IF(AX35&lt;=AX34,"متوافق","فجوة")</f>
        <v>متوافق</v>
      </c>
      <c r="AY36" s="1" t="str">
        <f aca="false">IF(AY35&lt;=AY34,"متوافق","فجوة")</f>
        <v>متوافق</v>
      </c>
      <c r="AZ36" s="1" t="str">
        <f aca="false">IF(AZ35&lt;=AZ34,"متوافق","فجوة")</f>
        <v>متوافق</v>
      </c>
      <c r="BA36" s="1" t="str">
        <f aca="false">IF(BA35&lt;=BA34,"متوافق","فجوة")</f>
        <v>متوافق</v>
      </c>
      <c r="BB36" s="1" t="str">
        <f aca="false">IF(BB35&lt;=BB34,"متوافق","فجوة")</f>
        <v>متوافق</v>
      </c>
      <c r="BC36" s="1" t="str">
        <f aca="false">IF(BC35&lt;=BC34,"متوافق","فجوة")</f>
        <v>متوافق</v>
      </c>
      <c r="BD36" s="1" t="str">
        <f aca="false">IF(BD35&lt;=BD34,"متوافق","فجوة")</f>
        <v>متوافق</v>
      </c>
      <c r="BE36" s="1" t="str">
        <f aca="false">IF(BE35&lt;=BE34,"متوافق","فجوة")</f>
        <v>متوافق</v>
      </c>
      <c r="BF36" s="1" t="str">
        <f aca="false">IF(BF35&lt;=BF34,"متوافق","فجوة")</f>
        <v>متوافق</v>
      </c>
      <c r="BG36" s="1" t="str">
        <f aca="false">IF(BG35&lt;=BG34,"متوافق","فجوة")</f>
        <v>متوافق</v>
      </c>
      <c r="BH36" s="1" t="str">
        <f aca="false">IF(BH35&lt;=BH34,"متوافق","فجوة")</f>
        <v>متوافق</v>
      </c>
      <c r="BI36" s="1" t="str">
        <f aca="false">IF(BI35&lt;=BI34,"متوافق","فجوة")</f>
        <v>متوافق</v>
      </c>
    </row>
    <row r="37" customFormat="false" ht="15" hidden="false" customHeight="true" outlineLevel="0" collapsed="false">
      <c r="A37" s="277" t="s">
        <v>466</v>
      </c>
      <c r="B37" s="278" t="n">
        <f aca="false">IFERROR(B27/MAX(1,('Income Statement'!B17+'Income Statement'!B18+'Income Statement'!B15)/12-MIN(Assumptions!B78/12,(('Income Statement'!B17+'Income Statement'!B18+'Income Statement'!B15)/12)*90%)),0)</f>
        <v>20.7788421241813</v>
      </c>
      <c r="C37" s="278" t="n">
        <f aca="false">IFERROR(C27/MAX(1,('Income Statement'!B17+'Income Statement'!B18+'Income Statement'!B15)/12-MIN(Assumptions!B78/12,(('Income Statement'!B17+'Income Statement'!B18+'Income Statement'!B15)/12)*90%)),0)</f>
        <v>18.1087322219489</v>
      </c>
      <c r="D37" s="278" t="n">
        <f aca="false">IFERROR(D27/MAX(1,('Income Statement'!B17+'Income Statement'!B18+'Income Statement'!B15)/12-MIN(Assumptions!B78/12,(('Income Statement'!B17+'Income Statement'!B18+'Income Statement'!B15)/12)*90%)),0)</f>
        <v>20.7242729203886</v>
      </c>
      <c r="E37" s="278" t="n">
        <f aca="false">IFERROR(E27/MAX(1,('Income Statement'!B17+'Income Statement'!B18+'Income Statement'!B15)/12-MIN(Assumptions!B78/12,(('Income Statement'!B17+'Income Statement'!B18+'Income Statement'!B15)/12)*90%)),0)</f>
        <v>17.6536465328213</v>
      </c>
      <c r="F37" s="278" t="n">
        <f aca="false">IFERROR(F27/MAX(1,('Income Statement'!B17+'Income Statement'!B18+'Income Statement'!B15)/12-MIN(Assumptions!B78/12,(('Income Statement'!B17+'Income Statement'!B18+'Income Statement'!B15)/12)*90%)),0)</f>
        <v>14.583020145254</v>
      </c>
      <c r="G37" s="278" t="n">
        <f aca="false">IFERROR(G27/MAX(1,('Income Statement'!B17+'Income Statement'!B18+'Income Statement'!B15)/12-MIN(Assumptions!B78/12,(('Income Statement'!B17+'Income Statement'!B18+'Income Statement'!B15)/12)*90%)),0)</f>
        <v>16.7980443583588</v>
      </c>
      <c r="H37" s="278" t="n">
        <f aca="false">IFERROR(H27/MAX(1,('Income Statement'!B17+'Income Statement'!B18+'Income Statement'!B15)/12-MIN(Assumptions!B78/12,(('Income Statement'!B17+'Income Statement'!B18+'Income Statement'!B15)/12)*90%)),0)</f>
        <v>13.193395990345</v>
      </c>
      <c r="I37" s="278" t="n">
        <f aca="false">IFERROR(I27/MAX(1,('Income Statement'!B17+'Income Statement'!B18+'Income Statement'!B15)/12-MIN(Assumptions!B78/12,(('Income Statement'!B17+'Income Statement'!B18+'Income Statement'!B15)/12)*90%)),0)</f>
        <v>9.58874762233124</v>
      </c>
      <c r="J37" s="278" t="n">
        <f aca="false">IFERROR(J27/MAX(1,('Income Statement'!B17+'Income Statement'!B18+'Income Statement'!B15)/12-MIN(Assumptions!B78/12,(('Income Statement'!B17+'Income Statement'!B18+'Income Statement'!B15)/12)*90%)),0)</f>
        <v>11.2697498549895</v>
      </c>
      <c r="K37" s="278" t="n">
        <f aca="false">IFERROR(K27/MAX(1,('Income Statement'!B17+'Income Statement'!B18+'Income Statement'!B15)/12-MIN(Assumptions!B78/12,(('Income Statement'!B17+'Income Statement'!B18+'Income Statement'!B15)/12)*90%)),0)</f>
        <v>7.26458500164091</v>
      </c>
      <c r="L37" s="278" t="n">
        <f aca="false">IFERROR(L27/MAX(1,('Income Statement'!B17+'Income Statement'!B18+'Income Statement'!B15)/12-MIN(Assumptions!B78/12,(('Income Statement'!B17+'Income Statement'!B18+'Income Statement'!B15)/12)*90%)),0)</f>
        <v>3.25942014829228</v>
      </c>
      <c r="M37" s="278" t="n">
        <f aca="false">IFERROR(M27/MAX(1,('Income Statement'!B17+'Income Statement'!B18+'Income Statement'!B15)/12-MIN(Assumptions!B78/12,(('Income Statement'!B17+'Income Statement'!B18+'Income Statement'!B15)/12)*90%)),0)</f>
        <v>4.53990589561574</v>
      </c>
      <c r="N37" s="278" t="n">
        <f aca="false">IFERROR(N27/MAX(1,('Income Statement'!C17+'Income Statement'!C18+'Income Statement'!C15)/12-MIN(Assumptions!C78/12,(('Income Statement'!C17+'Income Statement'!C18+'Income Statement'!C15)/12)*90%)),0)</f>
        <v>31.1384186848603</v>
      </c>
      <c r="O37" s="278" t="n">
        <f aca="false">IFERROR(O27/MAX(1,('Income Statement'!C17+'Income Statement'!C18+'Income Statement'!C15)/12-MIN(Assumptions!C78/12,(('Income Statement'!C17+'Income Statement'!C18+'Income Statement'!C15)/12)*90%)),0)</f>
        <v>25.9992301177502</v>
      </c>
      <c r="P37" s="278" t="n">
        <f aca="false">IFERROR(P27/MAX(1,('Income Statement'!C17+'Income Statement'!C18+'Income Statement'!C15)/12-MIN(Assumptions!C78/12,(('Income Statement'!C17+'Income Statement'!C18+'Income Statement'!C15)/12)*90%)),0)</f>
        <v>20.8600415506402</v>
      </c>
      <c r="Q37" s="278" t="n">
        <f aca="false">IFERROR(Q27/MAX(1,('Income Statement'!C17+'Income Statement'!C18+'Income Statement'!C15)/12-MIN(Assumptions!C78/12,(('Income Statement'!C17+'Income Statement'!C18+'Income Statement'!C15)/12)*90%)),0)</f>
        <v>14.9499746984637</v>
      </c>
      <c r="R37" s="278" t="n">
        <f aca="false">IFERROR(R27/MAX(1,('Income Statement'!C17+'Income Statement'!C18+'Income Statement'!C15)/12-MIN(Assumptions!C78/12,(('Income Statement'!C17+'Income Statement'!C18+'Income Statement'!C15)/12)*90%)),0)</f>
        <v>38.9047098874468</v>
      </c>
      <c r="S37" s="278" t="n">
        <f aca="false">IFERROR(S27/MAX(1,('Income Statement'!C17+'Income Statement'!C18+'Income Statement'!C15)/12-MIN(Assumptions!C78/12,(('Income Statement'!C17+'Income Statement'!C18+'Income Statement'!C15)/12)*90%)),0)</f>
        <v>32.9946430352703</v>
      </c>
      <c r="T37" s="278" t="n">
        <f aca="false">IFERROR(T27/MAX(1,('Income Statement'!C17+'Income Statement'!C18+'Income Statement'!C15)/12-MIN(Assumptions!C78/12,(('Income Statement'!C17+'Income Statement'!C18+'Income Statement'!C15)/12)*90%)),0)</f>
        <v>26.0567384696717</v>
      </c>
      <c r="U37" s="278" t="n">
        <f aca="false">IFERROR(U27/MAX(1,('Income Statement'!C17+'Income Statement'!C18+'Income Statement'!C15)/12-MIN(Assumptions!C78/12,(('Income Statement'!C17+'Income Statement'!C18+'Income Statement'!C15)/12)*90%)),0)</f>
        <v>19.1188339040732</v>
      </c>
      <c r="V37" s="278" t="n">
        <f aca="false">IFERROR(V27/MAX(1,('Income Statement'!C17+'Income Statement'!C18+'Income Statement'!C15)/12-MIN(Assumptions!C78/12,(('Income Statement'!C17+'Income Statement'!C18+'Income Statement'!C15)/12)*90%)),0)</f>
        <v>42.0457313796343</v>
      </c>
      <c r="W37" s="278" t="n">
        <f aca="false">IFERROR(W27/MAX(1,('Income Statement'!C17+'Income Statement'!C18+'Income Statement'!C15)/12-MIN(Assumptions!C78/12,(('Income Statement'!C17+'Income Statement'!C18+'Income Statement'!C15)/12)*90%)),0)</f>
        <v>34.3369485289692</v>
      </c>
      <c r="X37" s="278" t="n">
        <f aca="false">IFERROR(X27/MAX(1,('Income Statement'!C17+'Income Statement'!C18+'Income Statement'!C15)/12-MIN(Assumptions!C78/12,(('Income Statement'!C17+'Income Statement'!C18+'Income Statement'!C15)/12)*90%)),0)</f>
        <v>26.6281656783042</v>
      </c>
      <c r="Y37" s="278" t="n">
        <f aca="false">IFERROR(Y27/MAX(1,('Income Statement'!C17+'Income Statement'!C18+'Income Statement'!C15)/12-MIN(Assumptions!C78/12,(('Income Statement'!C17+'Income Statement'!C18+'Income Statement'!C15)/12)*90%)),0)</f>
        <v>18.9193828276391</v>
      </c>
      <c r="Z37" s="278" t="n">
        <f aca="false">IFERROR(Z27/MAX(1,('Income Statement'!D17+'Income Statement'!D18+'Income Statement'!D15)/12-MIN(Assumptions!D78/12,(('Income Statement'!D17+'Income Statement'!D18+'Income Statement'!D15)/12)*90%)),0)</f>
        <v>8.79547230456978</v>
      </c>
      <c r="AA37" s="278" t="n">
        <f aca="false">IFERROR(AA27/MAX(1,('Income Statement'!D17+'Income Statement'!D18+'Income Statement'!D15)/12-MIN(Assumptions!D78/12,(('Income Statement'!D17+'Income Statement'!D18+'Income Statement'!D15)/12)*90%)),0)</f>
        <v>9.01865213323441</v>
      </c>
      <c r="AB37" s="278" t="n">
        <f aca="false">IFERROR(AB27/MAX(1,('Income Statement'!D17+'Income Statement'!D18+'Income Statement'!D15)/12-MIN(Assumptions!D78/12,(('Income Statement'!D17+'Income Statement'!D18+'Income Statement'!D15)/12)*90%)),0)</f>
        <v>9.24183196189904</v>
      </c>
      <c r="AC37" s="278" t="n">
        <f aca="false">IFERROR(AC27/MAX(1,('Income Statement'!D17+'Income Statement'!D18+'Income Statement'!D15)/12-MIN(Assumptions!D78/12,(('Income Statement'!D17+'Income Statement'!D18+'Income Statement'!D15)/12)*90%)),0)</f>
        <v>9.49848876486337</v>
      </c>
      <c r="AD37" s="278" t="n">
        <f aca="false">IFERROR(AD27/MAX(1,('Income Statement'!D17+'Income Statement'!D18+'Income Statement'!D15)/12-MIN(Assumptions!D78/12,(('Income Statement'!D17+'Income Statement'!D18+'Income Statement'!D15)/12)*90%)),0)</f>
        <v>9.7551455678277</v>
      </c>
      <c r="AE37" s="278" t="n">
        <f aca="false">IFERROR(AE27/MAX(1,('Income Statement'!D17+'Income Statement'!D18+'Income Statement'!D15)/12-MIN(Assumptions!D78/12,(('Income Statement'!D17+'Income Statement'!D18+'Income Statement'!D15)/12)*90%)),0)</f>
        <v>10.011802370792</v>
      </c>
      <c r="AF37" s="278" t="n">
        <f aca="false">IFERROR(AF27/MAX(1,('Income Statement'!D17+'Income Statement'!D18+'Income Statement'!D15)/12-MIN(Assumptions!D78/12,(('Income Statement'!D17+'Income Statement'!D18+'Income Statement'!D15)/12)*90%)),0)</f>
        <v>10.3130951394893</v>
      </c>
      <c r="AG37" s="278" t="n">
        <f aca="false">IFERROR(AG27/MAX(1,('Income Statement'!D17+'Income Statement'!D18+'Income Statement'!D15)/12-MIN(Assumptions!D78/12,(('Income Statement'!D17+'Income Statement'!D18+'Income Statement'!D15)/12)*90%)),0)</f>
        <v>10.6143879081865</v>
      </c>
      <c r="AH37" s="278" t="n">
        <f aca="false">IFERROR(AH27/MAX(1,('Income Statement'!D17+'Income Statement'!D18+'Income Statement'!D15)/12-MIN(Assumptions!D78/12,(('Income Statement'!D17+'Income Statement'!D18+'Income Statement'!D15)/12)*90%)),0)</f>
        <v>10.9156806768838</v>
      </c>
      <c r="AI37" s="278" t="n">
        <f aca="false">IFERROR(AI27/MAX(1,('Income Statement'!D17+'Income Statement'!D18+'Income Statement'!D15)/12-MIN(Assumptions!D78/12,(('Income Statement'!D17+'Income Statement'!D18+'Income Statement'!D15)/12)*90%)),0)</f>
        <v>11.2504504198807</v>
      </c>
      <c r="AJ37" s="278" t="n">
        <f aca="false">IFERROR(AJ27/MAX(1,('Income Statement'!D17+'Income Statement'!D18+'Income Statement'!D15)/12-MIN(Assumptions!D78/12,(('Income Statement'!D17+'Income Statement'!D18+'Income Statement'!D15)/12)*90%)),0)</f>
        <v>11.5852201628777</v>
      </c>
      <c r="AK37" s="278" t="n">
        <f aca="false">IFERROR(AK27/MAX(1,('Income Statement'!D17+'Income Statement'!D18+'Income Statement'!D15)/12-MIN(Assumptions!D78/12,(('Income Statement'!D17+'Income Statement'!D18+'Income Statement'!D15)/12)*90%)),0)</f>
        <v>11.9199899058746</v>
      </c>
      <c r="AL37" s="278" t="n">
        <f aca="false">IFERROR(AL27/MAX(1,('Income Statement'!E17+'Income Statement'!E18+'Income Statement'!E15)/12-MIN(Assumptions!E78/12,(('Income Statement'!E17+'Income Statement'!E18+'Income Statement'!E15)/12)*90%)),0)</f>
        <v>9.34672718960999</v>
      </c>
      <c r="AM37" s="278" t="n">
        <f aca="false">IFERROR(AM27/MAX(1,('Income Statement'!E17+'Income Statement'!E18+'Income Statement'!E15)/12-MIN(Assumptions!E78/12,(('Income Statement'!E17+'Income Statement'!E18+'Income Statement'!E15)/12)*90%)),0)</f>
        <v>11.3067410321672</v>
      </c>
      <c r="AN37" s="278" t="n">
        <f aca="false">IFERROR(AN27/MAX(1,('Income Statement'!E17+'Income Statement'!E18+'Income Statement'!E15)/12-MIN(Assumptions!E78/12,(('Income Statement'!E17+'Income Statement'!E18+'Income Statement'!E15)/12)*90%)),0)</f>
        <v>13.2667548747244</v>
      </c>
      <c r="AO37" s="278" t="n">
        <f aca="false">IFERROR(AO27/MAX(1,('Income Statement'!E17+'Income Statement'!E18+'Income Statement'!E15)/12-MIN(Assumptions!E78/12,(('Income Statement'!E17+'Income Statement'!E18+'Income Statement'!E15)/12)*90%)),0)</f>
        <v>15.5207707936651</v>
      </c>
      <c r="AP37" s="278" t="n">
        <f aca="false">IFERROR(AP27/MAX(1,('Income Statement'!E17+'Income Statement'!E18+'Income Statement'!E15)/12-MIN(Assumptions!E78/12,(('Income Statement'!E17+'Income Statement'!E18+'Income Statement'!E15)/12)*90%)),0)</f>
        <v>17.7747867126059</v>
      </c>
      <c r="AQ37" s="278" t="n">
        <f aca="false">IFERROR(AQ27/MAX(1,('Income Statement'!E17+'Income Statement'!E18+'Income Statement'!E15)/12-MIN(Assumptions!E78/12,(('Income Statement'!E17+'Income Statement'!E18+'Income Statement'!E15)/12)*90%)),0)</f>
        <v>20.0288026315467</v>
      </c>
      <c r="AR37" s="278" t="n">
        <f aca="false">IFERROR(AR27/MAX(1,('Income Statement'!E17+'Income Statement'!E18+'Income Statement'!E15)/12-MIN(Assumptions!E78/12,(('Income Statement'!E17+'Income Statement'!E18+'Income Statement'!E15)/12)*90%)),0)</f>
        <v>22.6748213189989</v>
      </c>
      <c r="AS37" s="278" t="n">
        <f aca="false">IFERROR(AS27/MAX(1,('Income Statement'!E17+'Income Statement'!E18+'Income Statement'!E15)/12-MIN(Assumptions!E78/12,(('Income Statement'!E17+'Income Statement'!E18+'Income Statement'!E15)/12)*90%)),0)</f>
        <v>25.3208400064511</v>
      </c>
      <c r="AT37" s="278" t="n">
        <f aca="false">IFERROR(AT27/MAX(1,('Income Statement'!E17+'Income Statement'!E18+'Income Statement'!E15)/12-MIN(Assumptions!E78/12,(('Income Statement'!E17+'Income Statement'!E18+'Income Statement'!E15)/12)*90%)),0)</f>
        <v>27.9668586939033</v>
      </c>
      <c r="AU37" s="278" t="n">
        <f aca="false">IFERROR(AU27/MAX(1,('Income Statement'!E17+'Income Statement'!E18+'Income Statement'!E15)/12-MIN(Assumptions!E78/12,(('Income Statement'!E17+'Income Statement'!E18+'Income Statement'!E15)/12)*90%)),0)</f>
        <v>30.9068794577391</v>
      </c>
      <c r="AV37" s="278" t="n">
        <f aca="false">IFERROR(AV27/MAX(1,('Income Statement'!E17+'Income Statement'!E18+'Income Statement'!E15)/12-MIN(Assumptions!E78/12,(('Income Statement'!E17+'Income Statement'!E18+'Income Statement'!E15)/12)*90%)),0)</f>
        <v>33.8469002215748</v>
      </c>
      <c r="AW37" s="278" t="n">
        <f aca="false">IFERROR(AW27/MAX(1,('Income Statement'!E17+'Income Statement'!E18+'Income Statement'!E15)/12-MIN(Assumptions!E78/12,(('Income Statement'!E17+'Income Statement'!E18+'Income Statement'!E15)/12)*90%)),0)</f>
        <v>36.7869209854106</v>
      </c>
      <c r="AX37" s="278" t="n">
        <f aca="false">IFERROR(AX27/MAX(1,('Income Statement'!F17+'Income Statement'!F18+'Income Statement'!F15)/12-MIN(Assumptions!F78/12,(('Income Statement'!F17+'Income Statement'!F18+'Income Statement'!F15)/12)*90%)),0)</f>
        <v>24.8931905351621</v>
      </c>
      <c r="AY37" s="278" t="n">
        <f aca="false">IFERROR(AY27/MAX(1,('Income Statement'!F17+'Income Statement'!F18+'Income Statement'!F15)/12-MIN(Assumptions!F78/12,(('Income Statement'!F17+'Income Statement'!F18+'Income Statement'!F15)/12)*90%)),0)</f>
        <v>28.6414706840156</v>
      </c>
      <c r="AZ37" s="278" t="n">
        <f aca="false">IFERROR(AZ27/MAX(1,('Income Statement'!F17+'Income Statement'!F18+'Income Statement'!F15)/12-MIN(Assumptions!F78/12,(('Income Statement'!F17+'Income Statement'!F18+'Income Statement'!F15)/12)*90%)),0)</f>
        <v>32.3897508328692</v>
      </c>
      <c r="BA37" s="278" t="n">
        <f aca="false">IFERROR(BA27/MAX(1,('Income Statement'!F17+'Income Statement'!F18+'Income Statement'!F15)/12-MIN(Assumptions!F78/12,(('Income Statement'!F17+'Income Statement'!F18+'Income Statement'!F15)/12)*90%)),0)</f>
        <v>36.7002730040508</v>
      </c>
      <c r="BB37" s="278" t="n">
        <f aca="false">IFERROR(BB27/MAX(1,('Income Statement'!F17+'Income Statement'!F18+'Income Statement'!F15)/12-MIN(Assumptions!F78/12,(('Income Statement'!F17+'Income Statement'!F18+'Income Statement'!F15)/12)*90%)),0)</f>
        <v>41.0107951752324</v>
      </c>
      <c r="BC37" s="278" t="n">
        <f aca="false">IFERROR(BC27/MAX(1,('Income Statement'!F17+'Income Statement'!F18+'Income Statement'!F15)/12-MIN(Assumptions!F78/12,(('Income Statement'!F17+'Income Statement'!F18+'Income Statement'!F15)/12)*90%)),0)</f>
        <v>45.321317346414</v>
      </c>
      <c r="BD37" s="278" t="n">
        <f aca="false">IFERROR(BD27/MAX(1,('Income Statement'!F17+'Income Statement'!F18+'Income Statement'!F15)/12-MIN(Assumptions!F78/12,(('Income Statement'!F17+'Income Statement'!F18+'Income Statement'!F15)/12)*90%)),0)</f>
        <v>50.3814955473663</v>
      </c>
      <c r="BE37" s="278" t="n">
        <f aca="false">IFERROR(BE27/MAX(1,('Income Statement'!F17+'Income Statement'!F18+'Income Statement'!F15)/12-MIN(Assumptions!F78/12,(('Income Statement'!F17+'Income Statement'!F18+'Income Statement'!F15)/12)*90%)),0)</f>
        <v>55.4416737483186</v>
      </c>
      <c r="BF37" s="278" t="n">
        <f aca="false">IFERROR(BF27/MAX(1,('Income Statement'!F17+'Income Statement'!F18+'Income Statement'!F15)/12-MIN(Assumptions!F78/12,(('Income Statement'!F17+'Income Statement'!F18+'Income Statement'!F15)/12)*90%)),0)</f>
        <v>60.5018519492709</v>
      </c>
      <c r="BG37" s="278" t="n">
        <f aca="false">IFERROR(BG27/MAX(1,('Income Statement'!F17+'Income Statement'!F18+'Income Statement'!F15)/12-MIN(Assumptions!F78/12,(('Income Statement'!F17+'Income Statement'!F18+'Income Statement'!F15)/12)*90%)),0)</f>
        <v>66.1242721725513</v>
      </c>
      <c r="BH37" s="278" t="n">
        <f aca="false">IFERROR(BH27/MAX(1,('Income Statement'!F17+'Income Statement'!F18+'Income Statement'!F15)/12-MIN(Assumptions!F78/12,(('Income Statement'!F17+'Income Statement'!F18+'Income Statement'!F15)/12)*90%)),0)</f>
        <v>71.7466923958316</v>
      </c>
      <c r="BI37" s="278" t="n">
        <f aca="false">IFERROR(BI27/MAX(1,('Income Statement'!F17+'Income Statement'!F18+'Income Statement'!F15)/12-MIN(Assumptions!F78/12,(('Income Statement'!F17+'Income Statement'!F18+'Income Statement'!F15)/12)*90%)),0)</f>
        <v>77.369112619112</v>
      </c>
    </row>
    <row r="38" customFormat="false" ht="14.25" hidden="false" customHeight="true" outlineLevel="0" collapsed="false">
      <c r="A38" s="102" t="s">
        <v>467</v>
      </c>
      <c r="B38" s="1" t="str">
        <f aca="false">IF(B37&gt;=100%,"متوافق استرشاديا - يحتاج آجال/عقود فعلية","فجوة")</f>
        <v>متوافق استرشاديا - يحتاج آجال/عقود فعلية</v>
      </c>
      <c r="C38" s="1" t="str">
        <f aca="false">IF(C37&gt;=100%,"متوافق استرشاديا - يحتاج آجال/عقود فعلية","فجوة")</f>
        <v>متوافق استرشاديا - يحتاج آجال/عقود فعلية</v>
      </c>
      <c r="D38" s="1" t="str">
        <f aca="false">IF(D37&gt;=100%,"متوافق استرشاديا - يحتاج آجال/عقود فعلية","فجوة")</f>
        <v>متوافق استرشاديا - يحتاج آجال/عقود فعلية</v>
      </c>
      <c r="E38" s="1" t="str">
        <f aca="false">IF(E37&gt;=100%,"متوافق استرشاديا - يحتاج آجال/عقود فعلية","فجوة")</f>
        <v>متوافق استرشاديا - يحتاج آجال/عقود فعلية</v>
      </c>
      <c r="F38" s="1" t="str">
        <f aca="false">IF(F37&gt;=100%,"متوافق استرشاديا - يحتاج آجال/عقود فعلية","فجوة")</f>
        <v>متوافق استرشاديا - يحتاج آجال/عقود فعلية</v>
      </c>
      <c r="G38" s="1" t="str">
        <f aca="false">IF(G37&gt;=100%,"متوافق استرشاديا - يحتاج آجال/عقود فعلية","فجوة")</f>
        <v>متوافق استرشاديا - يحتاج آجال/عقود فعلية</v>
      </c>
      <c r="H38" s="1" t="str">
        <f aca="false">IF(H37&gt;=100%,"متوافق استرشاديا - يحتاج آجال/عقود فعلية","فجوة")</f>
        <v>متوافق استرشاديا - يحتاج آجال/عقود فعلية</v>
      </c>
      <c r="I38" s="1" t="str">
        <f aca="false">IF(I37&gt;=100%,"متوافق استرشاديا - يحتاج آجال/عقود فعلية","فجوة")</f>
        <v>متوافق استرشاديا - يحتاج آجال/عقود فعلية</v>
      </c>
      <c r="J38" s="1" t="str">
        <f aca="false">IF(J37&gt;=100%,"متوافق استرشاديا - يحتاج آجال/عقود فعلية","فجوة")</f>
        <v>متوافق استرشاديا - يحتاج آجال/عقود فعلية</v>
      </c>
      <c r="K38" s="1" t="str">
        <f aca="false">IF(K37&gt;=100%,"متوافق استرشاديا - يحتاج آجال/عقود فعلية","فجوة")</f>
        <v>متوافق استرشاديا - يحتاج آجال/عقود فعلية</v>
      </c>
      <c r="L38" s="1" t="str">
        <f aca="false">IF(L37&gt;=100%,"متوافق استرشاديا - يحتاج آجال/عقود فعلية","فجوة")</f>
        <v>متوافق استرشاديا - يحتاج آجال/عقود فعلية</v>
      </c>
      <c r="M38" s="1" t="str">
        <f aca="false">IF(M37&gt;=100%,"متوافق استرشاديا - يحتاج آجال/عقود فعلية","فجوة")</f>
        <v>متوافق استرشاديا - يحتاج آجال/عقود فعلية</v>
      </c>
      <c r="N38" s="1" t="str">
        <f aca="false">IF(N37&gt;=100%,"متوافق استرشاديا - يحتاج آجال/عقود فعلية","فجوة")</f>
        <v>متوافق استرشاديا - يحتاج آجال/عقود فعلية</v>
      </c>
      <c r="O38" s="1" t="str">
        <f aca="false">IF(O37&gt;=100%,"متوافق استرشاديا - يحتاج آجال/عقود فعلية","فجوة")</f>
        <v>متوافق استرشاديا - يحتاج آجال/عقود فعلية</v>
      </c>
      <c r="P38" s="1" t="str">
        <f aca="false">IF(P37&gt;=100%,"متوافق استرشاديا - يحتاج آجال/عقود فعلية","فجوة")</f>
        <v>متوافق استرشاديا - يحتاج آجال/عقود فعلية</v>
      </c>
      <c r="Q38" s="1" t="str">
        <f aca="false">IF(Q37&gt;=100%,"متوافق استرشاديا - يحتاج آجال/عقود فعلية","فجوة")</f>
        <v>متوافق استرشاديا - يحتاج آجال/عقود فعلية</v>
      </c>
      <c r="R38" s="1" t="str">
        <f aca="false">IF(R37&gt;=100%,"متوافق استرشاديا - يحتاج آجال/عقود فعلية","فجوة")</f>
        <v>متوافق استرشاديا - يحتاج آجال/عقود فعلية</v>
      </c>
      <c r="S38" s="1" t="str">
        <f aca="false">IF(S37&gt;=100%,"متوافق استرشاديا - يحتاج آجال/عقود فعلية","فجوة")</f>
        <v>متوافق استرشاديا - يحتاج آجال/عقود فعلية</v>
      </c>
      <c r="T38" s="1" t="str">
        <f aca="false">IF(T37&gt;=100%,"متوافق استرشاديا - يحتاج آجال/عقود فعلية","فجوة")</f>
        <v>متوافق استرشاديا - يحتاج آجال/عقود فعلية</v>
      </c>
      <c r="U38" s="1" t="str">
        <f aca="false">IF(U37&gt;=100%,"متوافق استرشاديا - يحتاج آجال/عقود فعلية","فجوة")</f>
        <v>متوافق استرشاديا - يحتاج آجال/عقود فعلية</v>
      </c>
      <c r="V38" s="1" t="str">
        <f aca="false">IF(V37&gt;=100%,"متوافق استرشاديا - يحتاج آجال/عقود فعلية","فجوة")</f>
        <v>متوافق استرشاديا - يحتاج آجال/عقود فعلية</v>
      </c>
      <c r="W38" s="1" t="str">
        <f aca="false">IF(W37&gt;=100%,"متوافق استرشاديا - يحتاج آجال/عقود فعلية","فجوة")</f>
        <v>متوافق استرشاديا - يحتاج آجال/عقود فعلية</v>
      </c>
      <c r="X38" s="1" t="str">
        <f aca="false">IF(X37&gt;=100%,"متوافق استرشاديا - يحتاج آجال/عقود فعلية","فجوة")</f>
        <v>متوافق استرشاديا - يحتاج آجال/عقود فعلية</v>
      </c>
      <c r="Y38" s="1" t="str">
        <f aca="false">IF(Y37&gt;=100%,"متوافق استرشاديا - يحتاج آجال/عقود فعلية","فجوة")</f>
        <v>متوافق استرشاديا - يحتاج آجال/عقود فعلية</v>
      </c>
      <c r="Z38" s="1" t="str">
        <f aca="false">IF(Z37&gt;=100%,"متوافق استرشاديا - يحتاج آجال/عقود فعلية","فجوة")</f>
        <v>متوافق استرشاديا - يحتاج آجال/عقود فعلية</v>
      </c>
      <c r="AA38" s="1" t="str">
        <f aca="false">IF(AA37&gt;=100%,"متوافق استرشاديا - يحتاج آجال/عقود فعلية","فجوة")</f>
        <v>متوافق استرشاديا - يحتاج آجال/عقود فعلية</v>
      </c>
      <c r="AB38" s="1" t="str">
        <f aca="false">IF(AB37&gt;=100%,"متوافق استرشاديا - يحتاج آجال/عقود فعلية","فجوة")</f>
        <v>متوافق استرشاديا - يحتاج آجال/عقود فعلية</v>
      </c>
      <c r="AC38" s="1" t="str">
        <f aca="false">IF(AC37&gt;=100%,"متوافق استرشاديا - يحتاج آجال/عقود فعلية","فجوة")</f>
        <v>متوافق استرشاديا - يحتاج آجال/عقود فعلية</v>
      </c>
      <c r="AD38" s="1" t="str">
        <f aca="false">IF(AD37&gt;=100%,"متوافق استرشاديا - يحتاج آجال/عقود فعلية","فجوة")</f>
        <v>متوافق استرشاديا - يحتاج آجال/عقود فعلية</v>
      </c>
      <c r="AE38" s="1" t="str">
        <f aca="false">IF(AE37&gt;=100%,"متوافق استرشاديا - يحتاج آجال/عقود فعلية","فجوة")</f>
        <v>متوافق استرشاديا - يحتاج آجال/عقود فعلية</v>
      </c>
      <c r="AF38" s="1" t="str">
        <f aca="false">IF(AF37&gt;=100%,"متوافق استرشاديا - يحتاج آجال/عقود فعلية","فجوة")</f>
        <v>متوافق استرشاديا - يحتاج آجال/عقود فعلية</v>
      </c>
      <c r="AG38" s="1" t="str">
        <f aca="false">IF(AG37&gt;=100%,"متوافق استرشاديا - يحتاج آجال/عقود فعلية","فجوة")</f>
        <v>متوافق استرشاديا - يحتاج آجال/عقود فعلية</v>
      </c>
      <c r="AH38" s="1" t="str">
        <f aca="false">IF(AH37&gt;=100%,"متوافق استرشاديا - يحتاج آجال/عقود فعلية","فجوة")</f>
        <v>متوافق استرشاديا - يحتاج آجال/عقود فعلية</v>
      </c>
      <c r="AI38" s="1" t="str">
        <f aca="false">IF(AI37&gt;=100%,"متوافق استرشاديا - يحتاج آجال/عقود فعلية","فجوة")</f>
        <v>متوافق استرشاديا - يحتاج آجال/عقود فعلية</v>
      </c>
      <c r="AJ38" s="1" t="str">
        <f aca="false">IF(AJ37&gt;=100%,"متوافق استرشاديا - يحتاج آجال/عقود فعلية","فجوة")</f>
        <v>متوافق استرشاديا - يحتاج آجال/عقود فعلية</v>
      </c>
      <c r="AK38" s="1" t="str">
        <f aca="false">IF(AK37&gt;=100%,"متوافق استرشاديا - يحتاج آجال/عقود فعلية","فجوة")</f>
        <v>متوافق استرشاديا - يحتاج آجال/عقود فعلية</v>
      </c>
      <c r="AL38" s="1" t="str">
        <f aca="false">IF(AL37&gt;=100%,"متوافق استرشاديا - يحتاج آجال/عقود فعلية","فجوة")</f>
        <v>متوافق استرشاديا - يحتاج آجال/عقود فعلية</v>
      </c>
      <c r="AM38" s="1" t="str">
        <f aca="false">IF(AM37&gt;=100%,"متوافق استرشاديا - يحتاج آجال/عقود فعلية","فجوة")</f>
        <v>متوافق استرشاديا - يحتاج آجال/عقود فعلية</v>
      </c>
      <c r="AN38" s="1" t="str">
        <f aca="false">IF(AN37&gt;=100%,"متوافق استرشاديا - يحتاج آجال/عقود فعلية","فجوة")</f>
        <v>متوافق استرشاديا - يحتاج آجال/عقود فعلية</v>
      </c>
      <c r="AO38" s="1" t="str">
        <f aca="false">IF(AO37&gt;=100%,"متوافق استرشاديا - يحتاج آجال/عقود فعلية","فجوة")</f>
        <v>متوافق استرشاديا - يحتاج آجال/عقود فعلية</v>
      </c>
      <c r="AP38" s="1" t="str">
        <f aca="false">IF(AP37&gt;=100%,"متوافق استرشاديا - يحتاج آجال/عقود فعلية","فجوة")</f>
        <v>متوافق استرشاديا - يحتاج آجال/عقود فعلية</v>
      </c>
      <c r="AQ38" s="1" t="str">
        <f aca="false">IF(AQ37&gt;=100%,"متوافق استرشاديا - يحتاج آجال/عقود فعلية","فجوة")</f>
        <v>متوافق استرشاديا - يحتاج آجال/عقود فعلية</v>
      </c>
      <c r="AR38" s="1" t="str">
        <f aca="false">IF(AR37&gt;=100%,"متوافق استرشاديا - يحتاج آجال/عقود فعلية","فجوة")</f>
        <v>متوافق استرشاديا - يحتاج آجال/عقود فعلية</v>
      </c>
      <c r="AS38" s="1" t="str">
        <f aca="false">IF(AS37&gt;=100%,"متوافق استرشاديا - يحتاج آجال/عقود فعلية","فجوة")</f>
        <v>متوافق استرشاديا - يحتاج آجال/عقود فعلية</v>
      </c>
      <c r="AT38" s="1" t="str">
        <f aca="false">IF(AT37&gt;=100%,"متوافق استرشاديا - يحتاج آجال/عقود فعلية","فجوة")</f>
        <v>متوافق استرشاديا - يحتاج آجال/عقود فعلية</v>
      </c>
      <c r="AU38" s="1" t="str">
        <f aca="false">IF(AU37&gt;=100%,"متوافق استرشاديا - يحتاج آجال/عقود فعلية","فجوة")</f>
        <v>متوافق استرشاديا - يحتاج آجال/عقود فعلية</v>
      </c>
      <c r="AV38" s="1" t="str">
        <f aca="false">IF(AV37&gt;=100%,"متوافق استرشاديا - يحتاج آجال/عقود فعلية","فجوة")</f>
        <v>متوافق استرشاديا - يحتاج آجال/عقود فعلية</v>
      </c>
      <c r="AW38" s="1" t="str">
        <f aca="false">IF(AW37&gt;=100%,"متوافق استرشاديا - يحتاج آجال/عقود فعلية","فجوة")</f>
        <v>متوافق استرشاديا - يحتاج آجال/عقود فعلية</v>
      </c>
      <c r="AX38" s="1" t="str">
        <f aca="false">IF(AX37&gt;=100%,"متوافق استرشاديا - يحتاج آجال/عقود فعلية","فجوة")</f>
        <v>متوافق استرشاديا - يحتاج آجال/عقود فعلية</v>
      </c>
      <c r="AY38" s="1" t="str">
        <f aca="false">IF(AY37&gt;=100%,"متوافق استرشاديا - يحتاج آجال/عقود فعلية","فجوة")</f>
        <v>متوافق استرشاديا - يحتاج آجال/عقود فعلية</v>
      </c>
      <c r="AZ38" s="1" t="str">
        <f aca="false">IF(AZ37&gt;=100%,"متوافق استرشاديا - يحتاج آجال/عقود فعلية","فجوة")</f>
        <v>متوافق استرشاديا - يحتاج آجال/عقود فعلية</v>
      </c>
      <c r="BA38" s="1" t="str">
        <f aca="false">IF(BA37&gt;=100%,"متوافق استرشاديا - يحتاج آجال/عقود فعلية","فجوة")</f>
        <v>متوافق استرشاديا - يحتاج آجال/عقود فعلية</v>
      </c>
      <c r="BB38" s="1" t="str">
        <f aca="false">IF(BB37&gt;=100%,"متوافق استرشاديا - يحتاج آجال/عقود فعلية","فجوة")</f>
        <v>متوافق استرشاديا - يحتاج آجال/عقود فعلية</v>
      </c>
      <c r="BC38" s="1" t="str">
        <f aca="false">IF(BC37&gt;=100%,"متوافق استرشاديا - يحتاج آجال/عقود فعلية","فجوة")</f>
        <v>متوافق استرشاديا - يحتاج آجال/عقود فعلية</v>
      </c>
      <c r="BD38" s="1" t="str">
        <f aca="false">IF(BD37&gt;=100%,"متوافق استرشاديا - يحتاج آجال/عقود فعلية","فجوة")</f>
        <v>متوافق استرشاديا - يحتاج آجال/عقود فعلية</v>
      </c>
      <c r="BE38" s="1" t="str">
        <f aca="false">IF(BE37&gt;=100%,"متوافق استرشاديا - يحتاج آجال/عقود فعلية","فجوة")</f>
        <v>متوافق استرشاديا - يحتاج آجال/عقود فعلية</v>
      </c>
      <c r="BF38" s="1" t="str">
        <f aca="false">IF(BF37&gt;=100%,"متوافق استرشاديا - يحتاج آجال/عقود فعلية","فجوة")</f>
        <v>متوافق استرشاديا - يحتاج آجال/عقود فعلية</v>
      </c>
      <c r="BG38" s="1" t="str">
        <f aca="false">IF(BG37&gt;=100%,"متوافق استرشاديا - يحتاج آجال/عقود فعلية","فجوة")</f>
        <v>متوافق استرشاديا - يحتاج آجال/عقود فعلية</v>
      </c>
      <c r="BH38" s="1" t="str">
        <f aca="false">IF(BH37&gt;=100%,"متوافق استرشاديا - يحتاج آجال/عقود فعلية","فجوة")</f>
        <v>متوافق استرشاديا - يحتاج آجال/عقود فعلية</v>
      </c>
      <c r="BI38" s="1" t="str">
        <f aca="false">IF(BI37&gt;=100%,"متوافق استرشاديا - يحتاج آجال/عقود فعلية","فجوة")</f>
        <v>متوافق استرشاديا - يحتاج آجال/عقود فعلية</v>
      </c>
    </row>
    <row r="39" customFormat="false" ht="30" hidden="false" customHeight="true" outlineLevel="0" collapsed="false">
      <c r="A39" s="199" t="s">
        <v>468</v>
      </c>
      <c r="B39" s="279" t="n">
        <f aca="false">0</f>
        <v>0</v>
      </c>
      <c r="C39" s="279" t="n">
        <f aca="false">B33</f>
        <v>0</v>
      </c>
      <c r="D39" s="279" t="n">
        <f aca="false">C33</f>
        <v>0</v>
      </c>
      <c r="E39" s="279" t="n">
        <f aca="false">D33</f>
        <v>0</v>
      </c>
      <c r="F39" s="279" t="n">
        <f aca="false">E33</f>
        <v>0</v>
      </c>
      <c r="G39" s="279" t="n">
        <f aca="false">F33</f>
        <v>0</v>
      </c>
      <c r="H39" s="279" t="n">
        <f aca="false">G33</f>
        <v>0</v>
      </c>
      <c r="I39" s="279" t="n">
        <f aca="false">H33</f>
        <v>0</v>
      </c>
      <c r="J39" s="279" t="n">
        <f aca="false">I33</f>
        <v>0</v>
      </c>
      <c r="K39" s="279" t="n">
        <f aca="false">J33</f>
        <v>0</v>
      </c>
      <c r="L39" s="279" t="n">
        <f aca="false">K33</f>
        <v>0</v>
      </c>
      <c r="M39" s="279" t="n">
        <f aca="false">L33</f>
        <v>0</v>
      </c>
      <c r="N39" s="279" t="n">
        <f aca="false">M33</f>
        <v>0</v>
      </c>
      <c r="O39" s="279" t="n">
        <f aca="false">N33</f>
        <v>24666666.6666667</v>
      </c>
      <c r="P39" s="279" t="n">
        <f aca="false">O33</f>
        <v>49333333.3333334</v>
      </c>
      <c r="Q39" s="279" t="n">
        <f aca="false">P33</f>
        <v>74000000</v>
      </c>
      <c r="R39" s="279" t="n">
        <f aca="false">Q33</f>
        <v>102366666.666667</v>
      </c>
      <c r="S39" s="279" t="n">
        <f aca="false">R33</f>
        <v>130733333.333333</v>
      </c>
      <c r="T39" s="279" t="n">
        <f aca="false">S33</f>
        <v>159100000</v>
      </c>
      <c r="U39" s="279" t="n">
        <f aca="false">T33</f>
        <v>192400000</v>
      </c>
      <c r="V39" s="279" t="n">
        <f aca="false">U33</f>
        <v>225700000</v>
      </c>
      <c r="W39" s="279" t="n">
        <f aca="false">V33</f>
        <v>259000000</v>
      </c>
      <c r="X39" s="279" t="n">
        <f aca="false">W33</f>
        <v>296000000</v>
      </c>
      <c r="Y39" s="279" t="n">
        <f aca="false">X33</f>
        <v>333000000</v>
      </c>
      <c r="Z39" s="279" t="n">
        <f aca="false">Y33</f>
        <v>370000000</v>
      </c>
      <c r="AA39" s="279" t="n">
        <f aca="false">Z33</f>
        <v>391000000</v>
      </c>
      <c r="AB39" s="279" t="n">
        <f aca="false">AA33</f>
        <v>412000000</v>
      </c>
      <c r="AC39" s="279" t="n">
        <f aca="false">AB33</f>
        <v>433000000</v>
      </c>
      <c r="AD39" s="279" t="n">
        <f aca="false">AC33</f>
        <v>457150000</v>
      </c>
      <c r="AE39" s="279" t="n">
        <f aca="false">AD33</f>
        <v>481300000</v>
      </c>
      <c r="AF39" s="279" t="n">
        <f aca="false">AE33</f>
        <v>505450000</v>
      </c>
      <c r="AG39" s="279" t="n">
        <f aca="false">AF33</f>
        <v>533800000</v>
      </c>
      <c r="AH39" s="279" t="n">
        <f aca="false">AG33</f>
        <v>562150000</v>
      </c>
      <c r="AI39" s="279" t="n">
        <f aca="false">AH33</f>
        <v>590500000</v>
      </c>
      <c r="AJ39" s="279" t="n">
        <f aca="false">AI33</f>
        <v>622000000</v>
      </c>
      <c r="AK39" s="279" t="n">
        <f aca="false">AJ33</f>
        <v>653500000</v>
      </c>
      <c r="AL39" s="279" t="n">
        <f aca="false">AK33</f>
        <v>685000000</v>
      </c>
      <c r="AM39" s="279" t="n">
        <f aca="false">AL33</f>
        <v>728333333.333334</v>
      </c>
      <c r="AN39" s="279" t="n">
        <f aca="false">AM33</f>
        <v>771666666.666667</v>
      </c>
      <c r="AO39" s="279" t="n">
        <f aca="false">AN33</f>
        <v>815000000</v>
      </c>
      <c r="AP39" s="279" t="n">
        <f aca="false">AO33</f>
        <v>864833333.333334</v>
      </c>
      <c r="AQ39" s="279" t="n">
        <f aca="false">AP33</f>
        <v>914666666.666667</v>
      </c>
      <c r="AR39" s="279" t="n">
        <f aca="false">AQ33</f>
        <v>964500000</v>
      </c>
      <c r="AS39" s="279" t="n">
        <f aca="false">AR33</f>
        <v>1023000000</v>
      </c>
      <c r="AT39" s="279" t="n">
        <f aca="false">AS33</f>
        <v>1081500000</v>
      </c>
      <c r="AU39" s="279" t="n">
        <f aca="false">AT33</f>
        <v>1140000000</v>
      </c>
      <c r="AV39" s="279" t="n">
        <f aca="false">AU33</f>
        <v>1205000000</v>
      </c>
      <c r="AW39" s="279" t="n">
        <f aca="false">AV33</f>
        <v>1270000000</v>
      </c>
      <c r="AX39" s="279" t="n">
        <f aca="false">AW33</f>
        <v>1335000000</v>
      </c>
      <c r="AY39" s="279" t="n">
        <f aca="false">AX33</f>
        <v>1419333333.33333</v>
      </c>
      <c r="AZ39" s="279" t="n">
        <f aca="false">AY33</f>
        <v>1503666666.66667</v>
      </c>
      <c r="BA39" s="279" t="n">
        <f aca="false">AZ33</f>
        <v>1588000000</v>
      </c>
      <c r="BB39" s="279" t="n">
        <f aca="false">BA33</f>
        <v>1684983333.33333</v>
      </c>
      <c r="BC39" s="279" t="n">
        <f aca="false">BB33</f>
        <v>1781966666.66667</v>
      </c>
      <c r="BD39" s="279" t="n">
        <f aca="false">BC33</f>
        <v>1878950000</v>
      </c>
      <c r="BE39" s="279" t="n">
        <f aca="false">BD33</f>
        <v>1992800000</v>
      </c>
      <c r="BF39" s="279" t="n">
        <f aca="false">BE33</f>
        <v>2106650000</v>
      </c>
      <c r="BG39" s="279" t="n">
        <f aca="false">BF33</f>
        <v>2220500000</v>
      </c>
      <c r="BH39" s="279" t="n">
        <f aca="false">BG33</f>
        <v>2347000000</v>
      </c>
      <c r="BI39" s="279" t="n">
        <f aca="false">BH33</f>
        <v>2473500000</v>
      </c>
    </row>
    <row r="40" customFormat="false" ht="30" hidden="false" customHeight="true" outlineLevel="0" collapsed="false">
      <c r="A40" s="199" t="s">
        <v>469</v>
      </c>
      <c r="B40" s="279" t="n">
        <f aca="false">AVERAGE(B39,B33)</f>
        <v>0</v>
      </c>
      <c r="C40" s="279" t="n">
        <f aca="false">AVERAGE(C39,C33)</f>
        <v>0</v>
      </c>
      <c r="D40" s="279" t="n">
        <f aca="false">AVERAGE(D39,D33)</f>
        <v>0</v>
      </c>
      <c r="E40" s="279" t="n">
        <f aca="false">AVERAGE(E39,E33)</f>
        <v>0</v>
      </c>
      <c r="F40" s="279" t="n">
        <f aca="false">AVERAGE(F39,F33)</f>
        <v>0</v>
      </c>
      <c r="G40" s="279" t="n">
        <f aca="false">AVERAGE(G39,G33)</f>
        <v>0</v>
      </c>
      <c r="H40" s="279" t="n">
        <f aca="false">AVERAGE(H39,H33)</f>
        <v>0</v>
      </c>
      <c r="I40" s="279" t="n">
        <f aca="false">AVERAGE(I39,I33)</f>
        <v>0</v>
      </c>
      <c r="J40" s="279" t="n">
        <f aca="false">AVERAGE(J39,J33)</f>
        <v>0</v>
      </c>
      <c r="K40" s="279" t="n">
        <f aca="false">AVERAGE(K39,K33)</f>
        <v>0</v>
      </c>
      <c r="L40" s="279" t="n">
        <f aca="false">AVERAGE(L39,L33)</f>
        <v>0</v>
      </c>
      <c r="M40" s="279" t="n">
        <f aca="false">AVERAGE(M39,M33)</f>
        <v>0</v>
      </c>
      <c r="N40" s="279" t="n">
        <f aca="false">AVERAGE(N39,N33)</f>
        <v>12333333.3333333</v>
      </c>
      <c r="O40" s="279" t="n">
        <f aca="false">AVERAGE(O39,O33)</f>
        <v>37000000</v>
      </c>
      <c r="P40" s="279" t="n">
        <f aca="false">AVERAGE(P39,P33)</f>
        <v>61666666.6666667</v>
      </c>
      <c r="Q40" s="279" t="n">
        <f aca="false">AVERAGE(Q39,Q33)</f>
        <v>88183333.3333334</v>
      </c>
      <c r="R40" s="279" t="n">
        <f aca="false">AVERAGE(R39,R33)</f>
        <v>116550000</v>
      </c>
      <c r="S40" s="279" t="n">
        <f aca="false">AVERAGE(S39,S33)</f>
        <v>144916666.666667</v>
      </c>
      <c r="T40" s="279" t="n">
        <f aca="false">AVERAGE(T39,T33)</f>
        <v>175750000</v>
      </c>
      <c r="U40" s="279" t="n">
        <f aca="false">AVERAGE(U39,U33)</f>
        <v>209050000</v>
      </c>
      <c r="V40" s="279" t="n">
        <f aca="false">AVERAGE(V39,V33)</f>
        <v>242350000</v>
      </c>
      <c r="W40" s="279" t="n">
        <f aca="false">AVERAGE(W39,W33)</f>
        <v>277500000</v>
      </c>
      <c r="X40" s="279" t="n">
        <f aca="false">AVERAGE(X39,X33)</f>
        <v>314500000</v>
      </c>
      <c r="Y40" s="279" t="n">
        <f aca="false">AVERAGE(Y39,Y33)</f>
        <v>351500000</v>
      </c>
      <c r="Z40" s="279" t="n">
        <f aca="false">AVERAGE(Z39,Z33)</f>
        <v>380500000</v>
      </c>
      <c r="AA40" s="279" t="n">
        <f aca="false">AVERAGE(AA39,AA33)</f>
        <v>401500000</v>
      </c>
      <c r="AB40" s="279" t="n">
        <f aca="false">AVERAGE(AB39,AB33)</f>
        <v>422500000</v>
      </c>
      <c r="AC40" s="279" t="n">
        <f aca="false">AVERAGE(AC39,AC33)</f>
        <v>445075000</v>
      </c>
      <c r="AD40" s="279" t="n">
        <f aca="false">AVERAGE(AD39,AD33)</f>
        <v>469225000</v>
      </c>
      <c r="AE40" s="279" t="n">
        <f aca="false">AVERAGE(AE39,AE33)</f>
        <v>493375000</v>
      </c>
      <c r="AF40" s="279" t="n">
        <f aca="false">AVERAGE(AF39,AF33)</f>
        <v>519625000</v>
      </c>
      <c r="AG40" s="279" t="n">
        <f aca="false">AVERAGE(AG39,AG33)</f>
        <v>547975000</v>
      </c>
      <c r="AH40" s="279" t="n">
        <f aca="false">AVERAGE(AH39,AH33)</f>
        <v>576325000</v>
      </c>
      <c r="AI40" s="279" t="n">
        <f aca="false">AVERAGE(AI39,AI33)</f>
        <v>606250000</v>
      </c>
      <c r="AJ40" s="279" t="n">
        <f aca="false">AVERAGE(AJ39,AJ33)</f>
        <v>637750000</v>
      </c>
      <c r="AK40" s="279" t="n">
        <f aca="false">AVERAGE(AK39,AK33)</f>
        <v>669250000</v>
      </c>
      <c r="AL40" s="279" t="n">
        <f aca="false">AVERAGE(AL39,AL33)</f>
        <v>706666666.666667</v>
      </c>
      <c r="AM40" s="279" t="n">
        <f aca="false">AVERAGE(AM39,AM33)</f>
        <v>750000000</v>
      </c>
      <c r="AN40" s="279" t="n">
        <f aca="false">AVERAGE(AN39,AN33)</f>
        <v>793333333.333334</v>
      </c>
      <c r="AO40" s="279" t="n">
        <f aca="false">AVERAGE(AO39,AO33)</f>
        <v>839916666.666667</v>
      </c>
      <c r="AP40" s="279" t="n">
        <f aca="false">AVERAGE(AP39,AP33)</f>
        <v>889750000</v>
      </c>
      <c r="AQ40" s="279" t="n">
        <f aca="false">AVERAGE(AQ39,AQ33)</f>
        <v>939583333.333334</v>
      </c>
      <c r="AR40" s="279" t="n">
        <f aca="false">AVERAGE(AR39,AR33)</f>
        <v>993750000</v>
      </c>
      <c r="AS40" s="279" t="n">
        <f aca="false">AVERAGE(AS39,AS33)</f>
        <v>1052250000</v>
      </c>
      <c r="AT40" s="279" t="n">
        <f aca="false">AVERAGE(AT39,AT33)</f>
        <v>1110750000</v>
      </c>
      <c r="AU40" s="279" t="n">
        <f aca="false">AVERAGE(AU39,AU33)</f>
        <v>1172500000</v>
      </c>
      <c r="AV40" s="279" t="n">
        <f aca="false">AVERAGE(AV39,AV33)</f>
        <v>1237500000</v>
      </c>
      <c r="AW40" s="279" t="n">
        <f aca="false">AVERAGE(AW39,AW33)</f>
        <v>1302500000</v>
      </c>
      <c r="AX40" s="279" t="n">
        <f aca="false">AVERAGE(AX39,AX33)</f>
        <v>1377166666.66667</v>
      </c>
      <c r="AY40" s="279" t="n">
        <f aca="false">AVERAGE(AY39,AY33)</f>
        <v>1461500000</v>
      </c>
      <c r="AZ40" s="279" t="n">
        <f aca="false">AVERAGE(AZ39,AZ33)</f>
        <v>1545833333.33333</v>
      </c>
      <c r="BA40" s="279" t="n">
        <f aca="false">AVERAGE(BA39,BA33)</f>
        <v>1636491666.66667</v>
      </c>
      <c r="BB40" s="279" t="n">
        <f aca="false">AVERAGE(BB39,BB33)</f>
        <v>1733475000</v>
      </c>
      <c r="BC40" s="279" t="n">
        <f aca="false">AVERAGE(BC39,BC33)</f>
        <v>1830458333.33333</v>
      </c>
      <c r="BD40" s="279" t="n">
        <f aca="false">AVERAGE(BD39,BD33)</f>
        <v>1935875000</v>
      </c>
      <c r="BE40" s="279" t="n">
        <f aca="false">AVERAGE(BE39,BE33)</f>
        <v>2049725000</v>
      </c>
      <c r="BF40" s="279" t="n">
        <f aca="false">AVERAGE(BF39,BF33)</f>
        <v>2163575000</v>
      </c>
      <c r="BG40" s="279" t="n">
        <f aca="false">AVERAGE(BG39,BG33)</f>
        <v>2283750000</v>
      </c>
      <c r="BH40" s="279" t="n">
        <f aca="false">AVERAGE(BH39,BH33)</f>
        <v>2410250000</v>
      </c>
      <c r="BI40" s="279" t="n">
        <f aca="false">AVERAGE(BI39,BI33)</f>
        <v>2536750000</v>
      </c>
    </row>
    <row r="41" customFormat="false" ht="30" hidden="false" customHeight="true" outlineLevel="0" collapsed="false">
      <c r="A41" s="199" t="s">
        <v>470</v>
      </c>
      <c r="B41" s="279" t="n">
        <f aca="false">B40*(IF(B$4=2027,Assumptions!$B$9,IF(B$4=2028,Assumptions!$C$9,IF(B$4=2029,Assumptions!$D$9,IF(B$4=2030,Assumptions!$E$9,Assumptions!$F$9)))))/12</f>
        <v>0</v>
      </c>
      <c r="C41" s="279" t="n">
        <f aca="false">C40*(IF(C$4=2027,Assumptions!$B$9,IF(C$4=2028,Assumptions!$C$9,IF(C$4=2029,Assumptions!$D$9,IF(C$4=2030,Assumptions!$E$9,Assumptions!$F$9)))))/12</f>
        <v>0</v>
      </c>
      <c r="D41" s="279" t="n">
        <f aca="false">D40*(IF(D$4=2027,Assumptions!$B$9,IF(D$4=2028,Assumptions!$C$9,IF(D$4=2029,Assumptions!$D$9,IF(D$4=2030,Assumptions!$E$9,Assumptions!$F$9)))))/12</f>
        <v>0</v>
      </c>
      <c r="E41" s="279" t="n">
        <f aca="false">E40*(IF(E$4=2027,Assumptions!$B$9,IF(E$4=2028,Assumptions!$C$9,IF(E$4=2029,Assumptions!$D$9,IF(E$4=2030,Assumptions!$E$9,Assumptions!$F$9)))))/12</f>
        <v>0</v>
      </c>
      <c r="F41" s="279" t="n">
        <f aca="false">F40*(IF(F$4=2027,Assumptions!$B$9,IF(F$4=2028,Assumptions!$C$9,IF(F$4=2029,Assumptions!$D$9,IF(F$4=2030,Assumptions!$E$9,Assumptions!$F$9)))))/12</f>
        <v>0</v>
      </c>
      <c r="G41" s="279" t="n">
        <f aca="false">G40*(IF(G$4=2027,Assumptions!$B$9,IF(G$4=2028,Assumptions!$C$9,IF(G$4=2029,Assumptions!$D$9,IF(G$4=2030,Assumptions!$E$9,Assumptions!$F$9)))))/12</f>
        <v>0</v>
      </c>
      <c r="H41" s="279" t="n">
        <f aca="false">H40*(IF(H$4=2027,Assumptions!$B$9,IF(H$4=2028,Assumptions!$C$9,IF(H$4=2029,Assumptions!$D$9,IF(H$4=2030,Assumptions!$E$9,Assumptions!$F$9)))))/12</f>
        <v>0</v>
      </c>
      <c r="I41" s="279" t="n">
        <f aca="false">I40*(IF(I$4=2027,Assumptions!$B$9,IF(I$4=2028,Assumptions!$C$9,IF(I$4=2029,Assumptions!$D$9,IF(I$4=2030,Assumptions!$E$9,Assumptions!$F$9)))))/12</f>
        <v>0</v>
      </c>
      <c r="J41" s="279" t="n">
        <f aca="false">J40*(IF(J$4=2027,Assumptions!$B$9,IF(J$4=2028,Assumptions!$C$9,IF(J$4=2029,Assumptions!$D$9,IF(J$4=2030,Assumptions!$E$9,Assumptions!$F$9)))))/12</f>
        <v>0</v>
      </c>
      <c r="K41" s="279" t="n">
        <f aca="false">K40*(IF(K$4=2027,Assumptions!$B$9,IF(K$4=2028,Assumptions!$C$9,IF(K$4=2029,Assumptions!$D$9,IF(K$4=2030,Assumptions!$E$9,Assumptions!$F$9)))))/12</f>
        <v>0</v>
      </c>
      <c r="L41" s="279" t="n">
        <f aca="false">L40*(IF(L$4=2027,Assumptions!$B$9,IF(L$4=2028,Assumptions!$C$9,IF(L$4=2029,Assumptions!$D$9,IF(L$4=2030,Assumptions!$E$9,Assumptions!$F$9)))))/12</f>
        <v>0</v>
      </c>
      <c r="M41" s="279" t="n">
        <f aca="false">M40*(IF(M$4=2027,Assumptions!$B$9,IF(M$4=2028,Assumptions!$C$9,IF(M$4=2029,Assumptions!$D$9,IF(M$4=2030,Assumptions!$E$9,Assumptions!$F$9)))))/12</f>
        <v>0</v>
      </c>
      <c r="N41" s="279" t="n">
        <f aca="false">N40*(IF(N$4=2027,Assumptions!$B$9,IF(N$4=2028,Assumptions!$C$9,IF(N$4=2029,Assumptions!$D$9,IF(N$4=2030,Assumptions!$E$9,Assumptions!$F$9)))))/12</f>
        <v>226111.111111111</v>
      </c>
      <c r="O41" s="279" t="n">
        <f aca="false">O40*(IF(O$4=2027,Assumptions!$B$9,IF(O$4=2028,Assumptions!$C$9,IF(O$4=2029,Assumptions!$D$9,IF(O$4=2030,Assumptions!$E$9,Assumptions!$F$9)))))/12</f>
        <v>678333.333333334</v>
      </c>
      <c r="P41" s="279" t="n">
        <f aca="false">P40*(IF(P$4=2027,Assumptions!$B$9,IF(P$4=2028,Assumptions!$C$9,IF(P$4=2029,Assumptions!$D$9,IF(P$4=2030,Assumptions!$E$9,Assumptions!$F$9)))))/12</f>
        <v>1130555.55555556</v>
      </c>
      <c r="Q41" s="279" t="n">
        <f aca="false">Q40*(IF(Q$4=2027,Assumptions!$B$9,IF(Q$4=2028,Assumptions!$C$9,IF(Q$4=2029,Assumptions!$D$9,IF(Q$4=2030,Assumptions!$E$9,Assumptions!$F$9)))))/12</f>
        <v>1616694.44444445</v>
      </c>
      <c r="R41" s="279" t="n">
        <f aca="false">R40*(IF(R$4=2027,Assumptions!$B$9,IF(R$4=2028,Assumptions!$C$9,IF(R$4=2029,Assumptions!$D$9,IF(R$4=2030,Assumptions!$E$9,Assumptions!$F$9)))))/12</f>
        <v>2136750</v>
      </c>
      <c r="S41" s="279" t="n">
        <f aca="false">S40*(IF(S$4=2027,Assumptions!$B$9,IF(S$4=2028,Assumptions!$C$9,IF(S$4=2029,Assumptions!$D$9,IF(S$4=2030,Assumptions!$E$9,Assumptions!$F$9)))))/12</f>
        <v>2656805.55555556</v>
      </c>
      <c r="T41" s="279" t="n">
        <f aca="false">T40*(IF(T$4=2027,Assumptions!$B$9,IF(T$4=2028,Assumptions!$C$9,IF(T$4=2029,Assumptions!$D$9,IF(T$4=2030,Assumptions!$E$9,Assumptions!$F$9)))))/12</f>
        <v>3222083.33333334</v>
      </c>
      <c r="U41" s="279" t="n">
        <f aca="false">U40*(IF(U$4=2027,Assumptions!$B$9,IF(U$4=2028,Assumptions!$C$9,IF(U$4=2029,Assumptions!$D$9,IF(U$4=2030,Assumptions!$E$9,Assumptions!$F$9)))))/12</f>
        <v>3832583.33333334</v>
      </c>
      <c r="V41" s="279" t="n">
        <f aca="false">V40*(IF(V$4=2027,Assumptions!$B$9,IF(V$4=2028,Assumptions!$C$9,IF(V$4=2029,Assumptions!$D$9,IF(V$4=2030,Assumptions!$E$9,Assumptions!$F$9)))))/12</f>
        <v>4443083.33333334</v>
      </c>
      <c r="W41" s="279" t="n">
        <f aca="false">W40*(IF(W$4=2027,Assumptions!$B$9,IF(W$4=2028,Assumptions!$C$9,IF(W$4=2029,Assumptions!$D$9,IF(W$4=2030,Assumptions!$E$9,Assumptions!$F$9)))))/12</f>
        <v>5087500</v>
      </c>
      <c r="X41" s="279" t="n">
        <f aca="false">X40*(IF(X$4=2027,Assumptions!$B$9,IF(X$4=2028,Assumptions!$C$9,IF(X$4=2029,Assumptions!$D$9,IF(X$4=2030,Assumptions!$E$9,Assumptions!$F$9)))))/12</f>
        <v>5765833.33333334</v>
      </c>
      <c r="Y41" s="279" t="n">
        <f aca="false">Y40*(IF(Y$4=2027,Assumptions!$B$9,IF(Y$4=2028,Assumptions!$C$9,IF(Y$4=2029,Assumptions!$D$9,IF(Y$4=2030,Assumptions!$E$9,Assumptions!$F$9)))))/12</f>
        <v>6444166.66666667</v>
      </c>
      <c r="Z41" s="279" t="n">
        <f aca="false">Z40*(IF(Z$4=2027,Assumptions!$B$9,IF(Z$4=2028,Assumptions!$C$9,IF(Z$4=2029,Assumptions!$D$9,IF(Z$4=2030,Assumptions!$E$9,Assumptions!$F$9)))))/12</f>
        <v>6341666.66666667</v>
      </c>
      <c r="AA41" s="279" t="n">
        <f aca="false">AA40*(IF(AA$4=2027,Assumptions!$B$9,IF(AA$4=2028,Assumptions!$C$9,IF(AA$4=2029,Assumptions!$D$9,IF(AA$4=2030,Assumptions!$E$9,Assumptions!$F$9)))))/12</f>
        <v>6691666.66666667</v>
      </c>
      <c r="AB41" s="279" t="n">
        <f aca="false">AB40*(IF(AB$4=2027,Assumptions!$B$9,IF(AB$4=2028,Assumptions!$C$9,IF(AB$4=2029,Assumptions!$D$9,IF(AB$4=2030,Assumptions!$E$9,Assumptions!$F$9)))))/12</f>
        <v>7041666.66666667</v>
      </c>
      <c r="AC41" s="279" t="n">
        <f aca="false">AC40*(IF(AC$4=2027,Assumptions!$B$9,IF(AC$4=2028,Assumptions!$C$9,IF(AC$4=2029,Assumptions!$D$9,IF(AC$4=2030,Assumptions!$E$9,Assumptions!$F$9)))))/12</f>
        <v>7417916.66666667</v>
      </c>
      <c r="AD41" s="279" t="n">
        <f aca="false">AD40*(IF(AD$4=2027,Assumptions!$B$9,IF(AD$4=2028,Assumptions!$C$9,IF(AD$4=2029,Assumptions!$D$9,IF(AD$4=2030,Assumptions!$E$9,Assumptions!$F$9)))))/12</f>
        <v>7820416.66666667</v>
      </c>
      <c r="AE41" s="279" t="n">
        <f aca="false">AE40*(IF(AE$4=2027,Assumptions!$B$9,IF(AE$4=2028,Assumptions!$C$9,IF(AE$4=2029,Assumptions!$D$9,IF(AE$4=2030,Assumptions!$E$9,Assumptions!$F$9)))))/12</f>
        <v>8222916.66666667</v>
      </c>
      <c r="AF41" s="279" t="n">
        <f aca="false">AF40*(IF(AF$4=2027,Assumptions!$B$9,IF(AF$4=2028,Assumptions!$C$9,IF(AF$4=2029,Assumptions!$D$9,IF(AF$4=2030,Assumptions!$E$9,Assumptions!$F$9)))))/12</f>
        <v>8660416.66666667</v>
      </c>
      <c r="AG41" s="279" t="n">
        <f aca="false">AG40*(IF(AG$4=2027,Assumptions!$B$9,IF(AG$4=2028,Assumptions!$C$9,IF(AG$4=2029,Assumptions!$D$9,IF(AG$4=2030,Assumptions!$E$9,Assumptions!$F$9)))))/12</f>
        <v>9132916.66666667</v>
      </c>
      <c r="AH41" s="279" t="n">
        <f aca="false">AH40*(IF(AH$4=2027,Assumptions!$B$9,IF(AH$4=2028,Assumptions!$C$9,IF(AH$4=2029,Assumptions!$D$9,IF(AH$4=2030,Assumptions!$E$9,Assumptions!$F$9)))))/12</f>
        <v>9605416.66666667</v>
      </c>
      <c r="AI41" s="279" t="n">
        <f aca="false">AI40*(IF(AI$4=2027,Assumptions!$B$9,IF(AI$4=2028,Assumptions!$C$9,IF(AI$4=2029,Assumptions!$D$9,IF(AI$4=2030,Assumptions!$E$9,Assumptions!$F$9)))))/12</f>
        <v>10104166.6666667</v>
      </c>
      <c r="AJ41" s="279" t="n">
        <f aca="false">AJ40*(IF(AJ$4=2027,Assumptions!$B$9,IF(AJ$4=2028,Assumptions!$C$9,IF(AJ$4=2029,Assumptions!$D$9,IF(AJ$4=2030,Assumptions!$E$9,Assumptions!$F$9)))))/12</f>
        <v>10629166.6666667</v>
      </c>
      <c r="AK41" s="279" t="n">
        <f aca="false">AK40*(IF(AK$4=2027,Assumptions!$B$9,IF(AK$4=2028,Assumptions!$C$9,IF(AK$4=2029,Assumptions!$D$9,IF(AK$4=2030,Assumptions!$E$9,Assumptions!$F$9)))))/12</f>
        <v>11154166.6666667</v>
      </c>
      <c r="AL41" s="279" t="n">
        <f aca="false">AL40*(IF(AL$4=2027,Assumptions!$B$9,IF(AL$4=2028,Assumptions!$C$9,IF(AL$4=2029,Assumptions!$D$9,IF(AL$4=2030,Assumptions!$E$9,Assumptions!$F$9)))))/12</f>
        <v>10600000</v>
      </c>
      <c r="AM41" s="279" t="n">
        <f aca="false">AM40*(IF(AM$4=2027,Assumptions!$B$9,IF(AM$4=2028,Assumptions!$C$9,IF(AM$4=2029,Assumptions!$D$9,IF(AM$4=2030,Assumptions!$E$9,Assumptions!$F$9)))))/12</f>
        <v>11250000</v>
      </c>
      <c r="AN41" s="279" t="n">
        <f aca="false">AN40*(IF(AN$4=2027,Assumptions!$B$9,IF(AN$4=2028,Assumptions!$C$9,IF(AN$4=2029,Assumptions!$D$9,IF(AN$4=2030,Assumptions!$E$9,Assumptions!$F$9)))))/12</f>
        <v>11900000</v>
      </c>
      <c r="AO41" s="279" t="n">
        <f aca="false">AO40*(IF(AO$4=2027,Assumptions!$B$9,IF(AO$4=2028,Assumptions!$C$9,IF(AO$4=2029,Assumptions!$D$9,IF(AO$4=2030,Assumptions!$E$9,Assumptions!$F$9)))))/12</f>
        <v>12598750</v>
      </c>
      <c r="AP41" s="279" t="n">
        <f aca="false">AP40*(IF(AP$4=2027,Assumptions!$B$9,IF(AP$4=2028,Assumptions!$C$9,IF(AP$4=2029,Assumptions!$D$9,IF(AP$4=2030,Assumptions!$E$9,Assumptions!$F$9)))))/12</f>
        <v>13346250</v>
      </c>
      <c r="AQ41" s="279" t="n">
        <f aca="false">AQ40*(IF(AQ$4=2027,Assumptions!$B$9,IF(AQ$4=2028,Assumptions!$C$9,IF(AQ$4=2029,Assumptions!$D$9,IF(AQ$4=2030,Assumptions!$E$9,Assumptions!$F$9)))))/12</f>
        <v>14093750</v>
      </c>
      <c r="AR41" s="279" t="n">
        <f aca="false">AR40*(IF(AR$4=2027,Assumptions!$B$9,IF(AR$4=2028,Assumptions!$C$9,IF(AR$4=2029,Assumptions!$D$9,IF(AR$4=2030,Assumptions!$E$9,Assumptions!$F$9)))))/12</f>
        <v>14906250</v>
      </c>
      <c r="AS41" s="279" t="n">
        <f aca="false">AS40*(IF(AS$4=2027,Assumptions!$B$9,IF(AS$4=2028,Assumptions!$C$9,IF(AS$4=2029,Assumptions!$D$9,IF(AS$4=2030,Assumptions!$E$9,Assumptions!$F$9)))))/12</f>
        <v>15783750</v>
      </c>
      <c r="AT41" s="279" t="n">
        <f aca="false">AT40*(IF(AT$4=2027,Assumptions!$B$9,IF(AT$4=2028,Assumptions!$C$9,IF(AT$4=2029,Assumptions!$D$9,IF(AT$4=2030,Assumptions!$E$9,Assumptions!$F$9)))))/12</f>
        <v>16661250</v>
      </c>
      <c r="AU41" s="279" t="n">
        <f aca="false">AU40*(IF(AU$4=2027,Assumptions!$B$9,IF(AU$4=2028,Assumptions!$C$9,IF(AU$4=2029,Assumptions!$D$9,IF(AU$4=2030,Assumptions!$E$9,Assumptions!$F$9)))))/12</f>
        <v>17587500</v>
      </c>
      <c r="AV41" s="279" t="n">
        <f aca="false">AV40*(IF(AV$4=2027,Assumptions!$B$9,IF(AV$4=2028,Assumptions!$C$9,IF(AV$4=2029,Assumptions!$D$9,IF(AV$4=2030,Assumptions!$E$9,Assumptions!$F$9)))))/12</f>
        <v>18562500</v>
      </c>
      <c r="AW41" s="279" t="n">
        <f aca="false">AW40*(IF(AW$4=2027,Assumptions!$B$9,IF(AW$4=2028,Assumptions!$C$9,IF(AW$4=2029,Assumptions!$D$9,IF(AW$4=2030,Assumptions!$E$9,Assumptions!$F$9)))))/12</f>
        <v>19537500</v>
      </c>
      <c r="AX41" s="279" t="n">
        <f aca="false">AX40*(IF(AX$4=2027,Assumptions!$B$9,IF(AX$4=2028,Assumptions!$C$9,IF(AX$4=2029,Assumptions!$D$9,IF(AX$4=2030,Assumptions!$E$9,Assumptions!$F$9)))))/12</f>
        <v>19509861.1111111</v>
      </c>
      <c r="AY41" s="279" t="n">
        <f aca="false">AY40*(IF(AY$4=2027,Assumptions!$B$9,IF(AY$4=2028,Assumptions!$C$9,IF(AY$4=2029,Assumptions!$D$9,IF(AY$4=2030,Assumptions!$E$9,Assumptions!$F$9)))))/12</f>
        <v>20704583.3333333</v>
      </c>
      <c r="AZ41" s="279" t="n">
        <f aca="false">AZ40*(IF(AZ$4=2027,Assumptions!$B$9,IF(AZ$4=2028,Assumptions!$C$9,IF(AZ$4=2029,Assumptions!$D$9,IF(AZ$4=2030,Assumptions!$E$9,Assumptions!$F$9)))))/12</f>
        <v>21899305.5555556</v>
      </c>
      <c r="BA41" s="279" t="n">
        <f aca="false">BA40*(IF(BA$4=2027,Assumptions!$B$9,IF(BA$4=2028,Assumptions!$C$9,IF(BA$4=2029,Assumptions!$D$9,IF(BA$4=2030,Assumptions!$E$9,Assumptions!$F$9)))))/12</f>
        <v>23183631.9444445</v>
      </c>
      <c r="BB41" s="279" t="n">
        <f aca="false">BB40*(IF(BB$4=2027,Assumptions!$B$9,IF(BB$4=2028,Assumptions!$C$9,IF(BB$4=2029,Assumptions!$D$9,IF(BB$4=2030,Assumptions!$E$9,Assumptions!$F$9)))))/12</f>
        <v>24557562.5</v>
      </c>
      <c r="BC41" s="279" t="n">
        <f aca="false">BC40*(IF(BC$4=2027,Assumptions!$B$9,IF(BC$4=2028,Assumptions!$C$9,IF(BC$4=2029,Assumptions!$D$9,IF(BC$4=2030,Assumptions!$E$9,Assumptions!$F$9)))))/12</f>
        <v>25931493.0555556</v>
      </c>
      <c r="BD41" s="279" t="n">
        <f aca="false">BD40*(IF(BD$4=2027,Assumptions!$B$9,IF(BD$4=2028,Assumptions!$C$9,IF(BD$4=2029,Assumptions!$D$9,IF(BD$4=2030,Assumptions!$E$9,Assumptions!$F$9)))))/12</f>
        <v>27424895.8333334</v>
      </c>
      <c r="BE41" s="279" t="n">
        <f aca="false">BE40*(IF(BE$4=2027,Assumptions!$B$9,IF(BE$4=2028,Assumptions!$C$9,IF(BE$4=2029,Assumptions!$D$9,IF(BE$4=2030,Assumptions!$E$9,Assumptions!$F$9)))))/12</f>
        <v>29037770.8333334</v>
      </c>
      <c r="BF41" s="279" t="n">
        <f aca="false">BF40*(IF(BF$4=2027,Assumptions!$B$9,IF(BF$4=2028,Assumptions!$C$9,IF(BF$4=2029,Assumptions!$D$9,IF(BF$4=2030,Assumptions!$E$9,Assumptions!$F$9)))))/12</f>
        <v>30650645.8333334</v>
      </c>
      <c r="BG41" s="279" t="n">
        <f aca="false">BG40*(IF(BG$4=2027,Assumptions!$B$9,IF(BG$4=2028,Assumptions!$C$9,IF(BG$4=2029,Assumptions!$D$9,IF(BG$4=2030,Assumptions!$E$9,Assumptions!$F$9)))))/12</f>
        <v>32353125</v>
      </c>
      <c r="BH41" s="279" t="n">
        <f aca="false">BH40*(IF(BH$4=2027,Assumptions!$B$9,IF(BH$4=2028,Assumptions!$C$9,IF(BH$4=2029,Assumptions!$D$9,IF(BH$4=2030,Assumptions!$E$9,Assumptions!$F$9)))))/12</f>
        <v>34145208.3333334</v>
      </c>
      <c r="BI41" s="279" t="n">
        <f aca="false">BI40*(IF(BI$4=2027,Assumptions!$B$9,IF(BI$4=2028,Assumptions!$C$9,IF(BI$4=2029,Assumptions!$D$9,IF(BI$4=2030,Assumptions!$E$9,Assumptions!$F$9)))))/12</f>
        <v>35937291.6666667</v>
      </c>
    </row>
    <row r="42" customFormat="false" ht="30" hidden="false" customHeight="true" outlineLevel="0" collapsed="false">
      <c r="A42" s="199" t="s">
        <v>471</v>
      </c>
      <c r="B42" s="279" t="n">
        <f aca="false">B26+B16+B19+B22-B24</f>
        <v>14741923.72</v>
      </c>
      <c r="C42" s="279" t="n">
        <f aca="false">C26+C16+C19+C22-C24</f>
        <v>12847566.1678571</v>
      </c>
      <c r="D42" s="279" t="n">
        <f aca="false">D26+D16+D19+D22-D24</f>
        <v>14703208.6157143</v>
      </c>
      <c r="E42" s="279" t="n">
        <f aca="false">E26+E16+E19+E22-E24</f>
        <v>12524697.43075</v>
      </c>
      <c r="F42" s="279" t="n">
        <f aca="false">F26+F16+F19+F22-F24</f>
        <v>10346186.2457857</v>
      </c>
      <c r="G42" s="279" t="n">
        <f aca="false">G26+G16+G19+G22-G24</f>
        <v>11917675.0608214</v>
      </c>
      <c r="H42" s="279" t="n">
        <f aca="false">H26+H16+H19+H22-H24</f>
        <v>9360292.36542857</v>
      </c>
      <c r="I42" s="279" t="n">
        <f aca="false">I26+I16+I19+I22-I24</f>
        <v>6802909.6700357</v>
      </c>
      <c r="J42" s="279" t="n">
        <f aca="false">J26+J16+J19+J22-J24</f>
        <v>7995526.97464285</v>
      </c>
      <c r="K42" s="279" t="n">
        <f aca="false">K26+K16+K19+K22-K24</f>
        <v>5153990.64642856</v>
      </c>
      <c r="L42" s="279" t="n">
        <f aca="false">L26+L16+L19+L22-L24</f>
        <v>2312454.31821428</v>
      </c>
      <c r="M42" s="279" t="n">
        <f aca="false">M26+M16+M19+M22-M24</f>
        <v>3220917.99</v>
      </c>
      <c r="N42" s="279" t="n">
        <f aca="false">N26+N16+N19+N22-N24</f>
        <v>-13805479.7075434</v>
      </c>
      <c r="O42" s="279" t="n">
        <f aca="false">O26+O16+O19+O22-O24</f>
        <v>-16386706.54442</v>
      </c>
      <c r="P42" s="279" t="n">
        <f aca="false">P26+P16+P19+P22-P24</f>
        <v>-18967933.3812967</v>
      </c>
      <c r="Q42" s="279" t="n">
        <f aca="false">Q26+Q16+Q19+Q22-Q24</f>
        <v>-26353119.8728049</v>
      </c>
      <c r="R42" s="279" t="n">
        <f aca="false">R26+R16+R19+R22-R24</f>
        <v>-14321530.735213</v>
      </c>
      <c r="S42" s="279" t="n">
        <f aca="false">S26+S16+S19+S22-S24</f>
        <v>-17289941.5976212</v>
      </c>
      <c r="T42" s="279" t="n">
        <f aca="false">T26+T16+T19+T22-T24</f>
        <v>-26663631.999538</v>
      </c>
      <c r="U42" s="279" t="n">
        <f aca="false">U26+U16+U19+U22-U24</f>
        <v>-30148288.2293215</v>
      </c>
      <c r="V42" s="279" t="n">
        <f aca="false">V26+V16+V19+V22-V24</f>
        <v>-18632944.4591051</v>
      </c>
      <c r="W42" s="279" t="n">
        <f aca="false">W26+W16+W19+W22-W24</f>
        <v>-26921560.3435201</v>
      </c>
      <c r="X42" s="279" t="n">
        <f aca="false">X26+X16+X19+X22-X24</f>
        <v>-30793400.5988351</v>
      </c>
      <c r="Y42" s="279" t="n">
        <f aca="false">Y26+Y16+Y19+Y22-Y24</f>
        <v>-34665240.8541501</v>
      </c>
      <c r="Z42" s="279" t="n">
        <f aca="false">Z26+Z16+Z19+Z22-Z24</f>
        <v>-30750086.3586394</v>
      </c>
      <c r="AA42" s="279" t="n">
        <f aca="false">AA26+AA16+AA19+AA22-AA24</f>
        <v>-30502688.1541288</v>
      </c>
      <c r="AB42" s="279" t="n">
        <f aca="false">AB26+AB16+AB19+AB22-AB24</f>
        <v>-30255289.9496181</v>
      </c>
      <c r="AC42" s="279" t="n">
        <f aca="false">AC26+AC16+AC19+AC22-AC24</f>
        <v>-36045782.0144309</v>
      </c>
      <c r="AD42" s="279" t="n">
        <f aca="false">AD26+AD16+AD19+AD22-AD24</f>
        <v>-35761274.0792436</v>
      </c>
      <c r="AE42" s="279" t="n">
        <f aca="false">AE26+AE16+AE19+AE22-AE24</f>
        <v>-35476766.1440563</v>
      </c>
      <c r="AF42" s="279" t="n">
        <f aca="false">AF26+AF16+AF19+AF22-AF24</f>
        <v>-43242778.5679669</v>
      </c>
      <c r="AG42" s="279" t="n">
        <f aca="false">AG26+AG16+AG19+AG22-AG24</f>
        <v>-42908790.9918775</v>
      </c>
      <c r="AH42" s="279" t="n">
        <f aca="false">AH26+AH16+AH19+AH22-AH24</f>
        <v>-42574803.4157881</v>
      </c>
      <c r="AI42" s="279" t="n">
        <f aca="false">AI26+AI16+AI19+AI22-AI24</f>
        <v>-48278706.1090221</v>
      </c>
      <c r="AJ42" s="279" t="n">
        <f aca="false">AJ26+AJ16+AJ19+AJ22-AJ24</f>
        <v>-47907608.8022561</v>
      </c>
      <c r="AK42" s="279" t="n">
        <f aca="false">AK26+AK16+AK19+AK22-AK24</f>
        <v>-47536511.4954901</v>
      </c>
      <c r="AL42" s="279" t="n">
        <f aca="false">AL26+AL16+AL19+AL22-AL24</f>
        <v>-67613736.0683363</v>
      </c>
      <c r="AM42" s="279" t="n">
        <f aca="false">AM26+AM16+AM19+AM22-AM24</f>
        <v>-64107627.3078491</v>
      </c>
      <c r="AN42" s="279" t="n">
        <f aca="false">AN26+AN16+AN19+AN22-AN24</f>
        <v>-60601518.5473619</v>
      </c>
      <c r="AO42" s="279" t="n">
        <f aca="false">AO26+AO16+AO19+AO22-AO24</f>
        <v>-69219493.4728016</v>
      </c>
      <c r="AP42" s="279" t="n">
        <f aca="false">AP26+AP16+AP19+AP22-AP24</f>
        <v>-65187468.3982413</v>
      </c>
      <c r="AQ42" s="279" t="n">
        <f aca="false">AQ26+AQ16+AQ19+AQ22-AQ24</f>
        <v>-61155443.323681</v>
      </c>
      <c r="AR42" s="279" t="n">
        <f aca="false">AR26+AR16+AR19+AR22-AR24</f>
        <v>-73288863.1636899</v>
      </c>
      <c r="AS42" s="279" t="n">
        <f aca="false">AS26+AS16+AS19+AS22-AS24</f>
        <v>-68555616.3370322</v>
      </c>
      <c r="AT42" s="279" t="n">
        <f aca="false">AT26+AT16+AT19+AT22-AT24</f>
        <v>-63822369.5103744</v>
      </c>
      <c r="AU42" s="279" t="n">
        <f aca="false">AU26+AU16+AU19+AU22-AU24</f>
        <v>-71213206.3696436</v>
      </c>
      <c r="AV42" s="279" t="n">
        <f aca="false">AV26+AV16+AV19+AV22-AV24</f>
        <v>-65954043.2289128</v>
      </c>
      <c r="AW42" s="279" t="n">
        <f aca="false">AW26+AW16+AW19+AW22-AW24</f>
        <v>-60694880.088182</v>
      </c>
      <c r="AX42" s="279" t="n">
        <f aca="false">AX26+AX16+AX19+AX22-AX24</f>
        <v>-84363182.9176213</v>
      </c>
      <c r="AY42" s="279" t="n">
        <f aca="false">AY26+AY16+AY19+AY22-AY24</f>
        <v>-72698152.4137272</v>
      </c>
      <c r="AZ42" s="279" t="n">
        <f aca="false">AZ26+AZ16+AZ19+AZ22-AZ24</f>
        <v>-61033121.9098331</v>
      </c>
      <c r="BA42" s="279" t="n">
        <f aca="false">BA26+BA16+BA19+BA22-BA24</f>
        <v>-71893336.8303549</v>
      </c>
      <c r="BB42" s="279" t="n">
        <f aca="false">BB26+BB16+BB19+BB22-BB24</f>
        <v>-58478551.7508767</v>
      </c>
      <c r="BC42" s="279" t="n">
        <f aca="false">BC26+BC16+BC19+BC22-BC24</f>
        <v>-45063766.6713984</v>
      </c>
      <c r="BD42" s="279" t="n">
        <f aca="false">BD26+BD16+BD19+BD22-BD24</f>
        <v>-61682642.157808</v>
      </c>
      <c r="BE42" s="279" t="n">
        <f aca="false">BE26+BE16+BE19+BE22-BE24</f>
        <v>-45934850.977551</v>
      </c>
      <c r="BF42" s="279" t="n">
        <f aca="false">BF26+BF16+BF19+BF22-BF24</f>
        <v>-30187059.7972939</v>
      </c>
      <c r="BG42" s="279" t="n">
        <f aca="false">BG26+BG16+BG19+BG22-BG24</f>
        <v>-36964514.0414528</v>
      </c>
      <c r="BH42" s="279" t="n">
        <f aca="false">BH26+BH16+BH19+BH22-BH24</f>
        <v>-19466968.2856117</v>
      </c>
      <c r="BI42" s="279" t="n">
        <f aca="false">BI26+BI16+BI19+BI22-BI24</f>
        <v>-1969422.52977054</v>
      </c>
    </row>
    <row r="43" customFormat="false" ht="30" hidden="false" customHeight="true" outlineLevel="0" collapsed="false">
      <c r="A43" s="199" t="s">
        <v>472</v>
      </c>
      <c r="B43" s="279" t="n">
        <f aca="false">MAX(0,-B42)</f>
        <v>0</v>
      </c>
      <c r="C43" s="279" t="n">
        <f aca="false">MAX(0,-C42)</f>
        <v>0</v>
      </c>
      <c r="D43" s="279" t="n">
        <f aca="false">MAX(0,-D42)</f>
        <v>0</v>
      </c>
      <c r="E43" s="279" t="n">
        <f aca="false">MAX(0,-E42)</f>
        <v>0</v>
      </c>
      <c r="F43" s="279" t="n">
        <f aca="false">MAX(0,-F42)</f>
        <v>0</v>
      </c>
      <c r="G43" s="279" t="n">
        <f aca="false">MAX(0,-G42)</f>
        <v>0</v>
      </c>
      <c r="H43" s="279" t="n">
        <f aca="false">MAX(0,-H42)</f>
        <v>0</v>
      </c>
      <c r="I43" s="279" t="n">
        <f aca="false">MAX(0,-I42)</f>
        <v>0</v>
      </c>
      <c r="J43" s="279" t="n">
        <f aca="false">MAX(0,-J42)</f>
        <v>0</v>
      </c>
      <c r="K43" s="279" t="n">
        <f aca="false">MAX(0,-K42)</f>
        <v>0</v>
      </c>
      <c r="L43" s="279" t="n">
        <f aca="false">MAX(0,-L42)</f>
        <v>0</v>
      </c>
      <c r="M43" s="279" t="n">
        <f aca="false">MAX(0,-M42)</f>
        <v>0</v>
      </c>
      <c r="N43" s="279" t="n">
        <f aca="false">MAX(0,-N42)</f>
        <v>13805479.7075434</v>
      </c>
      <c r="O43" s="279" t="n">
        <f aca="false">MAX(0,-O42)</f>
        <v>16386706.54442</v>
      </c>
      <c r="P43" s="279" t="n">
        <f aca="false">MAX(0,-P42)</f>
        <v>18967933.3812967</v>
      </c>
      <c r="Q43" s="279" t="n">
        <f aca="false">MAX(0,-Q42)</f>
        <v>26353119.8728049</v>
      </c>
      <c r="R43" s="279" t="n">
        <f aca="false">MAX(0,-R42)</f>
        <v>14321530.735213</v>
      </c>
      <c r="S43" s="279" t="n">
        <f aca="false">MAX(0,-S42)</f>
        <v>17289941.5976212</v>
      </c>
      <c r="T43" s="279" t="n">
        <f aca="false">MAX(0,-T42)</f>
        <v>26663631.999538</v>
      </c>
      <c r="U43" s="279" t="n">
        <f aca="false">MAX(0,-U42)</f>
        <v>30148288.2293215</v>
      </c>
      <c r="V43" s="279" t="n">
        <f aca="false">MAX(0,-V42)</f>
        <v>18632944.4591051</v>
      </c>
      <c r="W43" s="279" t="n">
        <f aca="false">MAX(0,-W42)</f>
        <v>26921560.3435201</v>
      </c>
      <c r="X43" s="279" t="n">
        <f aca="false">MAX(0,-X42)</f>
        <v>30793400.5988351</v>
      </c>
      <c r="Y43" s="279" t="n">
        <f aca="false">MAX(0,-Y42)</f>
        <v>34665240.8541501</v>
      </c>
      <c r="Z43" s="279" t="n">
        <f aca="false">MAX(0,-Z42)</f>
        <v>30750086.3586394</v>
      </c>
      <c r="AA43" s="279" t="n">
        <f aca="false">MAX(0,-AA42)</f>
        <v>30502688.1541288</v>
      </c>
      <c r="AB43" s="279" t="n">
        <f aca="false">MAX(0,-AB42)</f>
        <v>30255289.9496181</v>
      </c>
      <c r="AC43" s="279" t="n">
        <f aca="false">MAX(0,-AC42)</f>
        <v>36045782.0144309</v>
      </c>
      <c r="AD43" s="279" t="n">
        <f aca="false">MAX(0,-AD42)</f>
        <v>35761274.0792436</v>
      </c>
      <c r="AE43" s="279" t="n">
        <f aca="false">MAX(0,-AE42)</f>
        <v>35476766.1440563</v>
      </c>
      <c r="AF43" s="279" t="n">
        <f aca="false">MAX(0,-AF42)</f>
        <v>43242778.5679669</v>
      </c>
      <c r="AG43" s="279" t="n">
        <f aca="false">MAX(0,-AG42)</f>
        <v>42908790.9918775</v>
      </c>
      <c r="AH43" s="279" t="n">
        <f aca="false">MAX(0,-AH42)</f>
        <v>42574803.4157881</v>
      </c>
      <c r="AI43" s="279" t="n">
        <f aca="false">MAX(0,-AI42)</f>
        <v>48278706.1090221</v>
      </c>
      <c r="AJ43" s="279" t="n">
        <f aca="false">MAX(0,-AJ42)</f>
        <v>47907608.8022561</v>
      </c>
      <c r="AK43" s="279" t="n">
        <f aca="false">MAX(0,-AK42)</f>
        <v>47536511.4954901</v>
      </c>
      <c r="AL43" s="279" t="n">
        <f aca="false">MAX(0,-AL42)</f>
        <v>67613736.0683363</v>
      </c>
      <c r="AM43" s="279" t="n">
        <f aca="false">MAX(0,-AM42)</f>
        <v>64107627.3078491</v>
      </c>
      <c r="AN43" s="279" t="n">
        <f aca="false">MAX(0,-AN42)</f>
        <v>60601518.5473619</v>
      </c>
      <c r="AO43" s="279" t="n">
        <f aca="false">MAX(0,-AO42)</f>
        <v>69219493.4728016</v>
      </c>
      <c r="AP43" s="279" t="n">
        <f aca="false">MAX(0,-AP42)</f>
        <v>65187468.3982413</v>
      </c>
      <c r="AQ43" s="279" t="n">
        <f aca="false">MAX(0,-AQ42)</f>
        <v>61155443.323681</v>
      </c>
      <c r="AR43" s="279" t="n">
        <f aca="false">MAX(0,-AR42)</f>
        <v>73288863.1636899</v>
      </c>
      <c r="AS43" s="279" t="n">
        <f aca="false">MAX(0,-AS42)</f>
        <v>68555616.3370322</v>
      </c>
      <c r="AT43" s="279" t="n">
        <f aca="false">MAX(0,-AT42)</f>
        <v>63822369.5103744</v>
      </c>
      <c r="AU43" s="279" t="n">
        <f aca="false">MAX(0,-AU42)</f>
        <v>71213206.3696436</v>
      </c>
      <c r="AV43" s="279" t="n">
        <f aca="false">MAX(0,-AV42)</f>
        <v>65954043.2289128</v>
      </c>
      <c r="AW43" s="279" t="n">
        <f aca="false">MAX(0,-AW42)</f>
        <v>60694880.088182</v>
      </c>
      <c r="AX43" s="279" t="n">
        <f aca="false">MAX(0,-AX42)</f>
        <v>84363182.9176213</v>
      </c>
      <c r="AY43" s="279" t="n">
        <f aca="false">MAX(0,-AY42)</f>
        <v>72698152.4137272</v>
      </c>
      <c r="AZ43" s="279" t="n">
        <f aca="false">MAX(0,-AZ42)</f>
        <v>61033121.9098331</v>
      </c>
      <c r="BA43" s="279" t="n">
        <f aca="false">MAX(0,-BA42)</f>
        <v>71893336.8303549</v>
      </c>
      <c r="BB43" s="279" t="n">
        <f aca="false">MAX(0,-BB42)</f>
        <v>58478551.7508767</v>
      </c>
      <c r="BC43" s="279" t="n">
        <f aca="false">MAX(0,-BC42)</f>
        <v>45063766.6713984</v>
      </c>
      <c r="BD43" s="279" t="n">
        <f aca="false">MAX(0,-BD42)</f>
        <v>61682642.157808</v>
      </c>
      <c r="BE43" s="279" t="n">
        <f aca="false">MAX(0,-BE42)</f>
        <v>45934850.977551</v>
      </c>
      <c r="BF43" s="279" t="n">
        <f aca="false">MAX(0,-BF42)</f>
        <v>30187059.7972939</v>
      </c>
      <c r="BG43" s="279" t="n">
        <f aca="false">MAX(0,-BG42)</f>
        <v>36964514.0414528</v>
      </c>
      <c r="BH43" s="279" t="n">
        <f aca="false">MAX(0,-BH42)</f>
        <v>19466968.2856117</v>
      </c>
      <c r="BI43" s="279" t="n">
        <f aca="false">MAX(0,-BI42)</f>
        <v>1969422.52977054</v>
      </c>
    </row>
    <row r="44" customFormat="false" ht="30" hidden="false" customHeight="true" outlineLevel="0" collapsed="false">
      <c r="A44" s="199" t="s">
        <v>473</v>
      </c>
      <c r="B44" s="279" t="n">
        <f aca="false">B28-B43</f>
        <v>0</v>
      </c>
      <c r="C44" s="279" t="n">
        <f aca="false">C28-C43</f>
        <v>0</v>
      </c>
      <c r="D44" s="279" t="n">
        <f aca="false">D28-D43</f>
        <v>0</v>
      </c>
      <c r="E44" s="279" t="n">
        <f aca="false">E28-E43</f>
        <v>0</v>
      </c>
      <c r="F44" s="279" t="n">
        <f aca="false">F28-F43</f>
        <v>0</v>
      </c>
      <c r="G44" s="279" t="n">
        <f aca="false">G28-G43</f>
        <v>0</v>
      </c>
      <c r="H44" s="279" t="n">
        <f aca="false">H28-H43</f>
        <v>0</v>
      </c>
      <c r="I44" s="279" t="n">
        <f aca="false">I28-I43</f>
        <v>0</v>
      </c>
      <c r="J44" s="279" t="n">
        <f aca="false">J28-J43</f>
        <v>0</v>
      </c>
      <c r="K44" s="279" t="n">
        <f aca="false">K28-K43</f>
        <v>0</v>
      </c>
      <c r="L44" s="279" t="n">
        <f aca="false">L28-L43</f>
        <v>0</v>
      </c>
      <c r="M44" s="279" t="n">
        <f aca="false">M28-M43</f>
        <v>0</v>
      </c>
      <c r="N44" s="279" t="n">
        <f aca="false">N28-N43</f>
        <v>15639691.1531233</v>
      </c>
      <c r="O44" s="279" t="n">
        <f aca="false">O28-O43</f>
        <v>13058464.3162467</v>
      </c>
      <c r="P44" s="279" t="n">
        <f aca="false">P28-P43</f>
        <v>10477237.47937</v>
      </c>
      <c r="Q44" s="279" t="n">
        <f aca="false">Q28-Q43</f>
        <v>7508826.61696181</v>
      </c>
      <c r="R44" s="279" t="n">
        <f aca="false">R28-R43</f>
        <v>19540415.7545536</v>
      </c>
      <c r="S44" s="279" t="n">
        <f aca="false">S28-S43</f>
        <v>16572004.8921455</v>
      </c>
      <c r="T44" s="279" t="n">
        <f aca="false">T28-T43</f>
        <v>13087348.662362</v>
      </c>
      <c r="U44" s="279" t="n">
        <f aca="false">U28-U43</f>
        <v>9602692.43257845</v>
      </c>
      <c r="V44" s="279" t="n">
        <f aca="false">V28-V43</f>
        <v>21118036.2027949</v>
      </c>
      <c r="W44" s="279" t="n">
        <f aca="false">W28-W43</f>
        <v>17246195.9474799</v>
      </c>
      <c r="X44" s="279" t="n">
        <f aca="false">X28-X43</f>
        <v>13374355.6921649</v>
      </c>
      <c r="Y44" s="279" t="n">
        <f aca="false">Y28-Y43</f>
        <v>9502515.43684993</v>
      </c>
      <c r="Z44" s="279" t="n">
        <f aca="false">Z28-Z43</f>
        <v>9749913.64136059</v>
      </c>
      <c r="AA44" s="279" t="n">
        <f aca="false">AA28-AA43</f>
        <v>9997311.84587125</v>
      </c>
      <c r="AB44" s="279" t="n">
        <f aca="false">AB28-AB43</f>
        <v>10244710.0503819</v>
      </c>
      <c r="AC44" s="279" t="n">
        <f aca="false">AC28-AC43</f>
        <v>10529217.9855692</v>
      </c>
      <c r="AD44" s="279" t="n">
        <f aca="false">AD28-AD43</f>
        <v>10813725.9207564</v>
      </c>
      <c r="AE44" s="279" t="n">
        <f aca="false">AE28-AE43</f>
        <v>11098233.8559437</v>
      </c>
      <c r="AF44" s="279" t="n">
        <f aca="false">AF28-AF43</f>
        <v>11432221.4320331</v>
      </c>
      <c r="AG44" s="279" t="n">
        <f aca="false">AG28-AG43</f>
        <v>11766209.0081225</v>
      </c>
      <c r="AH44" s="279" t="n">
        <f aca="false">AH28-AH43</f>
        <v>12100196.5842119</v>
      </c>
      <c r="AI44" s="279" t="n">
        <f aca="false">AI28-AI43</f>
        <v>12471293.8909779</v>
      </c>
      <c r="AJ44" s="279" t="n">
        <f aca="false">AJ28-AJ43</f>
        <v>12842391.1977439</v>
      </c>
      <c r="AK44" s="279" t="n">
        <f aca="false">AK28-AK43</f>
        <v>13213488.5045099</v>
      </c>
      <c r="AL44" s="279" t="n">
        <f aca="false">AL28-AL43</f>
        <v>16719597.2649971</v>
      </c>
      <c r="AM44" s="279" t="n">
        <f aca="false">AM28-AM43</f>
        <v>20225706.0254843</v>
      </c>
      <c r="AN44" s="279" t="n">
        <f aca="false">AN28-AN43</f>
        <v>23731814.7859715</v>
      </c>
      <c r="AO44" s="279" t="n">
        <f aca="false">AO28-AO43</f>
        <v>27763839.8605318</v>
      </c>
      <c r="AP44" s="279" t="n">
        <f aca="false">AP28-AP43</f>
        <v>31795864.9350921</v>
      </c>
      <c r="AQ44" s="279" t="n">
        <f aca="false">AQ28-AQ43</f>
        <v>35827890.0096524</v>
      </c>
      <c r="AR44" s="279" t="n">
        <f aca="false">AR28-AR43</f>
        <v>40561136.8363101</v>
      </c>
      <c r="AS44" s="279" t="n">
        <f aca="false">AS28-AS43</f>
        <v>45294383.6629678</v>
      </c>
      <c r="AT44" s="279" t="n">
        <f aca="false">AT28-AT43</f>
        <v>50027630.4896256</v>
      </c>
      <c r="AU44" s="279" t="n">
        <f aca="false">AU28-AU43</f>
        <v>55286793.6303564</v>
      </c>
      <c r="AV44" s="279" t="n">
        <f aca="false">AV28-AV43</f>
        <v>60545956.7710872</v>
      </c>
      <c r="AW44" s="279" t="n">
        <f aca="false">AW28-AW43</f>
        <v>65805119.911818</v>
      </c>
      <c r="AX44" s="279" t="n">
        <f aca="false">AX28-AX43</f>
        <v>77470150.4157121</v>
      </c>
      <c r="AY44" s="279" t="n">
        <f aca="false">AY28-AY43</f>
        <v>89135180.9196062</v>
      </c>
      <c r="AZ44" s="279" t="n">
        <f aca="false">AZ28-AZ43</f>
        <v>100800211.4235</v>
      </c>
      <c r="BA44" s="279" t="n">
        <f aca="false">BA28-BA43</f>
        <v>114214996.502979</v>
      </c>
      <c r="BB44" s="279" t="n">
        <f aca="false">BB28-BB43</f>
        <v>127629781.582457</v>
      </c>
      <c r="BC44" s="279" t="n">
        <f aca="false">BC28-BC43</f>
        <v>141044566.661935</v>
      </c>
      <c r="BD44" s="279" t="n">
        <f aca="false">BD28-BD43</f>
        <v>156792357.842192</v>
      </c>
      <c r="BE44" s="279" t="n">
        <f aca="false">BE28-BE43</f>
        <v>172540149.022449</v>
      </c>
      <c r="BF44" s="279" t="n">
        <f aca="false">BF28-BF43</f>
        <v>188287940.202706</v>
      </c>
      <c r="BG44" s="279" t="n">
        <f aca="false">BG28-BG43</f>
        <v>205785485.958547</v>
      </c>
      <c r="BH44" s="279" t="n">
        <f aca="false">BH28-BH43</f>
        <v>223283031.714388</v>
      </c>
      <c r="BI44" s="279" t="n">
        <f aca="false">BI28-BI43</f>
        <v>240780577.470229</v>
      </c>
    </row>
    <row r="45" customFormat="false" ht="30" hidden="false" customHeight="true" outlineLevel="0" collapsed="false">
      <c r="A45" s="199" t="s">
        <v>474</v>
      </c>
      <c r="B45" s="1" t="str">
        <f aca="false">IF(AND(B44&gt;=-1,B33&lt;=B20+1,B27&gt;=-1),"OK","GAP")</f>
        <v>OK</v>
      </c>
      <c r="C45" s="1" t="str">
        <f aca="false">IF(AND(C44&gt;=-1,C33&lt;=C20+1,C27&gt;=-1),"OK","GAP")</f>
        <v>OK</v>
      </c>
      <c r="D45" s="1" t="str">
        <f aca="false">IF(AND(D44&gt;=-1,D33&lt;=D20+1,D27&gt;=-1),"OK","GAP")</f>
        <v>OK</v>
      </c>
      <c r="E45" s="1" t="str">
        <f aca="false">IF(AND(E44&gt;=-1,E33&lt;=E20+1,E27&gt;=-1),"OK","GAP")</f>
        <v>OK</v>
      </c>
      <c r="F45" s="1" t="str">
        <f aca="false">IF(AND(F44&gt;=-1,F33&lt;=F20+1,F27&gt;=-1),"OK","GAP")</f>
        <v>OK</v>
      </c>
      <c r="G45" s="1" t="str">
        <f aca="false">IF(AND(G44&gt;=-1,G33&lt;=G20+1,G27&gt;=-1),"OK","GAP")</f>
        <v>OK</v>
      </c>
      <c r="H45" s="1" t="str">
        <f aca="false">IF(AND(H44&gt;=-1,H33&lt;=H20+1,H27&gt;=-1),"OK","GAP")</f>
        <v>OK</v>
      </c>
      <c r="I45" s="1" t="str">
        <f aca="false">IF(AND(I44&gt;=-1,I33&lt;=I20+1,I27&gt;=-1),"OK","GAP")</f>
        <v>OK</v>
      </c>
      <c r="J45" s="1" t="str">
        <f aca="false">IF(AND(J44&gt;=-1,J33&lt;=J20+1,J27&gt;=-1),"OK","GAP")</f>
        <v>OK</v>
      </c>
      <c r="K45" s="1" t="str">
        <f aca="false">IF(AND(K44&gt;=-1,K33&lt;=K20+1,K27&gt;=-1),"OK","GAP")</f>
        <v>OK</v>
      </c>
      <c r="L45" s="1" t="str">
        <f aca="false">IF(AND(L44&gt;=-1,L33&lt;=L20+1,L27&gt;=-1),"OK","GAP")</f>
        <v>OK</v>
      </c>
      <c r="M45" s="1" t="str">
        <f aca="false">IF(AND(M44&gt;=-1,M33&lt;=M20+1,M27&gt;=-1),"OK","GAP")</f>
        <v>OK</v>
      </c>
      <c r="N45" s="1" t="str">
        <f aca="false">IF(AND(N44&gt;=-1,N33&lt;=N20+1,N27&gt;=-1),"OK","GAP")</f>
        <v>OK</v>
      </c>
      <c r="O45" s="1" t="str">
        <f aca="false">IF(AND(O44&gt;=-1,O33&lt;=O20+1,O27&gt;=-1),"OK","GAP")</f>
        <v>OK</v>
      </c>
      <c r="P45" s="1" t="str">
        <f aca="false">IF(AND(P44&gt;=-1,P33&lt;=P20+1,P27&gt;=-1),"OK","GAP")</f>
        <v>OK</v>
      </c>
      <c r="Q45" s="1" t="str">
        <f aca="false">IF(AND(Q44&gt;=-1,Q33&lt;=Q20+1,Q27&gt;=-1),"OK","GAP")</f>
        <v>OK</v>
      </c>
      <c r="R45" s="1" t="str">
        <f aca="false">IF(AND(R44&gt;=-1,R33&lt;=R20+1,R27&gt;=-1),"OK","GAP")</f>
        <v>OK</v>
      </c>
      <c r="S45" s="1" t="str">
        <f aca="false">IF(AND(S44&gt;=-1,S33&lt;=S20+1,S27&gt;=-1),"OK","GAP")</f>
        <v>OK</v>
      </c>
      <c r="T45" s="1" t="str">
        <f aca="false">IF(AND(T44&gt;=-1,T33&lt;=T20+1,T27&gt;=-1),"OK","GAP")</f>
        <v>OK</v>
      </c>
      <c r="U45" s="1" t="str">
        <f aca="false">IF(AND(U44&gt;=-1,U33&lt;=U20+1,U27&gt;=-1),"OK","GAP")</f>
        <v>OK</v>
      </c>
      <c r="V45" s="1" t="str">
        <f aca="false">IF(AND(V44&gt;=-1,V33&lt;=V20+1,V27&gt;=-1),"OK","GAP")</f>
        <v>OK</v>
      </c>
      <c r="W45" s="1" t="str">
        <f aca="false">IF(AND(W44&gt;=-1,W33&lt;=W20+1,W27&gt;=-1),"OK","GAP")</f>
        <v>OK</v>
      </c>
      <c r="X45" s="1" t="str">
        <f aca="false">IF(AND(X44&gt;=-1,X33&lt;=X20+1,X27&gt;=-1),"OK","GAP")</f>
        <v>OK</v>
      </c>
      <c r="Y45" s="1" t="str">
        <f aca="false">IF(AND(Y44&gt;=-1,Y33&lt;=Y20+1,Y27&gt;=-1),"OK","GAP")</f>
        <v>OK</v>
      </c>
      <c r="Z45" s="1" t="str">
        <f aca="false">IF(AND(Z44&gt;=-1,Z33&lt;=Z20+1,Z27&gt;=-1),"OK","GAP")</f>
        <v>OK</v>
      </c>
      <c r="AA45" s="1" t="str">
        <f aca="false">IF(AND(AA44&gt;=-1,AA33&lt;=AA20+1,AA27&gt;=-1),"OK","GAP")</f>
        <v>OK</v>
      </c>
      <c r="AB45" s="1" t="str">
        <f aca="false">IF(AND(AB44&gt;=-1,AB33&lt;=AB20+1,AB27&gt;=-1),"OK","GAP")</f>
        <v>OK</v>
      </c>
      <c r="AC45" s="1" t="str">
        <f aca="false">IF(AND(AC44&gt;=-1,AC33&lt;=AC20+1,AC27&gt;=-1),"OK","GAP")</f>
        <v>OK</v>
      </c>
      <c r="AD45" s="1" t="str">
        <f aca="false">IF(AND(AD44&gt;=-1,AD33&lt;=AD20+1,AD27&gt;=-1),"OK","GAP")</f>
        <v>OK</v>
      </c>
      <c r="AE45" s="1" t="str">
        <f aca="false">IF(AND(AE44&gt;=-1,AE33&lt;=AE20+1,AE27&gt;=-1),"OK","GAP")</f>
        <v>OK</v>
      </c>
      <c r="AF45" s="1" t="str">
        <f aca="false">IF(AND(AF44&gt;=-1,AF33&lt;=AF20+1,AF27&gt;=-1),"OK","GAP")</f>
        <v>OK</v>
      </c>
      <c r="AG45" s="1" t="str">
        <f aca="false">IF(AND(AG44&gt;=-1,AG33&lt;=AG20+1,AG27&gt;=-1),"OK","GAP")</f>
        <v>OK</v>
      </c>
      <c r="AH45" s="1" t="str">
        <f aca="false">IF(AND(AH44&gt;=-1,AH33&lt;=AH20+1,AH27&gt;=-1),"OK","GAP")</f>
        <v>OK</v>
      </c>
      <c r="AI45" s="1" t="str">
        <f aca="false">IF(AND(AI44&gt;=-1,AI33&lt;=AI20+1,AI27&gt;=-1),"OK","GAP")</f>
        <v>OK</v>
      </c>
      <c r="AJ45" s="1" t="str">
        <f aca="false">IF(AND(AJ44&gt;=-1,AJ33&lt;=AJ20+1,AJ27&gt;=-1),"OK","GAP")</f>
        <v>OK</v>
      </c>
      <c r="AK45" s="1" t="str">
        <f aca="false">IF(AND(AK44&gt;=-1,AK33&lt;=AK20+1,AK27&gt;=-1),"OK","GAP")</f>
        <v>OK</v>
      </c>
      <c r="AL45" s="1" t="str">
        <f aca="false">IF(AND(AL44&gt;=-1,AL33&lt;=AL20+1,AL27&gt;=-1),"OK","GAP")</f>
        <v>OK</v>
      </c>
      <c r="AM45" s="1" t="str">
        <f aca="false">IF(AND(AM44&gt;=-1,AM33&lt;=AM20+1,AM27&gt;=-1),"OK","GAP")</f>
        <v>OK</v>
      </c>
      <c r="AN45" s="1" t="str">
        <f aca="false">IF(AND(AN44&gt;=-1,AN33&lt;=AN20+1,AN27&gt;=-1),"OK","GAP")</f>
        <v>OK</v>
      </c>
      <c r="AO45" s="1" t="str">
        <f aca="false">IF(AND(AO44&gt;=-1,AO33&lt;=AO20+1,AO27&gt;=-1),"OK","GAP")</f>
        <v>OK</v>
      </c>
      <c r="AP45" s="1" t="str">
        <f aca="false">IF(AND(AP44&gt;=-1,AP33&lt;=AP20+1,AP27&gt;=-1),"OK","GAP")</f>
        <v>OK</v>
      </c>
      <c r="AQ45" s="1" t="str">
        <f aca="false">IF(AND(AQ44&gt;=-1,AQ33&lt;=AQ20+1,AQ27&gt;=-1),"OK","GAP")</f>
        <v>OK</v>
      </c>
      <c r="AR45" s="1" t="str">
        <f aca="false">IF(AND(AR44&gt;=-1,AR33&lt;=AR20+1,AR27&gt;=-1),"OK","GAP")</f>
        <v>OK</v>
      </c>
      <c r="AS45" s="1" t="str">
        <f aca="false">IF(AND(AS44&gt;=-1,AS33&lt;=AS20+1,AS27&gt;=-1),"OK","GAP")</f>
        <v>OK</v>
      </c>
      <c r="AT45" s="1" t="str">
        <f aca="false">IF(AND(AT44&gt;=-1,AT33&lt;=AT20+1,AT27&gt;=-1),"OK","GAP")</f>
        <v>OK</v>
      </c>
      <c r="AU45" s="1" t="str">
        <f aca="false">IF(AND(AU44&gt;=-1,AU33&lt;=AU20+1,AU27&gt;=-1),"OK","GAP")</f>
        <v>OK</v>
      </c>
      <c r="AV45" s="1" t="str">
        <f aca="false">IF(AND(AV44&gt;=-1,AV33&lt;=AV20+1,AV27&gt;=-1),"OK","GAP")</f>
        <v>OK</v>
      </c>
      <c r="AW45" s="1" t="str">
        <f aca="false">IF(AND(AW44&gt;=-1,AW33&lt;=AW20+1,AW27&gt;=-1),"OK","GAP")</f>
        <v>OK</v>
      </c>
      <c r="AX45" s="1" t="str">
        <f aca="false">IF(AND(AX44&gt;=-1,AX33&lt;=AX20+1,AX27&gt;=-1),"OK","GAP")</f>
        <v>OK</v>
      </c>
      <c r="AY45" s="1" t="str">
        <f aca="false">IF(AND(AY44&gt;=-1,AY33&lt;=AY20+1,AY27&gt;=-1),"OK","GAP")</f>
        <v>OK</v>
      </c>
      <c r="AZ45" s="1" t="str">
        <f aca="false">IF(AND(AZ44&gt;=-1,AZ33&lt;=AZ20+1,AZ27&gt;=-1),"OK","GAP")</f>
        <v>OK</v>
      </c>
      <c r="BA45" s="1" t="str">
        <f aca="false">IF(AND(BA44&gt;=-1,BA33&lt;=BA20+1,BA27&gt;=-1),"OK","GAP")</f>
        <v>OK</v>
      </c>
      <c r="BB45" s="1" t="str">
        <f aca="false">IF(AND(BB44&gt;=-1,BB33&lt;=BB20+1,BB27&gt;=-1),"OK","GAP")</f>
        <v>OK</v>
      </c>
      <c r="BC45" s="1" t="str">
        <f aca="false">IF(AND(BC44&gt;=-1,BC33&lt;=BC20+1,BC27&gt;=-1),"OK","GAP")</f>
        <v>OK</v>
      </c>
      <c r="BD45" s="1" t="str">
        <f aca="false">IF(AND(BD44&gt;=-1,BD33&lt;=BD20+1,BD27&gt;=-1),"OK","GAP")</f>
        <v>OK</v>
      </c>
      <c r="BE45" s="1" t="str">
        <f aca="false">IF(AND(BE44&gt;=-1,BE33&lt;=BE20+1,BE27&gt;=-1),"OK","GAP")</f>
        <v>OK</v>
      </c>
      <c r="BF45" s="1" t="str">
        <f aca="false">IF(AND(BF44&gt;=-1,BF33&lt;=BF20+1,BF27&gt;=-1),"OK","GAP")</f>
        <v>OK</v>
      </c>
      <c r="BG45" s="1" t="str">
        <f aca="false">IF(AND(BG44&gt;=-1,BG33&lt;=BG20+1,BG27&gt;=-1),"OK","GAP")</f>
        <v>OK</v>
      </c>
      <c r="BH45" s="1" t="str">
        <f aca="false">IF(AND(BH44&gt;=-1,BH33&lt;=BH20+1,BH27&gt;=-1),"OK","GAP")</f>
        <v>OK</v>
      </c>
      <c r="BI45" s="1" t="str">
        <f aca="false">IF(AND(BI44&gt;=-1,BI33&lt;=BI20+1,BI27&gt;=-1),"OK","GAP")</f>
        <v>OK</v>
      </c>
    </row>
    <row r="55" customFormat="false" ht="21.75" hidden="false" customHeight="true" outlineLevel="0" collapsed="false"/>
    <row r="63" customFormat="false" ht="21.75" hidden="false" customHeight="true" outlineLevel="0" collapsed="false"/>
    <row r="84" customFormat="false" ht="21.75" hidden="false" customHeight="true" outlineLevel="0" collapsed="false"/>
  </sheetData>
  <mergeCells count="1">
    <mergeCell ref="A1:B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0" t="s">
        <v>475</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15" hidden="false" customHeight="true" outlineLevel="0" collapsed="false">
      <c r="A4" s="282" t="s">
        <v>476</v>
      </c>
      <c r="B4" s="282"/>
      <c r="C4" s="282"/>
      <c r="D4" s="282"/>
      <c r="E4" s="282"/>
      <c r="F4" s="282"/>
    </row>
    <row r="5" customFormat="false" ht="15" hidden="false" customHeight="true" outlineLevel="0" collapsed="false">
      <c r="A5" s="283" t="s">
        <v>204</v>
      </c>
      <c r="B5" s="284" t="n">
        <f aca="false">Assumptions!B76</f>
        <v>27750000</v>
      </c>
      <c r="C5" s="284" t="n">
        <f aca="false">Assumptions!C76</f>
        <v>527500000</v>
      </c>
      <c r="D5" s="284" t="n">
        <f aca="false">Assumptions!D76</f>
        <v>700000000</v>
      </c>
      <c r="E5" s="284" t="n">
        <f aca="false">Assumptions!E76</f>
        <v>1350000000</v>
      </c>
      <c r="F5" s="284" t="n">
        <f aca="false">Assumptions!F76</f>
        <v>2500000000</v>
      </c>
    </row>
    <row r="6" customFormat="false" ht="15" hidden="false" customHeight="true" outlineLevel="0" collapsed="false">
      <c r="A6" s="283" t="s">
        <v>205</v>
      </c>
      <c r="B6" s="285" t="n">
        <f aca="false">Assumptions!B77</f>
        <v>185</v>
      </c>
      <c r="C6" s="285" t="n">
        <f aca="false">Assumptions!C77</f>
        <v>1670</v>
      </c>
      <c r="D6" s="285" t="n">
        <f aca="false">Assumptions!D77</f>
        <v>788</v>
      </c>
      <c r="E6" s="285" t="n">
        <f aca="false">Assumptions!E77</f>
        <v>1227</v>
      </c>
      <c r="F6" s="285" t="n">
        <f aca="false">Assumptions!F77</f>
        <v>1852</v>
      </c>
    </row>
    <row r="7" customFormat="false" ht="21.75" hidden="false" customHeight="true" outlineLevel="0" collapsed="false">
      <c r="A7" s="286"/>
      <c r="B7" s="287"/>
      <c r="C7" s="287"/>
      <c r="D7" s="287"/>
      <c r="E7" s="287"/>
      <c r="F7" s="287"/>
    </row>
    <row r="8" customFormat="false" ht="15" hidden="false" customHeight="true" outlineLevel="0" collapsed="false">
      <c r="A8" s="288" t="s">
        <v>477</v>
      </c>
      <c r="B8" s="288"/>
      <c r="C8" s="288"/>
      <c r="D8" s="288"/>
      <c r="E8" s="288"/>
      <c r="F8" s="288"/>
    </row>
    <row r="9" customFormat="false" ht="15" hidden="false" customHeight="true" outlineLevel="0" collapsed="false">
      <c r="A9" s="283" t="s">
        <v>208</v>
      </c>
      <c r="B9" s="284" t="n">
        <f aca="false">Assumptions!B80</f>
        <v>3538847.96</v>
      </c>
      <c r="C9" s="284" t="n">
        <f aca="false">Assumptions!C80</f>
        <v>45873640.26</v>
      </c>
      <c r="D9" s="284" t="n">
        <f aca="false">Assumptions!D80</f>
        <v>197874532.848</v>
      </c>
      <c r="E9" s="284" t="n">
        <f aca="false">Assumptions!E80</f>
        <v>354759738.39488</v>
      </c>
      <c r="F9" s="284" t="n">
        <f aca="false">Assumptions!F80</f>
        <v>623076854.248576</v>
      </c>
    </row>
    <row r="10" customFormat="false" ht="15" hidden="false" customHeight="true" outlineLevel="0" collapsed="false">
      <c r="A10" s="283" t="s">
        <v>209</v>
      </c>
      <c r="B10" s="284" t="n">
        <f aca="false">'Cohort Fees'!B7</f>
        <v>1387500</v>
      </c>
      <c r="C10" s="284" t="n">
        <f aca="false">'Cohort Fees'!C7</f>
        <v>36925000</v>
      </c>
      <c r="D10" s="284" t="n">
        <f aca="false">'Cohort Fees'!D7</f>
        <v>42000000</v>
      </c>
      <c r="E10" s="284" t="n">
        <f aca="false">'Cohort Fees'!E7</f>
        <v>81000000</v>
      </c>
      <c r="F10" s="284" t="n">
        <f aca="false">'Cohort Fees'!F7</f>
        <v>150000000</v>
      </c>
    </row>
    <row r="11" customFormat="false" ht="15" hidden="false" customHeight="true" outlineLevel="0" collapsed="false">
      <c r="A11" s="283" t="s">
        <v>478</v>
      </c>
      <c r="B11" s="284" t="n">
        <f aca="false">0</f>
        <v>0</v>
      </c>
      <c r="C11" s="284" t="n">
        <f aca="false">0</f>
        <v>0</v>
      </c>
      <c r="D11" s="284" t="n">
        <f aca="false">0</f>
        <v>0</v>
      </c>
      <c r="E11" s="284" t="n">
        <f aca="false">0</f>
        <v>0</v>
      </c>
      <c r="F11" s="284" t="n">
        <f aca="false">0</f>
        <v>0</v>
      </c>
    </row>
    <row r="12" customFormat="false" ht="15" hidden="false" customHeight="true" outlineLevel="0" collapsed="false">
      <c r="A12" s="283" t="s">
        <v>479</v>
      </c>
      <c r="B12" s="284" t="n">
        <f aca="false">SUM(B9:B11)</f>
        <v>4926347.96</v>
      </c>
      <c r="C12" s="284" t="n">
        <f aca="false">SUM(C9:C11)</f>
        <v>82798640.26</v>
      </c>
      <c r="D12" s="284" t="n">
        <f aca="false">SUM(D9:D11)</f>
        <v>239874532.848</v>
      </c>
      <c r="E12" s="284" t="n">
        <f aca="false">SUM(E9:E11)</f>
        <v>435759738.39488</v>
      </c>
      <c r="F12" s="284" t="n">
        <f aca="false">SUM(F9:F11)</f>
        <v>773076854.248576</v>
      </c>
    </row>
    <row r="13" customFormat="false" ht="21.75" hidden="false" customHeight="true" outlineLevel="0" collapsed="false">
      <c r="A13" s="283" t="s">
        <v>210</v>
      </c>
      <c r="B13" s="284" t="n">
        <f aca="false">Assumptions!B82</f>
        <v>3118262.4</v>
      </c>
      <c r="C13" s="284" t="n">
        <f aca="false">Assumptions!C82</f>
        <v>0</v>
      </c>
      <c r="D13" s="284" t="n">
        <f aca="false">Assumptions!D82</f>
        <v>5600000</v>
      </c>
      <c r="E13" s="284" t="n">
        <f aca="false">Assumptions!E82</f>
        <v>10800000</v>
      </c>
      <c r="F13" s="284" t="n">
        <f aca="false">Assumptions!F82</f>
        <v>20000000</v>
      </c>
    </row>
    <row r="14" customFormat="false" ht="15" hidden="false" customHeight="true" outlineLevel="0" collapsed="false">
      <c r="A14" s="288" t="s">
        <v>480</v>
      </c>
      <c r="B14" s="288"/>
      <c r="C14" s="288"/>
      <c r="D14" s="288"/>
      <c r="E14" s="288"/>
      <c r="F14" s="288"/>
    </row>
    <row r="15" customFormat="false" ht="15" hidden="false" customHeight="true" outlineLevel="0" collapsed="false">
      <c r="A15" s="283" t="s">
        <v>211</v>
      </c>
      <c r="B15" s="284" t="n">
        <f aca="false">Assumptions!B83</f>
        <v>0</v>
      </c>
      <c r="C15" s="284" t="n">
        <f aca="false">Assumptions!C83</f>
        <v>37240500</v>
      </c>
      <c r="D15" s="284" t="n">
        <f aca="false">Assumptions!D83</f>
        <v>102822500</v>
      </c>
      <c r="E15" s="284" t="n">
        <f aca="false">Assumptions!E83</f>
        <v>176827500</v>
      </c>
      <c r="F15" s="284" t="n">
        <f aca="false">Assumptions!F83</f>
        <v>325335375</v>
      </c>
    </row>
    <row r="16" customFormat="false" ht="15" hidden="false" customHeight="true" outlineLevel="0" collapsed="false">
      <c r="A16" s="283" t="s">
        <v>481</v>
      </c>
      <c r="B16" s="284" t="n">
        <f aca="false">Assumptions!B84</f>
        <v>620169.1227</v>
      </c>
      <c r="C16" s="284" t="n">
        <f aca="false">Assumptions!C84</f>
        <v>12957897.4833</v>
      </c>
      <c r="D16" s="284" t="n">
        <f aca="false">Assumptions!D84</f>
        <v>12418773.3576</v>
      </c>
      <c r="E16" s="284" t="n">
        <f aca="false">Assumptions!E84</f>
        <v>24026264.01456</v>
      </c>
      <c r="F16" s="284" t="n">
        <f aca="false">Assumptions!F84</f>
        <v>43740758.408736</v>
      </c>
    </row>
    <row r="17" customFormat="false" ht="15" hidden="false" customHeight="true" outlineLevel="0" collapsed="false">
      <c r="A17" s="283" t="s">
        <v>213</v>
      </c>
      <c r="B17" s="284" t="n">
        <f aca="false">Assumptions!B85</f>
        <v>11156112</v>
      </c>
      <c r="C17" s="284" t="n">
        <f aca="false">Assumptions!C85</f>
        <v>15618000</v>
      </c>
      <c r="D17" s="284" t="n">
        <f aca="false">Assumptions!D85</f>
        <v>21893869</v>
      </c>
      <c r="E17" s="284" t="n">
        <f aca="false">Assumptions!E85</f>
        <v>25061090</v>
      </c>
      <c r="F17" s="284" t="n">
        <f aca="false">Assumptions!F85</f>
        <v>30073308</v>
      </c>
    </row>
    <row r="18" customFormat="false" ht="15" hidden="false" customHeight="true" outlineLevel="0" collapsed="false">
      <c r="A18" s="283" t="s">
        <v>214</v>
      </c>
      <c r="B18" s="284" t="n">
        <f aca="false">Assumptions!B86</f>
        <v>4435200</v>
      </c>
      <c r="C18" s="284" t="n">
        <f aca="false">Assumptions!C86</f>
        <v>7413120</v>
      </c>
      <c r="D18" s="284" t="n">
        <f aca="false">Assumptions!D86</f>
        <v>8305440</v>
      </c>
      <c r="E18" s="284" t="n">
        <f aca="false">Assumptions!E86</f>
        <v>12769614</v>
      </c>
      <c r="F18" s="284" t="n">
        <f aca="false">Assumptions!F86</f>
        <v>18043568.4</v>
      </c>
    </row>
    <row r="19" customFormat="false" ht="15" hidden="false" customHeight="true" outlineLevel="0" collapsed="false">
      <c r="A19" s="283" t="s">
        <v>215</v>
      </c>
      <c r="B19" s="284" t="n">
        <f aca="false">Assumptions!B87</f>
        <v>0</v>
      </c>
      <c r="C19" s="284" t="n">
        <f aca="false">Assumptions!C87</f>
        <v>0</v>
      </c>
      <c r="D19" s="284" t="n">
        <f aca="false">Assumptions!D87</f>
        <v>1000000</v>
      </c>
      <c r="E19" s="284" t="n">
        <f aca="false">Assumptions!E87</f>
        <v>1500000</v>
      </c>
      <c r="F19" s="284" t="n">
        <f aca="false">Assumptions!F87</f>
        <v>2000000</v>
      </c>
    </row>
    <row r="20" customFormat="false" ht="15" hidden="false" customHeight="true" outlineLevel="0" collapsed="false">
      <c r="A20" s="283" t="s">
        <v>482</v>
      </c>
      <c r="B20" s="284" t="n">
        <f aca="false">SUM(B15:B19)</f>
        <v>16211481.1227</v>
      </c>
      <c r="C20" s="284" t="n">
        <f aca="false">SUM(C15:C19)</f>
        <v>73229517.4833</v>
      </c>
      <c r="D20" s="284" t="n">
        <f aca="false">SUM(D15:D19)</f>
        <v>146440582.3576</v>
      </c>
      <c r="E20" s="284" t="n">
        <f aca="false">SUM(E15:E19)</f>
        <v>240184468.01456</v>
      </c>
      <c r="F20" s="284" t="n">
        <f aca="false">SUM(F15:F19)</f>
        <v>419193009.808736</v>
      </c>
    </row>
    <row r="21" customFormat="false" ht="15" hidden="false" customHeight="true" outlineLevel="0" collapsed="false">
      <c r="A21" s="283" t="s">
        <v>483</v>
      </c>
      <c r="B21" s="284" t="n">
        <f aca="false">B12+B13-B20</f>
        <v>-8166870.7627</v>
      </c>
      <c r="C21" s="284" t="n">
        <f aca="false">C12+C13-C20</f>
        <v>9569122.77669998</v>
      </c>
      <c r="D21" s="284" t="n">
        <f aca="false">D12+D13-D20</f>
        <v>99033950.4904</v>
      </c>
      <c r="E21" s="284" t="n">
        <f aca="false">E12+E13-E20</f>
        <v>206375270.38032</v>
      </c>
      <c r="F21" s="284" t="n">
        <f aca="false">F12+F13-F20</f>
        <v>373883844.43984</v>
      </c>
    </row>
    <row r="22" customFormat="false" ht="15" hidden="false" customHeight="true" outlineLevel="0" collapsed="false">
      <c r="A22" s="283" t="s">
        <v>131</v>
      </c>
      <c r="B22" s="284" t="n">
        <f aca="false">Assumptions!B88</f>
        <v>0</v>
      </c>
      <c r="C22" s="284" t="n">
        <f aca="false">Assumptions!C88</f>
        <v>315506.703149994</v>
      </c>
      <c r="D22" s="284" t="n">
        <f aca="false">Assumptions!D88</f>
        <v>22282638.86034</v>
      </c>
      <c r="E22" s="284" t="n">
        <f aca="false">Assumptions!E88</f>
        <v>46434435.835572</v>
      </c>
      <c r="F22" s="284" t="n">
        <f aca="false">Assumptions!F88</f>
        <v>84123864.9989639</v>
      </c>
    </row>
    <row r="23" customFormat="false" ht="15" hidden="false" customHeight="true" outlineLevel="0" collapsed="false">
      <c r="A23" s="283" t="s">
        <v>216</v>
      </c>
      <c r="B23" s="284" t="n">
        <f aca="false">Assumptions!B89</f>
        <v>-8166870.7627</v>
      </c>
      <c r="C23" s="284" t="n">
        <f aca="false">Assumptions!C89</f>
        <v>9253616.07354998</v>
      </c>
      <c r="D23" s="284" t="n">
        <f aca="false">Assumptions!D89</f>
        <v>76751311.63006</v>
      </c>
      <c r="E23" s="284" t="n">
        <f aca="false">Assumptions!E89</f>
        <v>159940834.544748</v>
      </c>
      <c r="F23" s="284" t="n">
        <f aca="false">Assumptions!F89</f>
        <v>289759979.440876</v>
      </c>
    </row>
    <row r="24" customFormat="false" ht="31.5" hidden="false" customHeight="true" outlineLevel="0" collapsed="false">
      <c r="A24" s="286"/>
      <c r="B24" s="287"/>
      <c r="C24" s="287"/>
      <c r="D24" s="287"/>
      <c r="E24" s="287"/>
      <c r="F24" s="287"/>
    </row>
    <row r="25" customFormat="false" ht="15" hidden="false" customHeight="true" outlineLevel="0" collapsed="false">
      <c r="A25" s="288" t="s">
        <v>484</v>
      </c>
      <c r="B25" s="288"/>
      <c r="C25" s="288"/>
      <c r="D25" s="288"/>
      <c r="E25" s="288"/>
      <c r="F25" s="288"/>
    </row>
    <row r="26" customFormat="false" ht="15" hidden="false" customHeight="true" outlineLevel="0" collapsed="false">
      <c r="A26" s="283" t="s">
        <v>485</v>
      </c>
      <c r="B26" s="284" t="n">
        <f aca="false">B21+B15+B16+B19</f>
        <v>-7546701.64</v>
      </c>
      <c r="C26" s="284" t="n">
        <f aca="false">C21+C15+C16+C19</f>
        <v>59767520.26</v>
      </c>
      <c r="D26" s="284" t="n">
        <f aca="false">D21+D15+D16+D19</f>
        <v>215275223.848</v>
      </c>
      <c r="E26" s="284" t="n">
        <f aca="false">E21+E15+E16+E19</f>
        <v>408729034.39488</v>
      </c>
      <c r="F26" s="284" t="n">
        <f aca="false">F21+F15+F16+F19</f>
        <v>744959977.848576</v>
      </c>
    </row>
    <row r="27" customFormat="false" ht="15" hidden="false" customHeight="true" outlineLevel="0" collapsed="false">
      <c r="A27" s="283" t="s">
        <v>486</v>
      </c>
      <c r="B27" s="284" t="n">
        <f aca="false">B21+B15</f>
        <v>-8166870.7627</v>
      </c>
      <c r="C27" s="284" t="n">
        <f aca="false">C21+C15</f>
        <v>46809622.7767</v>
      </c>
      <c r="D27" s="284" t="n">
        <f aca="false">D21+D15</f>
        <v>201856450.4904</v>
      </c>
      <c r="E27" s="284" t="n">
        <f aca="false">E21+E15</f>
        <v>383202770.38032</v>
      </c>
      <c r="F27" s="284" t="n">
        <f aca="false">F21+F15</f>
        <v>699219219.43984</v>
      </c>
    </row>
    <row r="28" customFormat="false" ht="15" hidden="false" customHeight="true" outlineLevel="0" collapsed="false">
      <c r="A28" s="283" t="s">
        <v>487</v>
      </c>
      <c r="B28" s="289" t="n">
        <f aca="false">IFERROR(B23/B12,0)</f>
        <v>-1.65779413655141</v>
      </c>
      <c r="C28" s="289" t="n">
        <f aca="false">IFERROR(C23/C12,0)</f>
        <v>0.111760483559781</v>
      </c>
      <c r="D28" s="289" t="n">
        <f aca="false">IFERROR(D23/D12,0)</f>
        <v>0.319964402718377</v>
      </c>
      <c r="E28" s="289" t="n">
        <f aca="false">IFERROR(E23/E12,0)</f>
        <v>0.367039036543141</v>
      </c>
      <c r="F28" s="289" t="n">
        <f aca="false">IFERROR(F23/F12,0)</f>
        <v>0.374813937124686</v>
      </c>
    </row>
    <row r="29" customFormat="false" ht="15" hidden="false" customHeight="true" outlineLevel="0" collapsed="false"/>
    <row r="30" customFormat="false" ht="39.75" hidden="false" customHeight="true" outlineLevel="0" collapsed="false">
      <c r="A30" s="72" t="s">
        <v>488</v>
      </c>
      <c r="B30" s="72"/>
      <c r="C30" s="72"/>
      <c r="D30" s="72"/>
      <c r="E30" s="72"/>
      <c r="F30" s="72"/>
    </row>
    <row r="31" customFormat="false" ht="15" hidden="false" customHeight="true" outlineLevel="0" collapsed="false"/>
    <row r="33" customFormat="false" ht="15" hidden="false" customHeight="true" outlineLevel="0" collapsed="false">
      <c r="A33" s="288" t="s">
        <v>489</v>
      </c>
      <c r="B33" s="288"/>
      <c r="C33" s="288"/>
      <c r="D33" s="288"/>
      <c r="E33" s="288"/>
      <c r="F33" s="288"/>
    </row>
    <row r="34" customFormat="false" ht="15" hidden="false" customHeight="true" outlineLevel="0" collapsed="false">
      <c r="A34" s="281" t="s">
        <v>83</v>
      </c>
      <c r="B34" s="281" t="s">
        <v>84</v>
      </c>
      <c r="C34" s="281" t="s">
        <v>85</v>
      </c>
      <c r="D34" s="281" t="s">
        <v>86</v>
      </c>
      <c r="E34" s="281" t="s">
        <v>87</v>
      </c>
      <c r="F34" s="281" t="s">
        <v>88</v>
      </c>
    </row>
    <row r="35" customFormat="false" ht="15" hidden="false" customHeight="true" outlineLevel="0" collapsed="false">
      <c r="A35" s="283" t="s">
        <v>490</v>
      </c>
      <c r="B35" s="284" t="n">
        <f aca="false">B21</f>
        <v>-8166870.7627</v>
      </c>
      <c r="C35" s="284" t="n">
        <f aca="false">C21</f>
        <v>9569122.77669998</v>
      </c>
      <c r="D35" s="284" t="n">
        <f aca="false">D21</f>
        <v>99033950.4904</v>
      </c>
      <c r="E35" s="284" t="n">
        <f aca="false">E21</f>
        <v>206375270.38032</v>
      </c>
      <c r="F35" s="284" t="n">
        <f aca="false">F21</f>
        <v>373883844.43984</v>
      </c>
    </row>
    <row r="36" customFormat="false" ht="15" hidden="false" customHeight="true" outlineLevel="0" collapsed="false">
      <c r="A36" s="283" t="s">
        <v>491</v>
      </c>
      <c r="B36" s="284" t="n">
        <v>0</v>
      </c>
      <c r="C36" s="284" t="n">
        <v>0</v>
      </c>
      <c r="D36" s="284" t="n">
        <v>0</v>
      </c>
      <c r="E36" s="284" t="n">
        <v>0</v>
      </c>
      <c r="F36" s="284" t="n">
        <v>0</v>
      </c>
    </row>
    <row r="37" customFormat="false" ht="15" hidden="false" customHeight="true" outlineLevel="0" collapsed="false">
      <c r="A37" s="283" t="s">
        <v>492</v>
      </c>
      <c r="B37" s="284" t="n">
        <v>0</v>
      </c>
      <c r="C37" s="284" t="n">
        <v>0</v>
      </c>
      <c r="D37" s="284" t="n">
        <v>0</v>
      </c>
      <c r="E37" s="284" t="n">
        <v>0</v>
      </c>
      <c r="F37" s="284" t="n">
        <v>0</v>
      </c>
    </row>
    <row r="38" customFormat="false" ht="15" hidden="false" customHeight="true" outlineLevel="0" collapsed="false">
      <c r="A38" s="283" t="s">
        <v>493</v>
      </c>
      <c r="B38" s="284" t="n">
        <f aca="false">MAX(0,B35+B36-B37)</f>
        <v>0</v>
      </c>
      <c r="C38" s="284" t="n">
        <f aca="false">MAX(0,C35+C36-C37)</f>
        <v>9569122.77669998</v>
      </c>
      <c r="D38" s="284" t="n">
        <f aca="false">MAX(0,D35+D36-D37)</f>
        <v>99033950.4904</v>
      </c>
      <c r="E38" s="284" t="n">
        <f aca="false">MAX(0,E35+E36-E37)</f>
        <v>206375270.38032</v>
      </c>
      <c r="F38" s="284" t="n">
        <f aca="false">MAX(0,F35+F36-F37)</f>
        <v>373883844.43984</v>
      </c>
    </row>
    <row r="39" customFormat="false" ht="15" hidden="false" customHeight="true" outlineLevel="0" collapsed="false">
      <c r="A39" s="283" t="s">
        <v>494</v>
      </c>
      <c r="B39" s="284" t="n">
        <v>0</v>
      </c>
      <c r="C39" s="284" t="n">
        <f aca="false">B41</f>
        <v>8166870.7627</v>
      </c>
      <c r="D39" s="284" t="n">
        <f aca="false">C41</f>
        <v>0</v>
      </c>
      <c r="E39" s="284" t="n">
        <f aca="false">D41</f>
        <v>0</v>
      </c>
      <c r="F39" s="284" t="n">
        <f aca="false">E41</f>
        <v>0</v>
      </c>
    </row>
    <row r="40" customFormat="false" ht="15" hidden="false" customHeight="true" outlineLevel="0" collapsed="false">
      <c r="A40" s="283" t="s">
        <v>495</v>
      </c>
      <c r="B40" s="284" t="n">
        <f aca="false">MIN(B38,B39)</f>
        <v>0</v>
      </c>
      <c r="C40" s="284" t="n">
        <f aca="false">MIN(C38,C39)</f>
        <v>8166870.7627</v>
      </c>
      <c r="D40" s="284" t="n">
        <f aca="false">MIN(D38,D39)</f>
        <v>0</v>
      </c>
      <c r="E40" s="284" t="n">
        <f aca="false">MIN(E38,E39)</f>
        <v>0</v>
      </c>
      <c r="F40" s="284" t="n">
        <f aca="false">MIN(F38,F39)</f>
        <v>0</v>
      </c>
    </row>
    <row r="41" customFormat="false" ht="15" hidden="false" customHeight="true" outlineLevel="0" collapsed="false">
      <c r="A41" s="283" t="s">
        <v>496</v>
      </c>
      <c r="B41" s="284" t="n">
        <f aca="false">B39-B40+MAX(0,-(B35+B36-B37))</f>
        <v>8166870.7627</v>
      </c>
      <c r="C41" s="284" t="n">
        <f aca="false">C39-C40+MAX(0,-(C35+C36-C37))</f>
        <v>0</v>
      </c>
      <c r="D41" s="284" t="n">
        <f aca="false">D39-D40+MAX(0,-(D35+D36-D37))</f>
        <v>0</v>
      </c>
      <c r="E41" s="284" t="n">
        <f aca="false">E39-E40+MAX(0,-(E35+E36-E37))</f>
        <v>0</v>
      </c>
      <c r="F41" s="284" t="n">
        <f aca="false">F39-F40+MAX(0,-(F35+F36-F37))</f>
        <v>0</v>
      </c>
    </row>
    <row r="42" customFormat="false" ht="15" hidden="false" customHeight="true" outlineLevel="0" collapsed="false">
      <c r="A42" s="283" t="s">
        <v>497</v>
      </c>
      <c r="B42" s="284" t="n">
        <f aca="false">B38-B40</f>
        <v>0</v>
      </c>
      <c r="C42" s="284" t="n">
        <f aca="false">C38-C40</f>
        <v>1402252.01399997</v>
      </c>
      <c r="D42" s="284" t="n">
        <f aca="false">D38-D40</f>
        <v>99033950.4904</v>
      </c>
      <c r="E42" s="284" t="n">
        <f aca="false">E38-E40</f>
        <v>206375270.38032</v>
      </c>
      <c r="F42" s="284" t="n">
        <f aca="false">F38-F40</f>
        <v>373883844.43984</v>
      </c>
    </row>
    <row r="43" customFormat="false" ht="15" hidden="false" customHeight="true" outlineLevel="0" collapsed="false">
      <c r="A43" s="283" t="s">
        <v>498</v>
      </c>
      <c r="B43" s="290" t="n">
        <f aca="false">Assumptions!$B$33</f>
        <v>0.225</v>
      </c>
      <c r="C43" s="290" t="n">
        <f aca="false">Assumptions!$B$33</f>
        <v>0.225</v>
      </c>
      <c r="D43" s="290" t="n">
        <f aca="false">Assumptions!$B$33</f>
        <v>0.225</v>
      </c>
      <c r="E43" s="290" t="n">
        <f aca="false">Assumptions!$B$33</f>
        <v>0.225</v>
      </c>
      <c r="F43" s="290" t="n">
        <f aca="false">Assumptions!$B$33</f>
        <v>0.225</v>
      </c>
    </row>
    <row r="44" customFormat="false" ht="15" hidden="false" customHeight="true" outlineLevel="0" collapsed="false">
      <c r="A44" s="283" t="s">
        <v>499</v>
      </c>
      <c r="B44" s="284" t="n">
        <f aca="false">MAX(0,B42*B43)</f>
        <v>0</v>
      </c>
      <c r="C44" s="284" t="n">
        <f aca="false">MAX(0,C42*C43)</f>
        <v>315506.703149994</v>
      </c>
      <c r="D44" s="284" t="n">
        <f aca="false">MAX(0,D42*D43)</f>
        <v>22282638.86034</v>
      </c>
      <c r="E44" s="284" t="n">
        <f aca="false">MAX(0,E42*E43)</f>
        <v>46434435.835572</v>
      </c>
      <c r="F44" s="284" t="n">
        <f aca="false">MAX(0,F42*F43)</f>
        <v>84123864.9989639</v>
      </c>
    </row>
    <row r="45" customFormat="false" ht="15" hidden="false" customHeight="true" outlineLevel="0" collapsed="false">
      <c r="A45" s="283" t="s">
        <v>500</v>
      </c>
      <c r="B45" s="284" t="n">
        <v>0</v>
      </c>
      <c r="C45" s="284" t="n">
        <v>0</v>
      </c>
      <c r="D45" s="284" t="n">
        <v>0</v>
      </c>
      <c r="E45" s="284" t="n">
        <v>0</v>
      </c>
      <c r="F45" s="284" t="n">
        <v>0</v>
      </c>
    </row>
    <row r="46" customFormat="false" ht="15" hidden="false" customHeight="true" outlineLevel="0" collapsed="false">
      <c r="A46" s="283" t="s">
        <v>501</v>
      </c>
      <c r="B46" s="284" t="n">
        <f aca="false">B44+B45</f>
        <v>0</v>
      </c>
      <c r="C46" s="284" t="n">
        <f aca="false">C44+C45</f>
        <v>315506.703149994</v>
      </c>
      <c r="D46" s="284" t="n">
        <f aca="false">D44+D45</f>
        <v>22282638.86034</v>
      </c>
      <c r="E46" s="284" t="n">
        <f aca="false">E44+E45</f>
        <v>46434435.835572</v>
      </c>
      <c r="F46" s="284" t="n">
        <f aca="false">F44+F45</f>
        <v>84123864.9989639</v>
      </c>
    </row>
    <row r="47" customFormat="false" ht="39.75" hidden="false" customHeight="true" outlineLevel="0" collapsed="false">
      <c r="A47" s="72" t="s">
        <v>502</v>
      </c>
      <c r="B47" s="72"/>
      <c r="C47" s="72"/>
      <c r="D47" s="72"/>
      <c r="E47" s="72"/>
      <c r="F47" s="72"/>
    </row>
  </sheetData>
  <mergeCells count="8">
    <mergeCell ref="A1:F1"/>
    <mergeCell ref="A4:F4"/>
    <mergeCell ref="A8:F8"/>
    <mergeCell ref="A14:F14"/>
    <mergeCell ref="A25:F25"/>
    <mergeCell ref="A30:F30"/>
    <mergeCell ref="A33:F33"/>
    <mergeCell ref="A47:F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0" t="s">
        <v>503</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21.75" hidden="false" customHeight="true" outlineLevel="0" collapsed="false">
      <c r="A4" s="282" t="s">
        <v>504</v>
      </c>
      <c r="B4" s="282"/>
      <c r="C4" s="282"/>
      <c r="D4" s="282"/>
      <c r="E4" s="282"/>
      <c r="F4" s="282"/>
    </row>
    <row r="5" customFormat="false" ht="15" hidden="false" customHeight="true" outlineLevel="0" collapsed="false">
      <c r="A5" s="283" t="s">
        <v>505</v>
      </c>
      <c r="B5" s="284" t="n">
        <f aca="false">'Cash Flow'!B25</f>
        <v>3220917.99</v>
      </c>
      <c r="C5" s="284" t="n">
        <f aca="false">'Cash Flow'!C25</f>
        <v>9502515.43684994</v>
      </c>
      <c r="D5" s="284" t="n">
        <f aca="false">'Cash Flow'!D25</f>
        <v>13213488.5045099</v>
      </c>
      <c r="E5" s="284" t="n">
        <f aca="false">'Cash Flow'!E25</f>
        <v>65805119.911818</v>
      </c>
      <c r="F5" s="284" t="n">
        <f aca="false">'Cash Flow'!F25</f>
        <v>240780577.47023</v>
      </c>
    </row>
    <row r="6" customFormat="false" ht="15" hidden="false" customHeight="true" outlineLevel="0" collapsed="false">
      <c r="A6" s="283" t="s">
        <v>506</v>
      </c>
      <c r="B6" s="284" t="n">
        <f aca="false">Assumptions!B79</f>
        <v>20672304.09</v>
      </c>
      <c r="C6" s="284" t="n">
        <f aca="false">Assumptions!C79</f>
        <v>452602220.2</v>
      </c>
      <c r="D6" s="284" t="n">
        <f aca="false">Assumptions!D79</f>
        <v>866561332.12</v>
      </c>
      <c r="E6" s="284" t="n">
        <f aca="false">Assumptions!E79</f>
        <v>1667436799.272</v>
      </c>
      <c r="F6" s="284" t="n">
        <f aca="false">Assumptions!F79</f>
        <v>3125462079.5632</v>
      </c>
    </row>
    <row r="7" customFormat="false" ht="15" hidden="false" customHeight="true" outlineLevel="0" collapsed="false">
      <c r="A7" s="283" t="s">
        <v>507</v>
      </c>
      <c r="B7" s="284" t="n">
        <f aca="false">B6*Assumptions!$B$31</f>
        <v>620169.1227</v>
      </c>
      <c r="C7" s="284" t="n">
        <f aca="false">C6*Assumptions!$B$31</f>
        <v>13578066.606</v>
      </c>
      <c r="D7" s="284" t="n">
        <f aca="false">D6*Assumptions!$B$31</f>
        <v>25996839.9636</v>
      </c>
      <c r="E7" s="284" t="n">
        <f aca="false">E6*Assumptions!$B$31</f>
        <v>50023103.97816</v>
      </c>
      <c r="F7" s="284" t="n">
        <f aca="false">F6*Assumptions!$B$31</f>
        <v>93763862.386896</v>
      </c>
    </row>
    <row r="8" customFormat="false" ht="15" hidden="false" customHeight="true" outlineLevel="0" collapsed="false">
      <c r="A8" s="283" t="s">
        <v>508</v>
      </c>
      <c r="B8" s="284" t="n">
        <f aca="false">B6-B7</f>
        <v>20052134.9673</v>
      </c>
      <c r="C8" s="284" t="n">
        <f aca="false">C6-C7</f>
        <v>439024153.594</v>
      </c>
      <c r="D8" s="284" t="n">
        <f aca="false">D6-D7</f>
        <v>840564492.1564</v>
      </c>
      <c r="E8" s="284" t="n">
        <f aca="false">E6-E7</f>
        <v>1617413695.29384</v>
      </c>
      <c r="F8" s="284" t="n">
        <f aca="false">F6-F7</f>
        <v>3031698217.1763</v>
      </c>
    </row>
    <row r="9" customFormat="false" ht="15" hidden="false" customHeight="true" outlineLevel="0" collapsed="false">
      <c r="A9" s="283" t="s">
        <v>509</v>
      </c>
      <c r="B9" s="284" t="n">
        <f aca="false">Assumptions!B99</f>
        <v>258076.28</v>
      </c>
      <c r="C9" s="284" t="n">
        <f aca="false">Assumptions!C99</f>
        <v>258076.28</v>
      </c>
      <c r="D9" s="284" t="n">
        <f aca="false">Assumptions!D99</f>
        <v>258076.28</v>
      </c>
      <c r="E9" s="284" t="n">
        <f aca="false">Assumptions!E99</f>
        <v>258076.28</v>
      </c>
      <c r="F9" s="284" t="n">
        <f aca="false">Assumptions!F99</f>
        <v>258076.28</v>
      </c>
    </row>
    <row r="10" customFormat="false" ht="15" hidden="false" customHeight="true" outlineLevel="0" collapsed="false">
      <c r="A10" s="283" t="s">
        <v>510</v>
      </c>
      <c r="B10" s="284" t="n">
        <f aca="false">Assumptions!B11-'Income Statement'!B19</f>
        <v>4302000</v>
      </c>
      <c r="C10" s="284" t="n">
        <f aca="false">B10+Assumptions!C11-'Income Statement'!C19</f>
        <v>4802000</v>
      </c>
      <c r="D10" s="284" t="n">
        <f aca="false">C10+Assumptions!D11-'Income Statement'!D19</f>
        <v>4802000</v>
      </c>
      <c r="E10" s="284" t="n">
        <f aca="false">D10+Assumptions!E11-'Income Statement'!E19</f>
        <v>4802000</v>
      </c>
      <c r="F10" s="284" t="n">
        <f aca="false">E10+Assumptions!F11-'Income Statement'!F19</f>
        <v>4802000</v>
      </c>
    </row>
    <row r="11" customFormat="false" ht="15" hidden="false" customHeight="true" outlineLevel="0" collapsed="false">
      <c r="A11" s="283" t="s">
        <v>511</v>
      </c>
      <c r="B11" s="284" t="n">
        <f aca="false">SUM(B5,B8:B10)</f>
        <v>27833129.2373</v>
      </c>
      <c r="C11" s="284" t="n">
        <f aca="false">SUM(C5,C8:C10)</f>
        <v>453586745.31085</v>
      </c>
      <c r="D11" s="284" t="n">
        <f aca="false">SUM(D5,D8:D10)</f>
        <v>858838056.94091</v>
      </c>
      <c r="E11" s="284" t="n">
        <f aca="false">SUM(E5,E8:E10)</f>
        <v>1688278891.48566</v>
      </c>
      <c r="F11" s="284" t="n">
        <f aca="false">SUM(F5,F8:F10)</f>
        <v>3277538870.92653</v>
      </c>
    </row>
    <row r="12" customFormat="false" ht="21.75" hidden="false" customHeight="true" outlineLevel="0" collapsed="false">
      <c r="A12" s="286"/>
      <c r="B12" s="287"/>
      <c r="C12" s="287"/>
      <c r="D12" s="287"/>
      <c r="E12" s="287"/>
      <c r="F12" s="287"/>
    </row>
    <row r="13" customFormat="false" ht="15" hidden="false" customHeight="true" outlineLevel="0" collapsed="false">
      <c r="A13" s="288" t="s">
        <v>512</v>
      </c>
      <c r="B13" s="288"/>
      <c r="C13" s="288"/>
      <c r="D13" s="288"/>
      <c r="E13" s="288"/>
      <c r="F13" s="288"/>
    </row>
    <row r="14" customFormat="false" ht="15" hidden="false" customHeight="true" outlineLevel="0" collapsed="false">
      <c r="A14" s="291" t="s">
        <v>513</v>
      </c>
      <c r="B14" s="292" t="n">
        <f aca="false">Assumptions!B90</f>
        <v>0</v>
      </c>
      <c r="C14" s="292" t="n">
        <f aca="false">Assumptions!C90</f>
        <v>370000000</v>
      </c>
      <c r="D14" s="292" t="n">
        <f aca="false">Assumptions!D90</f>
        <v>685000000</v>
      </c>
      <c r="E14" s="292" t="n">
        <f aca="false">Assumptions!E90</f>
        <v>1335000000</v>
      </c>
      <c r="F14" s="292" t="n">
        <f aca="false">Assumptions!F90</f>
        <v>2600000000</v>
      </c>
    </row>
    <row r="15" customFormat="false" ht="30" hidden="false" customHeight="true" outlineLevel="0" collapsed="false">
      <c r="A15" s="283" t="s">
        <v>514</v>
      </c>
      <c r="B15" s="284" t="n">
        <f aca="false">Assumptions!B100</f>
        <v>6000000</v>
      </c>
      <c r="C15" s="284" t="n">
        <f aca="false">Assumptions!C100</f>
        <v>7500000</v>
      </c>
      <c r="D15" s="284" t="n">
        <f aca="false">Assumptions!D100</f>
        <v>21000000</v>
      </c>
      <c r="E15" s="284" t="n">
        <f aca="false">Assumptions!E100</f>
        <v>40500000</v>
      </c>
      <c r="F15" s="284" t="n">
        <f aca="false">Assumptions!F100</f>
        <v>75000000</v>
      </c>
    </row>
    <row r="16" customFormat="false" ht="15" hidden="false" customHeight="true" outlineLevel="0" collapsed="false">
      <c r="A16" s="283" t="s">
        <v>515</v>
      </c>
      <c r="B16" s="284" t="n">
        <f aca="false">SUM(B14:B15)</f>
        <v>6000000</v>
      </c>
      <c r="C16" s="284" t="n">
        <f aca="false">SUM(C14:C15)</f>
        <v>377500000</v>
      </c>
      <c r="D16" s="284" t="n">
        <f aca="false">SUM(D14:D15)</f>
        <v>706000000</v>
      </c>
      <c r="E16" s="284" t="n">
        <f aca="false">SUM(E14:E15)</f>
        <v>1375500000</v>
      </c>
      <c r="F16" s="284" t="n">
        <f aca="false">SUM(F14:F15)</f>
        <v>2675000000</v>
      </c>
    </row>
    <row r="17" customFormat="false" ht="15" hidden="false" customHeight="true" outlineLevel="0" collapsed="false">
      <c r="A17" s="286"/>
      <c r="B17" s="287"/>
      <c r="C17" s="287"/>
      <c r="D17" s="287"/>
      <c r="E17" s="287"/>
      <c r="F17" s="287"/>
    </row>
    <row r="18" customFormat="false" ht="21.75" hidden="false" customHeight="true" outlineLevel="0" collapsed="false">
      <c r="A18" s="288" t="s">
        <v>516</v>
      </c>
      <c r="B18" s="288"/>
      <c r="C18" s="288"/>
      <c r="D18" s="288"/>
      <c r="E18" s="288"/>
      <c r="F18" s="288"/>
    </row>
    <row r="19" customFormat="false" ht="15" hidden="false" customHeight="true" outlineLevel="0" collapsed="false">
      <c r="A19" s="283" t="s">
        <v>218</v>
      </c>
      <c r="B19" s="284" t="n">
        <f aca="false">Assumptions!B91</f>
        <v>30000000</v>
      </c>
      <c r="C19" s="284" t="n">
        <f aca="false">Assumptions!C91</f>
        <v>75000000</v>
      </c>
      <c r="D19" s="284" t="n">
        <f aca="false">Assumptions!D91</f>
        <v>75000000</v>
      </c>
      <c r="E19" s="284" t="n">
        <f aca="false">Assumptions!E91</f>
        <v>75000000</v>
      </c>
      <c r="F19" s="284" t="n">
        <f aca="false">Assumptions!F91</f>
        <v>75000000</v>
      </c>
    </row>
    <row r="20" customFormat="false" ht="31.5" hidden="false" customHeight="true" outlineLevel="0" collapsed="false">
      <c r="A20" s="283" t="s">
        <v>517</v>
      </c>
      <c r="B20" s="284" t="n">
        <f aca="false">Assumptions!B93</f>
        <v>0</v>
      </c>
      <c r="C20" s="284" t="n">
        <f aca="false">Assumptions!C93</f>
        <v>462680.803677499</v>
      </c>
      <c r="D20" s="284" t="n">
        <f aca="false">Assumptions!D93</f>
        <v>4300246.3851805</v>
      </c>
      <c r="E20" s="284" t="n">
        <f aca="false">Assumptions!E93</f>
        <v>12297288.1124179</v>
      </c>
      <c r="F20" s="284" t="n">
        <f aca="false">Assumptions!F93</f>
        <v>26785287.0844617</v>
      </c>
    </row>
    <row r="21" customFormat="false" ht="15" hidden="false" customHeight="true" outlineLevel="0" collapsed="false">
      <c r="A21" s="283" t="s">
        <v>518</v>
      </c>
      <c r="B21" s="284" t="n">
        <f aca="false">Assumptions!B92-B20</f>
        <v>-8166870.7627</v>
      </c>
      <c r="C21" s="284" t="n">
        <f aca="false">Assumptions!C92-C20</f>
        <v>624064.507172481</v>
      </c>
      <c r="D21" s="284" t="n">
        <f aca="false">Assumptions!D92-D20</f>
        <v>73537810.5557294</v>
      </c>
      <c r="E21" s="284" t="n">
        <f aca="false">Assumptions!E92-E20</f>
        <v>225481603.37324</v>
      </c>
      <c r="F21" s="284" t="n">
        <f aca="false">Assumptions!F92-F20</f>
        <v>500753583.842072</v>
      </c>
    </row>
    <row r="22" customFormat="false" ht="15" hidden="false" customHeight="true" outlineLevel="0" collapsed="false">
      <c r="A22" s="283" t="s">
        <v>519</v>
      </c>
      <c r="B22" s="284" t="n">
        <f aca="false">SUM(B19:B21)</f>
        <v>21833129.2373</v>
      </c>
      <c r="C22" s="284" t="n">
        <f aca="false">SUM(C19:C21)</f>
        <v>76086745.31085</v>
      </c>
      <c r="D22" s="284" t="n">
        <f aca="false">SUM(D19:D21)</f>
        <v>152838056.94091</v>
      </c>
      <c r="E22" s="284" t="n">
        <f aca="false">SUM(E19:E21)</f>
        <v>312778891.485658</v>
      </c>
      <c r="F22" s="284" t="n">
        <f aca="false">SUM(F19:F21)</f>
        <v>602538870.926534</v>
      </c>
    </row>
    <row r="23" customFormat="false" ht="15" hidden="false" customHeight="true" outlineLevel="0" collapsed="false">
      <c r="A23" s="283" t="s">
        <v>520</v>
      </c>
      <c r="B23" s="284" t="n">
        <f aca="false">B16+B22</f>
        <v>27833129.2373</v>
      </c>
      <c r="C23" s="284" t="n">
        <f aca="false">C16+C22</f>
        <v>453586745.31085</v>
      </c>
      <c r="D23" s="284" t="n">
        <f aca="false">D16+D22</f>
        <v>858838056.94091</v>
      </c>
      <c r="E23" s="284" t="n">
        <f aca="false">E16+E22</f>
        <v>1688278891.48566</v>
      </c>
      <c r="F23" s="284" t="n">
        <f aca="false">F16+F22</f>
        <v>3277538870.92653</v>
      </c>
    </row>
    <row r="24" customFormat="false" ht="15" hidden="false" customHeight="true" outlineLevel="0" collapsed="false">
      <c r="A24" s="283" t="s">
        <v>521</v>
      </c>
      <c r="B24" s="293" t="n">
        <f aca="false">B23-B11</f>
        <v>0</v>
      </c>
      <c r="C24" s="293" t="n">
        <f aca="false">C23-C11</f>
        <v>0</v>
      </c>
      <c r="D24" s="293" t="n">
        <f aca="false">D23-D11</f>
        <v>0</v>
      </c>
      <c r="E24" s="293" t="n">
        <f aca="false">E23-E11</f>
        <v>0</v>
      </c>
      <c r="F24" s="293" t="n">
        <f aca="false">F23-F11</f>
        <v>0</v>
      </c>
    </row>
    <row r="25" customFormat="false" ht="15" hidden="false" customHeight="true" outlineLevel="0" collapsed="false"/>
    <row r="26" customFormat="false" ht="15" hidden="false" customHeight="true" outlineLevel="0" collapsed="false"/>
  </sheetData>
  <mergeCells count="4">
    <mergeCell ref="A1:F1"/>
    <mergeCell ref="A4:F4"/>
    <mergeCell ref="A13:F13"/>
    <mergeCell ref="A18:F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0" t="s">
        <v>522</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21.75" hidden="false" customHeight="true" outlineLevel="0" collapsed="false">
      <c r="A4" s="282" t="s">
        <v>523</v>
      </c>
      <c r="B4" s="282"/>
      <c r="C4" s="282"/>
      <c r="D4" s="282"/>
      <c r="E4" s="282"/>
      <c r="F4" s="282"/>
    </row>
    <row r="5" customFormat="false" ht="15" hidden="false" customHeight="true" outlineLevel="0" collapsed="false">
      <c r="A5" s="283" t="s">
        <v>216</v>
      </c>
      <c r="B5" s="284" t="n">
        <f aca="false">'Income Statement'!B23</f>
        <v>-8166870.7627</v>
      </c>
      <c r="C5" s="284" t="n">
        <f aca="false">'Income Statement'!C23</f>
        <v>9253616.07354998</v>
      </c>
      <c r="D5" s="284" t="n">
        <f aca="false">'Income Statement'!D23</f>
        <v>76751311.63006</v>
      </c>
      <c r="E5" s="284" t="n">
        <f aca="false">'Income Statement'!E23</f>
        <v>159940834.544748</v>
      </c>
      <c r="F5" s="284" t="n">
        <f aca="false">'Income Statement'!F23</f>
        <v>289759979.440876</v>
      </c>
    </row>
    <row r="6" customFormat="false" ht="15" hidden="false" customHeight="true" outlineLevel="0" collapsed="false">
      <c r="A6" s="283" t="s">
        <v>215</v>
      </c>
      <c r="B6" s="284" t="n">
        <f aca="false">'Income Statement'!B19</f>
        <v>0</v>
      </c>
      <c r="C6" s="284" t="n">
        <f aca="false">'Income Statement'!C19</f>
        <v>0</v>
      </c>
      <c r="D6" s="284" t="n">
        <f aca="false">'Income Statement'!D19</f>
        <v>1000000</v>
      </c>
      <c r="E6" s="284" t="n">
        <f aca="false">'Income Statement'!E19</f>
        <v>1500000</v>
      </c>
      <c r="F6" s="284" t="n">
        <f aca="false">'Income Statement'!F19</f>
        <v>2000000</v>
      </c>
    </row>
    <row r="7" customFormat="false" ht="15" hidden="false" customHeight="true" outlineLevel="0" collapsed="false">
      <c r="A7" s="283" t="s">
        <v>524</v>
      </c>
      <c r="B7" s="284" t="n">
        <f aca="false">'Balance Sheet'!B7</f>
        <v>620169.1227</v>
      </c>
      <c r="C7" s="284" t="n">
        <f aca="false">'Balance Sheet'!C7-'Balance Sheet'!B7</f>
        <v>12957897.4833</v>
      </c>
      <c r="D7" s="284" t="n">
        <f aca="false">'Balance Sheet'!D7-'Balance Sheet'!C7</f>
        <v>12418773.3576</v>
      </c>
      <c r="E7" s="284" t="n">
        <f aca="false">'Balance Sheet'!E7-'Balance Sheet'!D7</f>
        <v>24026264.01456</v>
      </c>
      <c r="F7" s="284" t="n">
        <f aca="false">'Balance Sheet'!F7-'Balance Sheet'!E7</f>
        <v>43740758.408736</v>
      </c>
    </row>
    <row r="8" customFormat="false" ht="15" hidden="false" customHeight="true" outlineLevel="0" collapsed="false">
      <c r="A8" s="283" t="s">
        <v>525</v>
      </c>
      <c r="B8" s="284" t="n">
        <f aca="false">-'Balance Sheet'!B6</f>
        <v>-20672304.09</v>
      </c>
      <c r="C8" s="284" t="n">
        <f aca="false">-('Balance Sheet'!C6-'Balance Sheet'!B6)</f>
        <v>-431929916.11</v>
      </c>
      <c r="D8" s="284" t="n">
        <f aca="false">-('Balance Sheet'!D6-'Balance Sheet'!C6)</f>
        <v>-413959111.92</v>
      </c>
      <c r="E8" s="284" t="n">
        <f aca="false">-('Balance Sheet'!E6-'Balance Sheet'!D6)</f>
        <v>-800875467.152</v>
      </c>
      <c r="F8" s="284" t="n">
        <f aca="false">-('Balance Sheet'!F6-'Balance Sheet'!E6)</f>
        <v>-1458025280.2912</v>
      </c>
    </row>
    <row r="9" customFormat="false" ht="15" hidden="false" customHeight="true" outlineLevel="0" collapsed="false">
      <c r="A9" s="283" t="s">
        <v>526</v>
      </c>
      <c r="B9" s="284" t="n">
        <f aca="false">'Balance Sheet'!B15</f>
        <v>6000000</v>
      </c>
      <c r="C9" s="284" t="n">
        <f aca="false">'Balance Sheet'!C15-'Balance Sheet'!B15</f>
        <v>1500000</v>
      </c>
      <c r="D9" s="284" t="n">
        <f aca="false">'Balance Sheet'!D15-'Balance Sheet'!C15</f>
        <v>13500000</v>
      </c>
      <c r="E9" s="284" t="n">
        <f aca="false">'Balance Sheet'!E15-'Balance Sheet'!D15</f>
        <v>19500000</v>
      </c>
      <c r="F9" s="284" t="n">
        <f aca="false">'Balance Sheet'!F15-'Balance Sheet'!E15</f>
        <v>34500000</v>
      </c>
    </row>
    <row r="10" customFormat="false" ht="15" hidden="false" customHeight="true" outlineLevel="0" collapsed="false">
      <c r="A10" s="283" t="s">
        <v>446</v>
      </c>
      <c r="B10" s="284" t="n">
        <f aca="false">0</f>
        <v>0</v>
      </c>
      <c r="C10" s="284" t="n">
        <f aca="false">-('Balance Sheet'!C9-'Balance Sheet'!B9)</f>
        <v>-0</v>
      </c>
      <c r="D10" s="284" t="n">
        <f aca="false">-('Balance Sheet'!D9-'Balance Sheet'!C9)</f>
        <v>-0</v>
      </c>
      <c r="E10" s="284" t="n">
        <f aca="false">-('Balance Sheet'!E9-'Balance Sheet'!D9)</f>
        <v>-0</v>
      </c>
      <c r="F10" s="284" t="n">
        <f aca="false">-('Balance Sheet'!F9-'Balance Sheet'!E9)</f>
        <v>-0</v>
      </c>
    </row>
    <row r="11" customFormat="false" ht="15" hidden="false" customHeight="true" outlineLevel="0" collapsed="false">
      <c r="A11" s="283" t="s">
        <v>527</v>
      </c>
      <c r="B11" s="284" t="n">
        <f aca="false">SUM(B5:B10)</f>
        <v>-22219005.73</v>
      </c>
      <c r="C11" s="284" t="n">
        <f aca="false">SUM(C5:C10)</f>
        <v>-408218402.55315</v>
      </c>
      <c r="D11" s="284" t="n">
        <f aca="false">SUM(D5:D10)</f>
        <v>-310289026.93234</v>
      </c>
      <c r="E11" s="284" t="n">
        <f aca="false">SUM(E5:E10)</f>
        <v>-595908368.592692</v>
      </c>
      <c r="F11" s="284" t="n">
        <f aca="false">SUM(F5:F10)</f>
        <v>-1088024542.44159</v>
      </c>
    </row>
    <row r="12" customFormat="false" ht="15" hidden="false" customHeight="true" outlineLevel="0" collapsed="false">
      <c r="A12" s="286"/>
      <c r="B12" s="287"/>
      <c r="C12" s="287"/>
      <c r="D12" s="287"/>
      <c r="E12" s="287"/>
      <c r="F12" s="287"/>
    </row>
    <row r="13" customFormat="false" ht="21.75" hidden="false" customHeight="true" outlineLevel="0" collapsed="false">
      <c r="A13" s="288" t="s">
        <v>528</v>
      </c>
      <c r="B13" s="288"/>
      <c r="C13" s="288"/>
      <c r="D13" s="288"/>
      <c r="E13" s="288"/>
      <c r="F13" s="288"/>
    </row>
    <row r="14" customFormat="false" ht="15" hidden="false" customHeight="true" outlineLevel="0" collapsed="false">
      <c r="A14" s="283" t="s">
        <v>96</v>
      </c>
      <c r="B14" s="284" t="n">
        <f aca="false">-Assumptions!B11</f>
        <v>-4302000</v>
      </c>
      <c r="C14" s="284" t="n">
        <f aca="false">-Assumptions!C11</f>
        <v>-500000</v>
      </c>
      <c r="D14" s="284" t="n">
        <f aca="false">-Assumptions!D11</f>
        <v>-1000000</v>
      </c>
      <c r="E14" s="284" t="n">
        <f aca="false">-Assumptions!E11</f>
        <v>-1500000</v>
      </c>
      <c r="F14" s="284" t="n">
        <f aca="false">-Assumptions!F11</f>
        <v>-2000000</v>
      </c>
    </row>
    <row r="15" customFormat="false" ht="15" hidden="false" customHeight="true" outlineLevel="0" collapsed="false">
      <c r="A15" s="283" t="s">
        <v>529</v>
      </c>
      <c r="B15" s="284" t="n">
        <f aca="false">B14</f>
        <v>-4302000</v>
      </c>
      <c r="C15" s="284" t="n">
        <f aca="false">C14</f>
        <v>-500000</v>
      </c>
      <c r="D15" s="284" t="n">
        <f aca="false">D14</f>
        <v>-1000000</v>
      </c>
      <c r="E15" s="284" t="n">
        <f aca="false">E14</f>
        <v>-1500000</v>
      </c>
      <c r="F15" s="284" t="n">
        <f aca="false">F14</f>
        <v>-2000000</v>
      </c>
    </row>
    <row r="16" customFormat="false" ht="15" hidden="false" customHeight="true" outlineLevel="0" collapsed="false">
      <c r="A16" s="286"/>
      <c r="B16" s="287"/>
      <c r="C16" s="287"/>
      <c r="D16" s="287"/>
      <c r="E16" s="287"/>
      <c r="F16" s="287"/>
    </row>
    <row r="17" customFormat="false" ht="21.75" hidden="false" customHeight="true" outlineLevel="0" collapsed="false">
      <c r="A17" s="288" t="s">
        <v>530</v>
      </c>
      <c r="B17" s="288"/>
      <c r="C17" s="288"/>
      <c r="D17" s="288"/>
      <c r="E17" s="288"/>
      <c r="F17" s="288"/>
    </row>
    <row r="18" customFormat="false" ht="30" hidden="false" customHeight="true" outlineLevel="0" collapsed="false">
      <c r="A18" s="283" t="s">
        <v>531</v>
      </c>
      <c r="B18" s="284" t="n">
        <f aca="false">Assumptions!B90</f>
        <v>0</v>
      </c>
      <c r="C18" s="284" t="n">
        <f aca="false">Assumptions!C90-Assumptions!B90</f>
        <v>370000000</v>
      </c>
      <c r="D18" s="284" t="n">
        <f aca="false">Assumptions!D90-Assumptions!C90</f>
        <v>315000000</v>
      </c>
      <c r="E18" s="284" t="n">
        <f aca="false">Assumptions!E90-Assumptions!D90</f>
        <v>650000000</v>
      </c>
      <c r="F18" s="284" t="n">
        <f aca="false">Assumptions!F90-Assumptions!E90</f>
        <v>1265000000</v>
      </c>
    </row>
    <row r="19" customFormat="false" ht="30" hidden="false" customHeight="true" outlineLevel="0" collapsed="false">
      <c r="A19" s="283" t="s">
        <v>532</v>
      </c>
      <c r="B19" s="284" t="n">
        <f aca="false">15000000</f>
        <v>15000000</v>
      </c>
      <c r="C19" s="284" t="n">
        <f aca="false">'Balance Sheet'!C19-'Balance Sheet'!B19</f>
        <v>45000000</v>
      </c>
      <c r="D19" s="284" t="n">
        <f aca="false">'Balance Sheet'!D19-'Balance Sheet'!C19</f>
        <v>0</v>
      </c>
      <c r="E19" s="284" t="n">
        <f aca="false">'Balance Sheet'!E19-'Balance Sheet'!D19</f>
        <v>0</v>
      </c>
      <c r="F19" s="284" t="n">
        <f aca="false">'Balance Sheet'!F19-'Balance Sheet'!E19</f>
        <v>0</v>
      </c>
    </row>
    <row r="20" customFormat="false" ht="30" hidden="false" customHeight="true" outlineLevel="0" collapsed="false">
      <c r="A20" s="283" t="s">
        <v>533</v>
      </c>
      <c r="B20" s="284" t="n">
        <f aca="false">0</f>
        <v>0</v>
      </c>
      <c r="C20" s="284" t="n">
        <f aca="false">0</f>
        <v>0</v>
      </c>
      <c r="D20" s="284" t="n">
        <f aca="false">0</f>
        <v>0</v>
      </c>
      <c r="E20" s="284" t="n">
        <f aca="false">0</f>
        <v>0</v>
      </c>
      <c r="F20" s="284" t="n">
        <f aca="false">0</f>
        <v>0</v>
      </c>
    </row>
    <row r="21" customFormat="false" ht="15" hidden="false" customHeight="true" outlineLevel="0" collapsed="false">
      <c r="A21" s="283" t="s">
        <v>534</v>
      </c>
      <c r="B21" s="284" t="n">
        <f aca="false">SUM(B18:B20)</f>
        <v>15000000</v>
      </c>
      <c r="C21" s="284" t="n">
        <f aca="false">SUM(C18:C20)</f>
        <v>415000000</v>
      </c>
      <c r="D21" s="284" t="n">
        <f aca="false">SUM(D18:D20)</f>
        <v>315000000</v>
      </c>
      <c r="E21" s="284" t="n">
        <f aca="false">SUM(E18:E20)</f>
        <v>650000000</v>
      </c>
      <c r="F21" s="284" t="n">
        <f aca="false">SUM(F18:F20)</f>
        <v>1265000000</v>
      </c>
    </row>
    <row r="22" customFormat="false" ht="15" hidden="false" customHeight="true" outlineLevel="0" collapsed="false">
      <c r="A22" s="283"/>
      <c r="B22" s="284"/>
      <c r="C22" s="284"/>
      <c r="D22" s="284"/>
      <c r="E22" s="284"/>
      <c r="F22" s="284"/>
    </row>
    <row r="23" customFormat="false" ht="33.75" hidden="false" customHeight="true" outlineLevel="0" collapsed="false">
      <c r="A23" s="283" t="s">
        <v>454</v>
      </c>
      <c r="B23" s="284" t="n">
        <f aca="false">B11+B15+B21</f>
        <v>-11521005.73</v>
      </c>
      <c r="C23" s="284" t="n">
        <f aca="false">C11+C15+C21</f>
        <v>6281597.44684994</v>
      </c>
      <c r="D23" s="284" t="n">
        <f aca="false">D11+D15+D21</f>
        <v>3710973.06765991</v>
      </c>
      <c r="E23" s="284" t="n">
        <f aca="false">E11+E15+E21</f>
        <v>52591631.4073081</v>
      </c>
      <c r="F23" s="284" t="n">
        <f aca="false">F11+F15+F21</f>
        <v>174975457.558412</v>
      </c>
    </row>
    <row r="24" customFormat="false" ht="15" hidden="false" customHeight="true" outlineLevel="0" collapsed="false">
      <c r="A24" s="283" t="s">
        <v>535</v>
      </c>
      <c r="B24" s="284" t="n">
        <f aca="false">14741923.72</f>
        <v>14741923.72</v>
      </c>
      <c r="C24" s="284" t="n">
        <f aca="false">B25</f>
        <v>3220917.99</v>
      </c>
      <c r="D24" s="284" t="n">
        <f aca="false">C25</f>
        <v>9502515.43684994</v>
      </c>
      <c r="E24" s="284" t="n">
        <f aca="false">D25</f>
        <v>13213488.5045099</v>
      </c>
      <c r="F24" s="284" t="n">
        <f aca="false">E25</f>
        <v>65805119.911818</v>
      </c>
    </row>
    <row r="25" customFormat="false" ht="15" hidden="false" customHeight="true" outlineLevel="0" collapsed="false">
      <c r="A25" s="283" t="s">
        <v>536</v>
      </c>
      <c r="B25" s="284" t="n">
        <f aca="false">B24+B23</f>
        <v>3220917.99</v>
      </c>
      <c r="C25" s="284" t="n">
        <f aca="false">C24+C23</f>
        <v>9502515.43684994</v>
      </c>
      <c r="D25" s="284" t="n">
        <f aca="false">D24+D23</f>
        <v>13213488.5045099</v>
      </c>
      <c r="E25" s="284" t="n">
        <f aca="false">E24+E23</f>
        <v>65805119.911818</v>
      </c>
      <c r="F25" s="284" t="n">
        <f aca="false">F24+F23</f>
        <v>240780577.47023</v>
      </c>
    </row>
    <row r="26" customFormat="false" ht="15" hidden="false" customHeight="true" outlineLevel="0" collapsed="false">
      <c r="A26" s="283" t="s">
        <v>537</v>
      </c>
      <c r="B26" s="293" t="n">
        <f aca="false">B25-'Balance Sheet'!B5</f>
        <v>0</v>
      </c>
      <c r="C26" s="293" t="n">
        <f aca="false">C25-'Balance Sheet'!C5</f>
        <v>0</v>
      </c>
      <c r="D26" s="293" t="n">
        <f aca="false">D25-'Balance Sheet'!D5</f>
        <v>0</v>
      </c>
      <c r="E26" s="293" t="n">
        <f aca="false">E25-'Balance Sheet'!E5</f>
        <v>0</v>
      </c>
      <c r="F26" s="293" t="n">
        <f aca="false">F25-'Balance Sheet'!F5</f>
        <v>0</v>
      </c>
    </row>
    <row r="27" customFormat="false" ht="15" hidden="false" customHeight="true" outlineLevel="0" collapsed="false">
      <c r="A27" s="69" t="s">
        <v>449</v>
      </c>
      <c r="B27" s="294" t="n">
        <f aca="false">Assumptions!B101</f>
        <v>0</v>
      </c>
      <c r="C27" s="294" t="n">
        <f aca="false">Assumptions!C101</f>
        <v>420000000</v>
      </c>
      <c r="D27" s="294" t="n">
        <f aca="false">Assumptions!D101</f>
        <v>850000000</v>
      </c>
      <c r="E27" s="294" t="n">
        <f aca="false">Assumptions!E101</f>
        <v>1600000000</v>
      </c>
      <c r="F27" s="294" t="n">
        <f aca="false">Assumptions!F101</f>
        <v>3000000000</v>
      </c>
    </row>
    <row r="28" customFormat="false" ht="15" hidden="false" customHeight="true" outlineLevel="0" collapsed="false">
      <c r="A28" s="69" t="s">
        <v>538</v>
      </c>
      <c r="B28" s="294" t="n">
        <f aca="false">'Funding &amp; Liquidity'!B12</f>
        <v>0</v>
      </c>
      <c r="C28" s="294" t="n">
        <f aca="false">'Funding &amp; Liquidity'!C12</f>
        <v>71677562.91</v>
      </c>
      <c r="D28" s="294" t="n">
        <f aca="false">'Funding &amp; Liquidity'!D12</f>
        <v>292500000</v>
      </c>
      <c r="E28" s="294" t="n">
        <f aca="false">'Funding &amp; Liquidity'!E12</f>
        <v>615000000</v>
      </c>
      <c r="F28" s="294" t="n">
        <f aca="false">'Funding &amp; Liquidity'!F12</f>
        <v>1162500000</v>
      </c>
    </row>
    <row r="29" customFormat="false" ht="39.75" hidden="false" customHeight="true" outlineLevel="0" collapsed="false">
      <c r="A29" s="295" t="s">
        <v>539</v>
      </c>
      <c r="B29" s="295"/>
      <c r="C29" s="295"/>
      <c r="D29" s="295"/>
      <c r="E29" s="295"/>
      <c r="F29" s="295"/>
    </row>
  </sheetData>
  <mergeCells count="5">
    <mergeCell ref="A1:F1"/>
    <mergeCell ref="A4:F4"/>
    <mergeCell ref="A13:F13"/>
    <mergeCell ref="A17:F17"/>
    <mergeCell ref="A29:F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0" t="s">
        <v>540</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15" hidden="false" customHeight="true" outlineLevel="0" collapsed="false">
      <c r="A4" s="287" t="s">
        <v>541</v>
      </c>
      <c r="B4" s="287" t="n">
        <v>2300000</v>
      </c>
      <c r="C4" s="287" t="n">
        <v>200000</v>
      </c>
      <c r="D4" s="287" t="n">
        <v>400000</v>
      </c>
      <c r="E4" s="287" t="n">
        <v>550000</v>
      </c>
      <c r="F4" s="287" t="n">
        <v>700000</v>
      </c>
    </row>
    <row r="5" customFormat="false" ht="15" hidden="false" customHeight="true" outlineLevel="0" collapsed="false">
      <c r="A5" s="287" t="s">
        <v>542</v>
      </c>
      <c r="B5" s="287" t="n">
        <v>600000</v>
      </c>
      <c r="C5" s="287" t="n">
        <v>100000</v>
      </c>
      <c r="D5" s="287" t="n">
        <v>150000</v>
      </c>
      <c r="E5" s="287" t="n">
        <v>200000</v>
      </c>
      <c r="F5" s="287" t="n">
        <v>250000</v>
      </c>
    </row>
    <row r="6" customFormat="false" ht="15" hidden="false" customHeight="true" outlineLevel="0" collapsed="false">
      <c r="A6" s="287" t="s">
        <v>543</v>
      </c>
      <c r="B6" s="287" t="n">
        <v>702000</v>
      </c>
      <c r="C6" s="287" t="n">
        <v>50000</v>
      </c>
      <c r="D6" s="287" t="n">
        <v>100000</v>
      </c>
      <c r="E6" s="287" t="n">
        <v>150000</v>
      </c>
      <c r="F6" s="287" t="n">
        <v>200000</v>
      </c>
    </row>
    <row r="7" customFormat="false" ht="15" hidden="false" customHeight="true" outlineLevel="0" collapsed="false">
      <c r="A7" s="287" t="s">
        <v>544</v>
      </c>
      <c r="B7" s="287" t="n">
        <v>500000</v>
      </c>
      <c r="C7" s="287" t="n">
        <v>50000</v>
      </c>
      <c r="D7" s="287" t="n">
        <v>200000</v>
      </c>
      <c r="E7" s="287" t="n">
        <v>400000</v>
      </c>
      <c r="F7" s="287" t="n">
        <v>650000</v>
      </c>
    </row>
    <row r="8" customFormat="false" ht="15" hidden="false" customHeight="true" outlineLevel="0" collapsed="false">
      <c r="A8" s="287" t="s">
        <v>545</v>
      </c>
      <c r="B8" s="287" t="n">
        <v>200000</v>
      </c>
      <c r="C8" s="287" t="n">
        <v>100000</v>
      </c>
      <c r="D8" s="287" t="n">
        <v>150000</v>
      </c>
      <c r="E8" s="287" t="n">
        <v>200000</v>
      </c>
      <c r="F8" s="287" t="n">
        <v>200000</v>
      </c>
    </row>
    <row r="9" customFormat="false" ht="15" hidden="false" customHeight="true" outlineLevel="0" collapsed="false">
      <c r="A9" s="287" t="s">
        <v>402</v>
      </c>
      <c r="B9" s="287" t="n">
        <v>0</v>
      </c>
      <c r="C9" s="287" t="n">
        <v>0</v>
      </c>
      <c r="D9" s="287" t="n">
        <v>0</v>
      </c>
      <c r="E9" s="287" t="n">
        <v>0</v>
      </c>
      <c r="F9" s="287" t="n">
        <v>0</v>
      </c>
    </row>
    <row r="10" customFormat="false" ht="15" hidden="false" customHeight="true" outlineLevel="0" collapsed="false">
      <c r="A10" s="287" t="s">
        <v>546</v>
      </c>
      <c r="B10" s="287" t="n">
        <f aca="false">SUM(B4:B9)</f>
        <v>4302000</v>
      </c>
      <c r="C10" s="287" t="n">
        <f aca="false">SUM(C4:C9)</f>
        <v>500000</v>
      </c>
      <c r="D10" s="287" t="n">
        <f aca="false">SUM(D4:D9)</f>
        <v>1000000</v>
      </c>
      <c r="E10" s="287" t="n">
        <f aca="false">SUM(E4:E9)</f>
        <v>1500000</v>
      </c>
      <c r="F10" s="287" t="n">
        <f aca="false">SUM(F4:F9)</f>
        <v>2000000</v>
      </c>
    </row>
    <row r="11" customFormat="false" ht="15" hidden="false" customHeight="true" outlineLevel="0" collapsed="false"/>
    <row r="12" customFormat="false" ht="37.5" hidden="false" customHeight="true" outlineLevel="0" collapsed="false">
      <c r="A12" s="60" t="s">
        <v>547</v>
      </c>
      <c r="B12" s="60"/>
      <c r="C12" s="60"/>
      <c r="D12" s="60"/>
      <c r="E12" s="60"/>
      <c r="F12" s="60"/>
    </row>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21.7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sheetData>
  <mergeCells count="2">
    <mergeCell ref="A1:F1"/>
    <mergeCell ref="A12:F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7" min="3" style="1" width="22"/>
    <col collapsed="false" customWidth="true" hidden="false" outlineLevel="0" max="8" min="8" style="1" width="16"/>
    <col collapsed="false" customWidth="true" hidden="false" outlineLevel="0" max="26" min="9" style="1" width="14"/>
  </cols>
  <sheetData>
    <row r="1" customFormat="false" ht="30.75" hidden="false" customHeight="true" outlineLevel="0" collapsed="false">
      <c r="A1" s="280" t="s">
        <v>548</v>
      </c>
      <c r="B1" s="280"/>
      <c r="C1" s="280"/>
      <c r="D1" s="280"/>
      <c r="E1" s="280"/>
      <c r="F1" s="280"/>
      <c r="G1" s="280"/>
    </row>
    <row r="2" customFormat="false" ht="15" hidden="false" customHeight="true" outlineLevel="0" collapsed="false"/>
    <row r="3" customFormat="false" ht="15" hidden="false" customHeight="true" outlineLevel="0" collapsed="false">
      <c r="A3" s="296" t="s">
        <v>83</v>
      </c>
      <c r="B3" s="296" t="s">
        <v>549</v>
      </c>
      <c r="C3" s="296" t="s">
        <v>84</v>
      </c>
      <c r="D3" s="296" t="s">
        <v>85</v>
      </c>
      <c r="E3" s="296" t="s">
        <v>86</v>
      </c>
      <c r="F3" s="296" t="s">
        <v>87</v>
      </c>
      <c r="G3" s="296" t="s">
        <v>88</v>
      </c>
    </row>
    <row r="4" customFormat="false" ht="15" hidden="false" customHeight="true" outlineLevel="0" collapsed="false">
      <c r="A4" s="283" t="s">
        <v>550</v>
      </c>
      <c r="B4" s="284" t="n">
        <v>-15258076.28</v>
      </c>
      <c r="C4" s="284" t="n">
        <v>-15000000</v>
      </c>
      <c r="D4" s="284" t="n">
        <v>-45000000</v>
      </c>
      <c r="E4" s="284" t="n">
        <v>0</v>
      </c>
      <c r="F4" s="284" t="n">
        <v>0</v>
      </c>
      <c r="G4" s="284" t="n">
        <v>0</v>
      </c>
    </row>
    <row r="5" customFormat="false" ht="15" hidden="false" customHeight="true" outlineLevel="0" collapsed="false">
      <c r="A5" s="283" t="s">
        <v>533</v>
      </c>
      <c r="B5" s="284" t="n">
        <v>0</v>
      </c>
      <c r="C5" s="284" t="n">
        <v>0</v>
      </c>
      <c r="D5" s="284" t="n">
        <v>0</v>
      </c>
      <c r="E5" s="284" t="n">
        <v>0</v>
      </c>
      <c r="F5" s="284" t="n">
        <v>0</v>
      </c>
      <c r="G5" s="284" t="n">
        <v>0</v>
      </c>
    </row>
    <row r="6" customFormat="false" ht="15" hidden="false" customHeight="true" outlineLevel="0" collapsed="false">
      <c r="A6" s="283" t="s">
        <v>551</v>
      </c>
      <c r="B6" s="284" t="n">
        <v>0</v>
      </c>
      <c r="C6" s="284" t="n">
        <v>0</v>
      </c>
      <c r="D6" s="284" t="n">
        <v>0</v>
      </c>
      <c r="E6" s="284" t="n">
        <v>0</v>
      </c>
      <c r="F6" s="284" t="n">
        <v>0</v>
      </c>
      <c r="G6" s="284" t="n">
        <f aca="false">'Income Statement'!F23*Assumptions!$B$40</f>
        <v>2318079835.52701</v>
      </c>
    </row>
    <row r="7" customFormat="false" ht="15" hidden="false" customHeight="true" outlineLevel="0" collapsed="false">
      <c r="A7" s="283" t="s">
        <v>552</v>
      </c>
      <c r="B7" s="284" t="n">
        <f aca="false">B4+B5+B6</f>
        <v>-15258076.28</v>
      </c>
      <c r="C7" s="284" t="n">
        <f aca="false">C4+C5+C6</f>
        <v>-15000000</v>
      </c>
      <c r="D7" s="284" t="n">
        <f aca="false">D4+D5+D6</f>
        <v>-45000000</v>
      </c>
      <c r="E7" s="284" t="n">
        <f aca="false">E4+E5+E6</f>
        <v>0</v>
      </c>
      <c r="F7" s="284" t="n">
        <f aca="false">F4+F5+F6</f>
        <v>0</v>
      </c>
      <c r="G7" s="284" t="n">
        <f aca="false">G4+G5+G6</f>
        <v>2318079835.52701</v>
      </c>
    </row>
    <row r="8" customFormat="false" ht="15" hidden="false" customHeight="true" outlineLevel="0" collapsed="false">
      <c r="A8" s="283" t="s">
        <v>553</v>
      </c>
      <c r="B8" s="284" t="n">
        <f aca="false">1</f>
        <v>1</v>
      </c>
      <c r="C8" s="284" t="n">
        <f aca="false">1/(1+$B$22)^1</f>
        <v>0.8</v>
      </c>
      <c r="D8" s="284" t="n">
        <f aca="false">1/(1+$B$22)^2</f>
        <v>0.64</v>
      </c>
      <c r="E8" s="284" t="n">
        <f aca="false">1/(1+$B$22)^3</f>
        <v>0.512</v>
      </c>
      <c r="F8" s="284" t="n">
        <f aca="false">1/(1+$B$22)^4</f>
        <v>0.4096</v>
      </c>
      <c r="G8" s="284" t="n">
        <f aca="false">1/(1+$B$22)^5</f>
        <v>0.32768</v>
      </c>
    </row>
    <row r="9" customFormat="false" ht="15" hidden="false" customHeight="true" outlineLevel="0" collapsed="false">
      <c r="A9" s="283" t="s">
        <v>554</v>
      </c>
      <c r="B9" s="284" t="n">
        <f aca="false">B7*B8</f>
        <v>-15258076.28</v>
      </c>
      <c r="C9" s="284" t="n">
        <f aca="false">C7*C8</f>
        <v>-12000000</v>
      </c>
      <c r="D9" s="284" t="n">
        <f aca="false">D7*D8</f>
        <v>-28800000</v>
      </c>
      <c r="E9" s="284" t="n">
        <f aca="false">E7*E8</f>
        <v>0</v>
      </c>
      <c r="F9" s="284" t="n">
        <f aca="false">F7*F8</f>
        <v>0</v>
      </c>
      <c r="G9" s="284" t="n">
        <f aca="false">G7*G8</f>
        <v>759588400.50549</v>
      </c>
    </row>
    <row r="10" customFormat="false" ht="15" hidden="false" customHeight="true" outlineLevel="0" collapsed="false">
      <c r="A10" s="283" t="s">
        <v>555</v>
      </c>
      <c r="B10" s="284" t="n">
        <f aca="false">B9</f>
        <v>-15258076.28</v>
      </c>
      <c r="C10" s="284" t="n">
        <f aca="false">B10+C9</f>
        <v>-27258076.28</v>
      </c>
      <c r="D10" s="284" t="n">
        <f aca="false">C10+D9</f>
        <v>-56058076.28</v>
      </c>
      <c r="E10" s="284" t="n">
        <f aca="false">D10+E9</f>
        <v>-56058076.28</v>
      </c>
      <c r="F10" s="284" t="n">
        <f aca="false">E10+F9</f>
        <v>-56058076.28</v>
      </c>
      <c r="G10" s="284" t="n">
        <f aca="false">F10+G9</f>
        <v>703530324.22549</v>
      </c>
    </row>
    <row r="11" customFormat="false" ht="15" hidden="false" customHeight="true" outlineLevel="0" collapsed="false">
      <c r="A11" s="286"/>
      <c r="B11" s="286"/>
      <c r="C11" s="286"/>
      <c r="D11" s="286"/>
      <c r="E11" s="286"/>
      <c r="F11" s="286"/>
      <c r="G11" s="286"/>
    </row>
    <row r="12" customFormat="false" ht="15" hidden="false" customHeight="true" outlineLevel="0" collapsed="false">
      <c r="A12" s="288" t="s">
        <v>556</v>
      </c>
      <c r="B12" s="288"/>
      <c r="C12" s="288"/>
      <c r="D12" s="288"/>
      <c r="E12" s="288"/>
      <c r="F12" s="288"/>
      <c r="G12" s="288"/>
    </row>
    <row r="13" customFormat="false" ht="21.75" hidden="false" customHeight="true" outlineLevel="0" collapsed="false">
      <c r="A13" s="283" t="s">
        <v>557</v>
      </c>
      <c r="B13" s="284" t="n">
        <f aca="false">SUM(B9:G9)</f>
        <v>703530324.22549</v>
      </c>
      <c r="C13" s="286"/>
      <c r="D13" s="286"/>
      <c r="E13" s="286"/>
      <c r="F13" s="286"/>
      <c r="G13" s="286"/>
    </row>
    <row r="14" customFormat="false" ht="15" hidden="false" customHeight="true" outlineLevel="0" collapsed="false">
      <c r="A14" s="283" t="s">
        <v>558</v>
      </c>
      <c r="B14" s="289" t="n">
        <f aca="false">IRR(B7:G7)</f>
        <v>1.39597523906409</v>
      </c>
      <c r="C14" s="286"/>
      <c r="D14" s="286"/>
      <c r="E14" s="286"/>
      <c r="F14" s="286"/>
      <c r="G14" s="286"/>
    </row>
    <row r="15" customFormat="false" ht="15" hidden="false" customHeight="true" outlineLevel="0" collapsed="false">
      <c r="A15" s="283" t="s">
        <v>559</v>
      </c>
      <c r="B15" s="297" t="n">
        <f aca="false">IF(B7&gt;=0,0,IF(SUM(B7:C7)&gt;=0,ABS(B7)/C7,IF(SUM(B7:D7)&gt;=0,1+ABS(SUM(B7:C7))/D7,IF(SUM(B7:E7)&gt;=0,2+ABS(SUM(B7:D7))/E7,IF(SUM(B7:F7)&gt;=0,3+ABS(SUM(B7:E7))/F7,IF(SUM(B7:G7)&gt;=0,4+ABS(SUM(B7:F7))/G7,"غير مسترد"))))))</f>
        <v>4.03246569644694</v>
      </c>
      <c r="C15" s="286"/>
      <c r="D15" s="286"/>
      <c r="E15" s="286"/>
      <c r="F15" s="286"/>
      <c r="G15" s="286"/>
    </row>
    <row r="16" customFormat="false" ht="15" hidden="false" customHeight="true" outlineLevel="0" collapsed="false">
      <c r="A16" s="283" t="s">
        <v>560</v>
      </c>
      <c r="B16" s="297" t="n">
        <f aca="false">IF(B9&gt;=0,0,IF(SUM(B9:C9)&gt;=0,ABS(B9)/C9,IF(SUM(B9:D9)&gt;=0,1+ABS(SUM(B9:C9))/D9,IF(SUM(B9:E9)&gt;=0,2+ABS(SUM(B9:D9))/E9,IF(SUM(B9:F9)&gt;=0,3+ABS(SUM(B9:E9))/F9,IF(SUM(B9:G9)&gt;=0,4+ABS(SUM(B9:F9))/G9,"غير مسترد"))))))</f>
        <v>4.07380059548394</v>
      </c>
      <c r="C16" s="286"/>
      <c r="D16" s="286"/>
      <c r="E16" s="286"/>
      <c r="F16" s="286"/>
      <c r="G16" s="286"/>
    </row>
    <row r="17" customFormat="false" ht="15" hidden="false" customHeight="true" outlineLevel="0" collapsed="false">
      <c r="A17" s="283" t="s">
        <v>561</v>
      </c>
      <c r="B17" s="289" t="n">
        <f aca="false">IFERROR(AVERAGE('Income Statement'!B23:F23)/AVERAGE('Balance Sheet'!B19:F19),0)</f>
        <v>1.59860263917131</v>
      </c>
      <c r="C17" s="286"/>
      <c r="D17" s="286"/>
      <c r="E17" s="286"/>
      <c r="F17" s="286"/>
      <c r="G17" s="286"/>
    </row>
    <row r="18" customFormat="false" ht="15" hidden="false" customHeight="true" outlineLevel="0" collapsed="false">
      <c r="A18" s="283" t="s">
        <v>562</v>
      </c>
      <c r="B18" s="298" t="n">
        <f aca="false">IFERROR(SUMIF(B9:G9,"&gt;0",B9:G9)/ABS(SUMIF(B9:G9,"&lt;0",B9:G9)),0)</f>
        <v>13.5500261677101</v>
      </c>
      <c r="C18" s="286"/>
      <c r="D18" s="286"/>
      <c r="E18" s="286"/>
      <c r="F18" s="286"/>
      <c r="G18" s="286"/>
    </row>
    <row r="19" customFormat="false" ht="15" hidden="false" customHeight="true" outlineLevel="0" collapsed="false">
      <c r="A19" s="283" t="s">
        <v>563</v>
      </c>
      <c r="B19" s="289" t="n">
        <f aca="false">SUMPRODUCT(Assumptions!B9:F9,'Balance Sheet'!B14:F14)/SUM('Balance Sheet'!B14:F14)*(1-Assumptions!$B$33)</f>
        <v>0.139888276553106</v>
      </c>
      <c r="C19" s="286"/>
      <c r="D19" s="286"/>
      <c r="E19" s="286"/>
      <c r="F19" s="286"/>
      <c r="G19" s="286"/>
    </row>
    <row r="20" customFormat="false" ht="15" hidden="false" customHeight="true" outlineLevel="0" collapsed="false">
      <c r="A20" s="283" t="s">
        <v>564</v>
      </c>
      <c r="B20" s="289" t="n">
        <f aca="false">('Balance Sheet'!F14/('Balance Sheet'!F14+'Balance Sheet'!F22))*Assumptions!F9*(1-Assumptions!$B$33)+('Balance Sheet'!F22/('Balance Sheet'!F14+'Balance Sheet'!F22))*$B$22</f>
        <v>0.153998042680728</v>
      </c>
      <c r="C20" s="286"/>
      <c r="D20" s="286"/>
      <c r="E20" s="286"/>
      <c r="F20" s="286"/>
      <c r="G20" s="286"/>
    </row>
    <row r="21" customFormat="false" ht="15" hidden="false" customHeight="true" outlineLevel="0" collapsed="false">
      <c r="A21" s="283" t="s">
        <v>565</v>
      </c>
      <c r="B21" s="283" t="str">
        <f aca="false">IF(B13&gt;0,"مجد استرشاديا وفق افتراض القيمة النهائية","غير مجد وفق الافتراضات الحالية")</f>
        <v>مجد استرشاديا وفق افتراض القيمة النهائية</v>
      </c>
      <c r="C21" s="286"/>
      <c r="D21" s="286"/>
      <c r="E21" s="286"/>
      <c r="F21" s="286"/>
      <c r="G21" s="286"/>
    </row>
    <row r="22" customFormat="false" ht="15" hidden="false" customHeight="true" outlineLevel="0" collapsed="false">
      <c r="A22" s="283" t="s">
        <v>142</v>
      </c>
      <c r="B22" s="289" t="n">
        <f aca="false">25%</f>
        <v>0.25</v>
      </c>
      <c r="C22" s="286"/>
      <c r="D22" s="286"/>
      <c r="E22" s="286"/>
      <c r="F22" s="286"/>
      <c r="G22" s="286"/>
    </row>
    <row r="23" customFormat="false" ht="15" hidden="false" customHeight="true" outlineLevel="0" collapsed="false">
      <c r="A23" s="286"/>
      <c r="B23" s="286"/>
      <c r="C23" s="286"/>
      <c r="D23" s="286"/>
      <c r="E23" s="286"/>
      <c r="F23" s="286"/>
      <c r="G23" s="286"/>
    </row>
    <row r="24" customFormat="false" ht="15" hidden="false" customHeight="true" outlineLevel="0" collapsed="false">
      <c r="A24" s="288" t="s">
        <v>566</v>
      </c>
      <c r="B24" s="288"/>
      <c r="C24" s="288"/>
      <c r="D24" s="288"/>
      <c r="E24" s="288"/>
      <c r="F24" s="288"/>
      <c r="G24" s="288"/>
    </row>
    <row r="25" customFormat="false" ht="21.75" hidden="false" customHeight="true" outlineLevel="0" collapsed="false">
      <c r="A25" s="299" t="s">
        <v>567</v>
      </c>
      <c r="B25" s="300" t="s">
        <v>568</v>
      </c>
      <c r="C25" s="299" t="s">
        <v>569</v>
      </c>
      <c r="D25" s="299" t="s">
        <v>570</v>
      </c>
      <c r="E25" s="299" t="s">
        <v>571</v>
      </c>
      <c r="F25" s="299" t="s">
        <v>572</v>
      </c>
      <c r="G25" s="299" t="s">
        <v>573</v>
      </c>
    </row>
    <row r="26" customFormat="false" ht="33.75" hidden="false" customHeight="true" outlineLevel="0" collapsed="false">
      <c r="A26" s="301" t="s">
        <v>574</v>
      </c>
      <c r="B26" s="302" t="n">
        <v>600000000</v>
      </c>
      <c r="C26" s="301" t="s">
        <v>575</v>
      </c>
      <c r="D26" s="301" t="s">
        <v>576</v>
      </c>
      <c r="E26" s="301" t="s">
        <v>577</v>
      </c>
      <c r="F26" s="301" t="s">
        <v>578</v>
      </c>
      <c r="G26" s="301" t="s">
        <v>579</v>
      </c>
    </row>
    <row r="27" customFormat="false" ht="33.75" hidden="false" customHeight="true" outlineLevel="0" collapsed="false">
      <c r="A27" s="301" t="s">
        <v>580</v>
      </c>
      <c r="B27" s="302" t="n">
        <v>1200000000</v>
      </c>
      <c r="C27" s="301" t="s">
        <v>581</v>
      </c>
      <c r="D27" s="301" t="s">
        <v>582</v>
      </c>
      <c r="E27" s="301" t="s">
        <v>583</v>
      </c>
      <c r="F27" s="301" t="s">
        <v>584</v>
      </c>
      <c r="G27" s="301" t="s">
        <v>585</v>
      </c>
    </row>
    <row r="28" customFormat="false" ht="33.75" hidden="false" customHeight="true" outlineLevel="0" collapsed="false">
      <c r="A28" s="301" t="s">
        <v>586</v>
      </c>
      <c r="B28" s="302" t="n">
        <v>1000000000</v>
      </c>
      <c r="C28" s="301" t="s">
        <v>587</v>
      </c>
      <c r="D28" s="301" t="s">
        <v>588</v>
      </c>
      <c r="E28" s="301" t="s">
        <v>589</v>
      </c>
      <c r="F28" s="301" t="s">
        <v>590</v>
      </c>
      <c r="G28" s="301" t="s">
        <v>591</v>
      </c>
    </row>
    <row r="29" customFormat="false" ht="33.75" hidden="false" customHeight="true" outlineLevel="0" collapsed="false">
      <c r="A29" s="301" t="s">
        <v>592</v>
      </c>
      <c r="B29" s="302" t="n">
        <v>2800000000</v>
      </c>
      <c r="C29" s="301"/>
      <c r="D29" s="301"/>
      <c r="E29" s="301"/>
      <c r="F29" s="301"/>
      <c r="G29" s="301"/>
    </row>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3">
    <mergeCell ref="A1:G1"/>
    <mergeCell ref="A12:G12"/>
    <mergeCell ref="A24:G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0" t="s">
        <v>593</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21.75" hidden="false" customHeight="true" outlineLevel="0" collapsed="false">
      <c r="A4" s="282" t="s">
        <v>594</v>
      </c>
      <c r="B4" s="282"/>
      <c r="C4" s="282"/>
      <c r="D4" s="282"/>
      <c r="E4" s="282"/>
      <c r="F4" s="282"/>
    </row>
    <row r="5" customFormat="false" ht="15" hidden="false" customHeight="true" outlineLevel="0" collapsed="false">
      <c r="A5" s="283" t="s">
        <v>595</v>
      </c>
      <c r="B5" s="289" t="n">
        <f aca="false">'Funding &amp; Liquidity'!B21</f>
        <v>4.53990589561574</v>
      </c>
      <c r="C5" s="289" t="n">
        <f aca="false">'Funding &amp; Liquidity'!C21</f>
        <v>1.10731387549798</v>
      </c>
      <c r="D5" s="289" t="n">
        <f aca="false">'Funding &amp; Liquidity'!D21</f>
        <v>1.34692002612802</v>
      </c>
      <c r="E5" s="289" t="n">
        <f aca="false">'Funding &amp; Liquidity'!E21</f>
        <v>4.64894494552536</v>
      </c>
      <c r="F5" s="289" t="n">
        <f aca="false">'Funding &amp; Liquidity'!F21</f>
        <v>9.69741599892725</v>
      </c>
    </row>
    <row r="6" customFormat="false" ht="15" hidden="false" customHeight="true" outlineLevel="0" collapsed="false">
      <c r="A6" s="283" t="s">
        <v>596</v>
      </c>
      <c r="B6" s="289" t="n">
        <f aca="false">'Funding &amp; Liquidity'!B35</f>
        <v>1.09847090318191</v>
      </c>
      <c r="C6" s="289" t="n">
        <f aca="false">'Funding &amp; Liquidity'!C35</f>
        <v>1.07785194045871</v>
      </c>
      <c r="D6" s="289" t="n">
        <f aca="false">'Funding &amp; Liquidity'!D35</f>
        <v>1.09144938707704</v>
      </c>
      <c r="E6" s="289" t="n">
        <f aca="false">'Funding &amp; Liquidity'!E35</f>
        <v>1.11906457965729</v>
      </c>
      <c r="F6" s="289" t="n">
        <f aca="false">'Funding &amp; Liquidity'!F35</f>
        <v>1.16149116948356</v>
      </c>
    </row>
    <row r="7" customFormat="false" ht="15" hidden="false" customHeight="true" outlineLevel="0" collapsed="false">
      <c r="A7" s="283" t="s">
        <v>597</v>
      </c>
      <c r="B7" s="289" t="n">
        <f aca="false">IFERROR('Balance Sheet'!B5/'Balance Sheet'!B11,0)</f>
        <v>0.115722452999771</v>
      </c>
      <c r="C7" s="289" t="n">
        <f aca="false">IFERROR('Balance Sheet'!C5/'Balance Sheet'!C11,0)</f>
        <v>0.0209497202797179</v>
      </c>
      <c r="D7" s="289" t="n">
        <f aca="false">IFERROR('Balance Sheet'!D5/'Balance Sheet'!D11,0)</f>
        <v>0.0153853085546475</v>
      </c>
      <c r="E7" s="289" t="n">
        <f aca="false">IFERROR('Balance Sheet'!E5/'Balance Sheet'!E11,0)</f>
        <v>0.0389776358892402</v>
      </c>
      <c r="F7" s="289" t="n">
        <f aca="false">IFERROR('Balance Sheet'!F5/'Balance Sheet'!F11,0)</f>
        <v>0.0734638358086545</v>
      </c>
    </row>
    <row r="8" customFormat="false" ht="15" hidden="false" customHeight="true" outlineLevel="0" collapsed="false">
      <c r="A8" s="283" t="s">
        <v>598</v>
      </c>
      <c r="B8" s="303" t="n">
        <f aca="false">IFERROR('Balance Sheet'!B5/(('Income Statement'!B15+'Income Statement'!B17+'Income Statement'!B18)/12),0)</f>
        <v>2.47900984086522</v>
      </c>
      <c r="C8" s="303" t="n">
        <f aca="false">IFERROR('Balance Sheet'!C5/(('Income Statement'!C15+'Income Statement'!C17+'Income Statement'!C18)/12),0)</f>
        <v>1.89193828276392</v>
      </c>
      <c r="D8" s="303" t="n">
        <f aca="false">IFERROR('Balance Sheet'!D5/(('Income Statement'!D15+'Income Statement'!D17+'Income Statement'!D18)/12),0)</f>
        <v>1.19199899058746</v>
      </c>
      <c r="E8" s="303" t="n">
        <f aca="false">IFERROR('Balance Sheet'!E5/(('Income Statement'!E15+'Income Statement'!E17+'Income Statement'!E18)/12),0)</f>
        <v>3.67869209854106</v>
      </c>
      <c r="F8" s="303" t="n">
        <f aca="false">IFERROR('Balance Sheet'!F5/(('Income Statement'!F15+'Income Statement'!F17+'Income Statement'!F18)/12),0)</f>
        <v>7.7369112619112</v>
      </c>
    </row>
    <row r="9" customFormat="false" ht="21.75" hidden="false" customHeight="true" outlineLevel="0" collapsed="false">
      <c r="A9" s="286"/>
      <c r="B9" s="286"/>
      <c r="C9" s="286"/>
      <c r="D9" s="286"/>
      <c r="E9" s="286"/>
      <c r="F9" s="286"/>
    </row>
    <row r="10" customFormat="false" ht="15" hidden="false" customHeight="true" outlineLevel="0" collapsed="false">
      <c r="A10" s="288" t="s">
        <v>599</v>
      </c>
      <c r="B10" s="288"/>
      <c r="C10" s="288"/>
      <c r="D10" s="288"/>
      <c r="E10" s="288"/>
      <c r="F10" s="288"/>
    </row>
    <row r="11" customFormat="false" ht="15" hidden="false" customHeight="true" outlineLevel="0" collapsed="false">
      <c r="A11" s="283" t="s">
        <v>600</v>
      </c>
      <c r="B11" s="289" t="n">
        <f aca="false">IFERROR('Income Statement'!B23/AVERAGE(15000000,'Balance Sheet'!B11),0)</f>
        <v>-0.381334303989544</v>
      </c>
      <c r="C11" s="289" t="n">
        <f aca="false">IFERROR('Income Statement'!C23/AVERAGE('Balance Sheet'!B11,'Balance Sheet'!C11),0)</f>
        <v>0.0384430164302428</v>
      </c>
      <c r="D11" s="289" t="n">
        <f aca="false">IFERROR('Income Statement'!D23/AVERAGE('Balance Sheet'!C11,'Balance Sheet'!D11),0)</f>
        <v>0.116961080739065</v>
      </c>
      <c r="E11" s="289" t="n">
        <f aca="false">IFERROR('Income Statement'!E23/AVERAGE('Balance Sheet'!D11,'Balance Sheet'!E11),0)</f>
        <v>0.125585780145312</v>
      </c>
      <c r="F11" s="289" t="n">
        <f aca="false">IFERROR('Income Statement'!F23/AVERAGE('Balance Sheet'!E11,'Balance Sheet'!F11),0)</f>
        <v>0.116701817627767</v>
      </c>
    </row>
    <row r="12" customFormat="false" ht="15" hidden="false" customHeight="true" outlineLevel="0" collapsed="false">
      <c r="A12" s="283" t="s">
        <v>601</v>
      </c>
      <c r="B12" s="289" t="n">
        <f aca="false">IFERROR('Income Statement'!B23/AVERAGE(15000000,'Balance Sheet'!B22),0)</f>
        <v>-0.44345245336525</v>
      </c>
      <c r="C12" s="289" t="n">
        <f aca="false">IFERROR('Income Statement'!C23/AVERAGE('Balance Sheet'!B22,'Balance Sheet'!C22),0)</f>
        <v>0.189003838418925</v>
      </c>
      <c r="D12" s="289" t="n">
        <f aca="false">IFERROR('Income Statement'!D23/AVERAGE('Balance Sheet'!C22,'Balance Sheet'!D22),0)</f>
        <v>0.670537319461373</v>
      </c>
      <c r="E12" s="289" t="n">
        <f aca="false">IFERROR('Income Statement'!E23/AVERAGE('Balance Sheet'!D22,'Balance Sheet'!E22),0)</f>
        <v>0.687006068336759</v>
      </c>
      <c r="F12" s="289" t="n">
        <f aca="false">IFERROR('Income Statement'!F23/AVERAGE('Balance Sheet'!E22,'Balance Sheet'!F22),0)</f>
        <v>0.63313527026342</v>
      </c>
    </row>
    <row r="13" customFormat="false" ht="15" hidden="false" customHeight="true" outlineLevel="0" collapsed="false">
      <c r="A13" s="283" t="s">
        <v>602</v>
      </c>
      <c r="B13" s="289" t="n">
        <f aca="false">IFERROR('Income Statement'!B27/AVERAGE('Balance Sheet'!B22+'Balance Sheet'!B14-'Balance Sheet'!B5,1),0)</f>
        <v>-0.877581950408366</v>
      </c>
      <c r="C13" s="289" t="n">
        <f aca="false">IFERROR('Income Statement'!C27/AVERAGE('Balance Sheet'!C22+'Balance Sheet'!C14-'Balance Sheet'!C5,1),0)</f>
        <v>0.214435700909268</v>
      </c>
      <c r="D13" s="289" t="n">
        <f aca="false">IFERROR('Income Statement'!D27/AVERAGE('Balance Sheet'!D22+'Balance Sheet'!D14-'Balance Sheet'!D5,1),0)</f>
        <v>0.489571759008736</v>
      </c>
      <c r="E13" s="289" t="n">
        <f aca="false">IFERROR('Income Statement'!E27/AVERAGE('Balance Sheet'!E22+'Balance Sheet'!E14-'Balance Sheet'!E5,1),0)</f>
        <v>0.484461597308098</v>
      </c>
      <c r="F13" s="289" t="n">
        <f aca="false">IFERROR('Income Statement'!F27/AVERAGE('Balance Sheet'!F22+'Balance Sheet'!F14-'Balance Sheet'!F5,1),0)</f>
        <v>0.472164943877162</v>
      </c>
    </row>
    <row r="14" customFormat="false" ht="15" hidden="false" customHeight="true" outlineLevel="0" collapsed="false">
      <c r="A14" s="283" t="s">
        <v>487</v>
      </c>
      <c r="B14" s="289" t="n">
        <f aca="false">'Income Statement'!B28</f>
        <v>-1.65779413655141</v>
      </c>
      <c r="C14" s="289" t="n">
        <f aca="false">'Income Statement'!C28</f>
        <v>0.111760483559781</v>
      </c>
      <c r="D14" s="289" t="n">
        <f aca="false">'Income Statement'!D28</f>
        <v>0.319964402718377</v>
      </c>
      <c r="E14" s="289" t="n">
        <f aca="false">'Income Statement'!E28</f>
        <v>0.367039036543141</v>
      </c>
      <c r="F14" s="289" t="n">
        <f aca="false">'Income Statement'!F28</f>
        <v>0.374813937124686</v>
      </c>
    </row>
    <row r="15" customFormat="false" ht="21.75" hidden="false" customHeight="true" outlineLevel="0" collapsed="false">
      <c r="A15" s="283" t="s">
        <v>603</v>
      </c>
      <c r="B15" s="298" t="n">
        <f aca="false">IFERROR(('Income Statement'!B21+'Income Statement'!B15)/'Income Statement'!B15,0)</f>
        <v>0</v>
      </c>
      <c r="C15" s="298" t="n">
        <f aca="false">IFERROR(('Income Statement'!C21+'Income Statement'!C15)/'Income Statement'!C15,0)</f>
        <v>1.25695473413891</v>
      </c>
      <c r="D15" s="298" t="n">
        <f aca="false">IFERROR(('Income Statement'!D21+'Income Statement'!D15)/'Income Statement'!D15,0)</f>
        <v>1.96315446998857</v>
      </c>
      <c r="E15" s="298" t="n">
        <f aca="false">IFERROR(('Income Statement'!E21+'Income Statement'!E15)/'Income Statement'!E15,0)</f>
        <v>2.16709940693795</v>
      </c>
      <c r="F15" s="298" t="n">
        <f aca="false">IFERROR(('Income Statement'!F21+'Income Statement'!F15)/'Income Statement'!F15,0)</f>
        <v>2.14922591630203</v>
      </c>
    </row>
    <row r="16" customFormat="false" ht="15" hidden="false" customHeight="true" outlineLevel="0" collapsed="false">
      <c r="A16" s="286"/>
      <c r="B16" s="286"/>
      <c r="C16" s="286"/>
      <c r="D16" s="286"/>
      <c r="E16" s="286"/>
      <c r="F16" s="286"/>
    </row>
    <row r="17" customFormat="false" ht="15" hidden="false" customHeight="true" outlineLevel="0" collapsed="false">
      <c r="A17" s="288" t="s">
        <v>604</v>
      </c>
      <c r="B17" s="288"/>
      <c r="C17" s="288"/>
      <c r="D17" s="288"/>
      <c r="E17" s="288"/>
      <c r="F17" s="288"/>
    </row>
    <row r="18" customFormat="false" ht="15" hidden="false" customHeight="true" outlineLevel="0" collapsed="false">
      <c r="A18" s="283" t="s">
        <v>605</v>
      </c>
      <c r="B18" s="298" t="n">
        <f aca="false">'Regulatory Capital Plan'!B13</f>
        <v>0</v>
      </c>
      <c r="C18" s="298" t="n">
        <f aca="false">'Regulatory Capital Plan'!C13</f>
        <v>5.05426192003465</v>
      </c>
      <c r="D18" s="298" t="n">
        <f aca="false">'Regulatory Capital Plan'!D13</f>
        <v>4.56798051102073</v>
      </c>
      <c r="E18" s="298" t="n">
        <f aca="false">'Regulatory Capital Plan'!E13</f>
        <v>4.30787332942035</v>
      </c>
      <c r="F18" s="298" t="n">
        <f aca="false">'Regulatory Capital Plan'!F13</f>
        <v>4.33580712139099</v>
      </c>
    </row>
    <row r="19" customFormat="false" ht="15" hidden="false" customHeight="true" outlineLevel="0" collapsed="false">
      <c r="A19" s="283" t="s">
        <v>606</v>
      </c>
      <c r="B19" s="298" t="n">
        <f aca="false">'Regulatory Capital Plan'!B14</f>
        <v>4</v>
      </c>
      <c r="C19" s="298" t="n">
        <f aca="false">'Regulatory Capital Plan'!C14</f>
        <v>4</v>
      </c>
      <c r="D19" s="298" t="n">
        <f aca="false">'Regulatory Capital Plan'!D14</f>
        <v>9</v>
      </c>
      <c r="E19" s="298" t="n">
        <f aca="false">'Regulatory Capital Plan'!E14</f>
        <v>9</v>
      </c>
      <c r="F19" s="298" t="n">
        <f aca="false">'Regulatory Capital Plan'!F14</f>
        <v>9</v>
      </c>
    </row>
    <row r="20" customFormat="false" ht="15" hidden="false" customHeight="true" outlineLevel="0" collapsed="false">
      <c r="A20" s="283" t="s">
        <v>607</v>
      </c>
      <c r="B20" s="289" t="n">
        <f aca="false">IFERROR('Balance Sheet'!B22/'Balance Sheet'!B11,0)</f>
        <v>0.784429556991414</v>
      </c>
      <c r="C20" s="289" t="n">
        <f aca="false">IFERROR('Balance Sheet'!C22/'Balance Sheet'!C11,0)</f>
        <v>0.167744640021848</v>
      </c>
      <c r="D20" s="289" t="n">
        <f aca="false">IFERROR('Balance Sheet'!D22/'Balance Sheet'!D11,0)</f>
        <v>0.177959110807575</v>
      </c>
      <c r="E20" s="289" t="n">
        <f aca="false">IFERROR('Balance Sheet'!E22/'Balance Sheet'!E11,0)</f>
        <v>0.185264942340431</v>
      </c>
      <c r="F20" s="289" t="n">
        <f aca="false">IFERROR('Balance Sheet'!F22/'Balance Sheet'!F11,0)</f>
        <v>0.183838817678523</v>
      </c>
    </row>
    <row r="21" customFormat="false" ht="33.75" hidden="false" customHeight="true" outlineLevel="0" collapsed="false">
      <c r="A21" s="283" t="s">
        <v>608</v>
      </c>
      <c r="B21" s="298" t="n">
        <f aca="false">IFERROR('Balance Sheet'!B14/'Balance Sheet'!B22,0)</f>
        <v>0</v>
      </c>
      <c r="C21" s="298" t="n">
        <f aca="false">IFERROR('Balance Sheet'!C14/'Balance Sheet'!C22,0)</f>
        <v>4.86287064177048</v>
      </c>
      <c r="D21" s="298" t="n">
        <f aca="false">IFERROR('Balance Sheet'!D14/'Balance Sheet'!D22,0)</f>
        <v>4.48186802233971</v>
      </c>
      <c r="E21" s="298" t="n">
        <f aca="false">IFERROR('Balance Sheet'!E14/'Balance Sheet'!E22,0)</f>
        <v>4.26819084132861</v>
      </c>
      <c r="F21" s="298" t="n">
        <f aca="false">IFERROR('Balance Sheet'!F14/'Balance Sheet'!F22,0)</f>
        <v>4.31507430549989</v>
      </c>
    </row>
    <row r="22" customFormat="false" ht="15" hidden="false" customHeight="true" outlineLevel="0" collapsed="false">
      <c r="A22" s="283" t="s">
        <v>609</v>
      </c>
      <c r="B22" s="289" t="n">
        <f aca="false">'Regulatory Capital Plan'!B31</f>
        <v>0.398280956375838</v>
      </c>
      <c r="C22" s="289" t="n">
        <f aca="false">'Regulatory Capital Plan'!C31</f>
        <v>0.144327394961383</v>
      </c>
      <c r="D22" s="289" t="n">
        <f aca="false">'Regulatory Capital Plan'!D31</f>
        <v>0.159763521005685</v>
      </c>
      <c r="E22" s="289" t="n">
        <f aca="false">'Regulatory Capital Plan'!E31</f>
        <v>0.172007504825977</v>
      </c>
      <c r="F22" s="289" t="n">
        <f aca="false">'Regulatory Capital Plan'!F31</f>
        <v>0.177928765545992</v>
      </c>
    </row>
    <row r="23" customFormat="false" ht="15" hidden="false" customHeight="true" outlineLevel="0" collapsed="false">
      <c r="A23" s="283" t="s">
        <v>610</v>
      </c>
      <c r="B23" s="289" t="n">
        <f aca="false">B22-'Regulatory Capital Plan'!B32</f>
        <v>0.278280956375838</v>
      </c>
      <c r="C23" s="289" t="n">
        <f aca="false">C22-'Regulatory Capital Plan'!C32</f>
        <v>0.024327394961383</v>
      </c>
      <c r="D23" s="289" t="n">
        <f aca="false">D22-'Regulatory Capital Plan'!D32</f>
        <v>0.0397635210056848</v>
      </c>
      <c r="E23" s="289" t="n">
        <f aca="false">E22-'Regulatory Capital Plan'!E32</f>
        <v>0.0520075048259771</v>
      </c>
      <c r="F23" s="289" t="n">
        <f aca="false">F22-'Regulatory Capital Plan'!F32</f>
        <v>0.0579287655459919</v>
      </c>
    </row>
    <row r="24" customFormat="false" ht="33.75" hidden="false" customHeight="true" outlineLevel="0" collapsed="false">
      <c r="A24" s="286"/>
      <c r="B24" s="286"/>
      <c r="C24" s="286"/>
      <c r="D24" s="286"/>
      <c r="E24" s="286"/>
      <c r="F24" s="286"/>
    </row>
    <row r="25" customFormat="false" ht="33.75" hidden="false" customHeight="true" outlineLevel="0" collapsed="false">
      <c r="A25" s="288" t="s">
        <v>611</v>
      </c>
      <c r="B25" s="288"/>
      <c r="C25" s="288"/>
      <c r="D25" s="288"/>
      <c r="E25" s="288"/>
      <c r="F25" s="288"/>
    </row>
    <row r="26" customFormat="false" ht="33.75" hidden="false" customHeight="true" outlineLevel="0" collapsed="false">
      <c r="A26" s="283" t="s">
        <v>612</v>
      </c>
      <c r="B26" s="289" t="n">
        <f aca="false">IFERROR('Balance Sheet'!B7/'Balance Sheet'!B6,0)</f>
        <v>0.03</v>
      </c>
      <c r="C26" s="289" t="n">
        <f aca="false">IFERROR('Balance Sheet'!C7/'Balance Sheet'!C6,0)</f>
        <v>0.03</v>
      </c>
      <c r="D26" s="289" t="n">
        <f aca="false">IFERROR('Balance Sheet'!D7/'Balance Sheet'!D6,0)</f>
        <v>0.03</v>
      </c>
      <c r="E26" s="289" t="n">
        <f aca="false">IFERROR('Balance Sheet'!E7/'Balance Sheet'!E6,0)</f>
        <v>0.03</v>
      </c>
      <c r="F26" s="289" t="n">
        <f aca="false">IFERROR('Balance Sheet'!F7/'Balance Sheet'!F6,0)</f>
        <v>0.03</v>
      </c>
    </row>
    <row r="27" customFormat="false" ht="33.75" hidden="false" customHeight="true" outlineLevel="0" collapsed="false">
      <c r="A27" s="283" t="s">
        <v>613</v>
      </c>
      <c r="B27" s="284" t="n">
        <f aca="false">'Regulatory Capital Plan'!B36</f>
        <v>5775578.77119</v>
      </c>
      <c r="C27" s="284" t="n">
        <f aca="false">'Regulatory Capital Plan'!C36</f>
        <v>21961663.593255</v>
      </c>
      <c r="D27" s="284" t="n">
        <f aca="false">'Regulatory Capital Plan'!D36</f>
        <v>44987057.082273</v>
      </c>
      <c r="E27" s="284" t="n">
        <f aca="false">'Regulatory Capital Plan'!E36</f>
        <v>92969307.4456974</v>
      </c>
      <c r="F27" s="284" t="n">
        <f aca="false">'Regulatory Capital Plan'!F36</f>
        <v>179897301.27796</v>
      </c>
    </row>
    <row r="28" customFormat="false" ht="33.75" hidden="false" customHeight="true" outlineLevel="0" collapsed="false">
      <c r="A28" s="283" t="s">
        <v>614</v>
      </c>
      <c r="B28" s="284" t="n">
        <f aca="false">'Regulatory Capital Plan'!B37</f>
        <v>4812982.309325</v>
      </c>
      <c r="C28" s="284" t="n">
        <f aca="false">'Regulatory Capital Plan'!C37</f>
        <v>18301386.3277125</v>
      </c>
      <c r="D28" s="284" t="n">
        <f aca="false">'Regulatory Capital Plan'!D37</f>
        <v>37489214.2352275</v>
      </c>
      <c r="E28" s="284" t="n">
        <f aca="false">'Regulatory Capital Plan'!E37</f>
        <v>77474422.8714145</v>
      </c>
      <c r="F28" s="284" t="n">
        <f aca="false">'Regulatory Capital Plan'!F37</f>
        <v>149914417.731633</v>
      </c>
    </row>
    <row r="29" customFormat="false" ht="33.75" hidden="false" customHeight="true" outlineLevel="0" collapsed="false">
      <c r="A29" s="283" t="s">
        <v>615</v>
      </c>
      <c r="B29" s="283" t="str">
        <f aca="false">'Regulatory Capital Plan'!B39</f>
        <v>بيانات معلقة - سجل تركز العملاء/الأطراف المرتبطة مطلوب</v>
      </c>
      <c r="C29" s="283" t="str">
        <f aca="false">'Regulatory Capital Plan'!C39</f>
        <v>بيانات معلقة - سجل تركز العملاء/الأطراف المرتبطة مطلوب</v>
      </c>
      <c r="D29" s="283" t="str">
        <f aca="false">'Regulatory Capital Plan'!D39</f>
        <v>بيانات معلقة - سجل تركز العملاء/الأطراف المرتبطة مطلوب</v>
      </c>
      <c r="E29" s="283" t="str">
        <f aca="false">'Regulatory Capital Plan'!E39</f>
        <v>بيانات معلقة - سجل تركز العملاء/الأطراف المرتبطة مطلوب</v>
      </c>
      <c r="F29" s="283" t="str">
        <f aca="false">'Regulatory Capital Plan'!F39</f>
        <v>بيانات معلقة - سجل تركز العملاء/الأطراف المرتبطة مطلوب</v>
      </c>
    </row>
    <row r="30" customFormat="false" ht="33.75" hidden="false" customHeight="true" outlineLevel="0" collapsed="false"/>
    <row r="31" customFormat="false" ht="27.75" hidden="false" customHeight="true" outlineLevel="0" collapsed="false"/>
    <row r="32" customFormat="false" ht="27.75" hidden="false" customHeight="true" outlineLevel="0" collapsed="false"/>
    <row r="33" customFormat="false" ht="43.5" hidden="false" customHeight="true" outlineLevel="0" collapsed="false"/>
  </sheetData>
  <mergeCells count="5">
    <mergeCell ref="A1:F1"/>
    <mergeCell ref="A4:F4"/>
    <mergeCell ref="A10:F10"/>
    <mergeCell ref="A17:F17"/>
    <mergeCell ref="A25:F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0" t="s">
        <v>616</v>
      </c>
      <c r="B1" s="280"/>
      <c r="C1" s="280"/>
      <c r="D1" s="280"/>
      <c r="E1" s="280"/>
      <c r="F1" s="280"/>
    </row>
    <row r="2" customFormat="false" ht="15" hidden="false" customHeight="true" outlineLevel="0" collapsed="false"/>
    <row r="3" customFormat="false" ht="15" hidden="false" customHeight="true" outlineLevel="0" collapsed="false">
      <c r="A3" s="304" t="s">
        <v>617</v>
      </c>
      <c r="B3" s="304" t="s">
        <v>618</v>
      </c>
      <c r="C3" s="304" t="s">
        <v>619</v>
      </c>
      <c r="D3" s="304" t="s">
        <v>620</v>
      </c>
      <c r="E3" s="286"/>
      <c r="F3" s="286"/>
    </row>
    <row r="4" customFormat="false" ht="15" hidden="false" customHeight="true" outlineLevel="0" collapsed="false">
      <c r="A4" s="286" t="s">
        <v>621</v>
      </c>
      <c r="B4" s="305" t="n">
        <v>1.15</v>
      </c>
      <c r="C4" s="305" t="n">
        <v>1</v>
      </c>
      <c r="D4" s="305" t="n">
        <v>0.8</v>
      </c>
      <c r="E4" s="286"/>
      <c r="F4" s="286"/>
    </row>
    <row r="5" customFormat="false" ht="15" hidden="false" customHeight="true" outlineLevel="0" collapsed="false">
      <c r="A5" s="286" t="s">
        <v>622</v>
      </c>
      <c r="B5" s="305" t="n">
        <v>0.02</v>
      </c>
      <c r="C5" s="305" t="n">
        <v>0</v>
      </c>
      <c r="D5" s="305" t="n">
        <v>-0.03</v>
      </c>
      <c r="E5" s="286"/>
      <c r="F5" s="286"/>
    </row>
    <row r="6" customFormat="false" ht="15" hidden="false" customHeight="true" outlineLevel="0" collapsed="false">
      <c r="A6" s="286" t="s">
        <v>623</v>
      </c>
      <c r="B6" s="305" t="n">
        <v>-0.02</v>
      </c>
      <c r="C6" s="305" t="n">
        <v>0</v>
      </c>
      <c r="D6" s="305" t="n">
        <v>0.03</v>
      </c>
      <c r="E6" s="286"/>
      <c r="F6" s="286"/>
    </row>
    <row r="7" customFormat="false" ht="15" hidden="false" customHeight="true" outlineLevel="0" collapsed="false">
      <c r="A7" s="286" t="s">
        <v>624</v>
      </c>
      <c r="B7" s="305" t="n">
        <v>0.75</v>
      </c>
      <c r="C7" s="305" t="n">
        <v>1</v>
      </c>
      <c r="D7" s="305" t="n">
        <v>1.5</v>
      </c>
      <c r="E7" s="286"/>
      <c r="F7" s="286"/>
    </row>
    <row r="8" customFormat="false" ht="15" hidden="false" customHeight="true" outlineLevel="0" collapsed="false">
      <c r="A8" s="286" t="s">
        <v>625</v>
      </c>
      <c r="B8" s="305" t="n">
        <v>0.95</v>
      </c>
      <c r="C8" s="305" t="n">
        <v>1</v>
      </c>
      <c r="D8" s="305" t="n">
        <v>1.1</v>
      </c>
      <c r="E8" s="286"/>
      <c r="F8" s="286"/>
    </row>
    <row r="9" customFormat="false" ht="15" hidden="false" customHeight="true" outlineLevel="0" collapsed="false">
      <c r="A9" s="286"/>
      <c r="B9" s="286"/>
      <c r="C9" s="286"/>
      <c r="D9" s="286"/>
      <c r="E9" s="286"/>
      <c r="F9" s="286"/>
    </row>
    <row r="10" customFormat="false" ht="15" hidden="false" customHeight="true" outlineLevel="0" collapsed="false">
      <c r="A10" s="288" t="s">
        <v>626</v>
      </c>
      <c r="B10" s="288"/>
      <c r="C10" s="288"/>
      <c r="D10" s="288"/>
      <c r="E10" s="288"/>
      <c r="F10" s="288"/>
    </row>
    <row r="11" customFormat="false" ht="21.75" hidden="false" customHeight="true" outlineLevel="0" collapsed="false">
      <c r="A11" s="304" t="s">
        <v>627</v>
      </c>
      <c r="B11" s="304" t="s">
        <v>84</v>
      </c>
      <c r="C11" s="304" t="s">
        <v>85</v>
      </c>
      <c r="D11" s="304" t="s">
        <v>86</v>
      </c>
      <c r="E11" s="304" t="s">
        <v>87</v>
      </c>
      <c r="F11" s="304" t="s">
        <v>88</v>
      </c>
    </row>
    <row r="12" customFormat="false" ht="15" hidden="false" customHeight="true" outlineLevel="0" collapsed="false">
      <c r="A12" s="286" t="s">
        <v>618</v>
      </c>
      <c r="B12" s="287" t="n">
        <f aca="false">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-5786178.67190735</v>
      </c>
      <c r="C12" s="287" t="n">
        <f aca="false">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22999765.7371647</v>
      </c>
      <c r="D12" s="287" t="n">
        <f aca="false">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120659881.795477</v>
      </c>
      <c r="E12" s="287" t="n">
        <f aca="false">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240616815.912005</v>
      </c>
      <c r="F12" s="287" t="n">
        <f aca="false">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435088675.907084</v>
      </c>
    </row>
    <row r="13" customFormat="false" ht="15" hidden="false" customHeight="true" outlineLevel="0" collapsed="false">
      <c r="A13" s="286" t="s">
        <v>619</v>
      </c>
      <c r="B13" s="287" t="n">
        <f aca="false">'Income Statement'!B23</f>
        <v>-8166870.7627</v>
      </c>
      <c r="C13" s="287" t="n">
        <f aca="false">'Income Statement'!C23</f>
        <v>9253616.07354998</v>
      </c>
      <c r="D13" s="287" t="n">
        <f aca="false">'Income Statement'!D23</f>
        <v>76751311.63006</v>
      </c>
      <c r="E13" s="287" t="n">
        <f aca="false">'Income Statement'!E23</f>
        <v>159940834.544748</v>
      </c>
      <c r="F13" s="287" t="n">
        <f aca="false">'Income Statement'!F23</f>
        <v>289759979.440876</v>
      </c>
    </row>
    <row r="14" customFormat="false" ht="15" hidden="false" customHeight="true" outlineLevel="0" collapsed="false">
      <c r="A14" s="286" t="s">
        <v>620</v>
      </c>
      <c r="B14" s="287" t="n">
        <f aca="false">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-11894809.6285206</v>
      </c>
      <c r="C14" s="287" t="n">
        <f aca="false">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-19213189.03645</v>
      </c>
      <c r="D14" s="287" t="n">
        <f aca="false">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19204316.878474</v>
      </c>
      <c r="E14" s="287" t="n">
        <f aca="false">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54799585.605954</v>
      </c>
      <c r="F14" s="287" t="n">
        <f aca="false">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101425505.654794</v>
      </c>
    </row>
    <row r="15" customFormat="false" ht="15" hidden="false" customHeight="true" outlineLevel="0" collapsed="false">
      <c r="A15" s="286"/>
      <c r="B15" s="287"/>
      <c r="C15" s="287"/>
      <c r="D15" s="287"/>
      <c r="E15" s="287"/>
      <c r="F15" s="287"/>
    </row>
    <row r="16" customFormat="false" ht="15" hidden="false" customHeight="true" outlineLevel="0" collapsed="false">
      <c r="A16" s="288" t="s">
        <v>628</v>
      </c>
      <c r="B16" s="288"/>
      <c r="C16" s="288"/>
      <c r="D16" s="288"/>
      <c r="E16" s="288"/>
      <c r="F16" s="288"/>
    </row>
    <row r="17" customFormat="false" ht="21.75" hidden="false" customHeight="true" outlineLevel="0" collapsed="false">
      <c r="A17" s="286" t="s">
        <v>629</v>
      </c>
      <c r="B17" s="287" t="s">
        <v>618</v>
      </c>
      <c r="C17" s="287" t="s">
        <v>619</v>
      </c>
      <c r="D17" s="287" t="s">
        <v>620</v>
      </c>
      <c r="E17" s="287"/>
      <c r="F17" s="287"/>
    </row>
    <row r="18" customFormat="false" ht="15" hidden="false" customHeight="true" outlineLevel="0" collapsed="false">
      <c r="A18" s="286" t="s">
        <v>630</v>
      </c>
      <c r="B18" s="287" t="n">
        <f aca="false">SUM(B12:F12)</f>
        <v>813578960.679823</v>
      </c>
      <c r="C18" s="287" t="n">
        <f aca="false">SUM(B13:F13)</f>
        <v>527538870.926534</v>
      </c>
      <c r="D18" s="287" t="n">
        <f aca="false">SUM(B14:F14)</f>
        <v>144321409.474251</v>
      </c>
      <c r="E18" s="287"/>
      <c r="F18" s="287"/>
    </row>
    <row r="19" customFormat="false" ht="15" hidden="false" customHeight="true" outlineLevel="0" collapsed="false">
      <c r="A19" s="286" t="s">
        <v>631</v>
      </c>
      <c r="B19" s="287" t="n">
        <f aca="false">F12</f>
        <v>435088675.907084</v>
      </c>
      <c r="C19" s="287" t="n">
        <f aca="false">F13</f>
        <v>289759979.440876</v>
      </c>
      <c r="D19" s="287" t="n">
        <f aca="false">F14</f>
        <v>101425505.654794</v>
      </c>
      <c r="E19" s="287"/>
      <c r="F19" s="287"/>
    </row>
    <row r="20" customFormat="false" ht="15" hidden="false" customHeight="true" outlineLevel="0" collapsed="false">
      <c r="A20" s="286" t="s">
        <v>632</v>
      </c>
      <c r="B20" s="286" t="str">
        <f aca="false">IF(B18&gt;0,"موجب - يلزم إعادة اختبار التمويل والسيولة وCAR","سالب - يلزم إعادة اختبار التمويل والسيولة وCAR")</f>
        <v>موجب - يلزم إعادة اختبار التمويل والسيولة وCAR</v>
      </c>
      <c r="C20" s="286" t="str">
        <f aca="false">IF(C18&gt;0,"موجب - يلزم إعادة اختبار التمويل والسيولة وCAR","سالب - يلزم إعادة اختبار التمويل والسيولة وCAR")</f>
        <v>موجب - يلزم إعادة اختبار التمويل والسيولة وCAR</v>
      </c>
      <c r="D20" s="286" t="str">
        <f aca="false">IF(D18&gt;0,"موجب - يلزم إعادة اختبار التمويل والسيولة وCAR","سالب - يلزم إعادة اختبار التمويل والسيولة وCAR")</f>
        <v>موجب - يلزم إعادة اختبار التمويل والسيولة وCAR</v>
      </c>
      <c r="E20" s="286"/>
      <c r="F20" s="286"/>
    </row>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21.7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sheetData>
  <mergeCells count="3">
    <mergeCell ref="A1:F1"/>
    <mergeCell ref="A10:F10"/>
    <mergeCell ref="A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0" t="s">
        <v>633</v>
      </c>
      <c r="B1" s="280"/>
      <c r="C1" s="280"/>
      <c r="D1" s="280"/>
      <c r="E1" s="280"/>
      <c r="F1" s="280"/>
      <c r="G1" s="280"/>
    </row>
    <row r="2" customFormat="false" ht="15" hidden="false" customHeight="true" outlineLevel="0" collapsed="false"/>
    <row r="3" customFormat="false" ht="15" hidden="false" customHeight="true" outlineLevel="0" collapsed="false">
      <c r="A3" s="306" t="s">
        <v>634</v>
      </c>
      <c r="B3" s="306" t="s">
        <v>635</v>
      </c>
      <c r="C3" s="306" t="s">
        <v>636</v>
      </c>
      <c r="D3" s="306" t="s">
        <v>637</v>
      </c>
      <c r="E3" s="306" t="s">
        <v>638</v>
      </c>
      <c r="F3" s="306" t="s">
        <v>639</v>
      </c>
    </row>
    <row r="4" customFormat="false" ht="15" hidden="false" customHeight="true" outlineLevel="0" collapsed="false">
      <c r="A4" s="305" t="n">
        <v>-0.04</v>
      </c>
      <c r="B4" s="287" t="n">
        <f aca="false">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107401120.93479</v>
      </c>
      <c r="C4" s="287" t="n">
        <f aca="false">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161435583.87686</v>
      </c>
      <c r="D4" s="287" t="n">
        <f aca="false">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215470046.81893</v>
      </c>
      <c r="E4" s="287" t="n">
        <f aca="false">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269504509.761</v>
      </c>
      <c r="F4" s="287" t="n">
        <f aca="false">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323538972.70307</v>
      </c>
    </row>
    <row r="5" customFormat="false" ht="15" hidden="false" customHeight="true" outlineLevel="0" collapsed="false">
      <c r="A5" s="305" t="n">
        <v>-0.02</v>
      </c>
      <c r="B5" s="287" t="n">
        <f aca="false">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137117093.983568</v>
      </c>
      <c r="C5" s="287" t="n">
        <f aca="false">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194866053.556736</v>
      </c>
      <c r="D5" s="287" t="n">
        <f aca="false">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252615013.129903</v>
      </c>
      <c r="E5" s="287" t="n">
        <f aca="false">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310363972.70307</v>
      </c>
      <c r="F5" s="287" t="n">
        <f aca="false">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368112932.276238</v>
      </c>
    </row>
    <row r="6" customFormat="false" ht="15" hidden="false" customHeight="true" outlineLevel="0" collapsed="false">
      <c r="A6" s="305" t="n">
        <v>0</v>
      </c>
      <c r="B6" s="287" t="n">
        <f aca="false">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166833067.032347</v>
      </c>
      <c r="C6" s="287" t="n">
        <f aca="false">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228296523.236611</v>
      </c>
      <c r="D6" s="287" t="n">
        <f aca="false">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289759979.440876</v>
      </c>
      <c r="E6" s="287" t="n">
        <f aca="false">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351223435.64514</v>
      </c>
      <c r="F6" s="287" t="n">
        <f aca="false">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412686891.849405</v>
      </c>
    </row>
    <row r="7" customFormat="false" ht="15" hidden="false" customHeight="true" outlineLevel="0" collapsed="false">
      <c r="A7" s="305" t="n">
        <v>0.02</v>
      </c>
      <c r="B7" s="287" t="n">
        <f aca="false">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196549040.081125</v>
      </c>
      <c r="C7" s="287" t="n">
        <f aca="false">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261726992.916487</v>
      </c>
      <c r="D7" s="287" t="n">
        <f aca="false">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326904945.751849</v>
      </c>
      <c r="E7" s="287" t="n">
        <f aca="false">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392082898.587211</v>
      </c>
      <c r="F7" s="287" t="n">
        <f aca="false">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457260851.422572</v>
      </c>
    </row>
    <row r="8" customFormat="false" ht="15" hidden="false" customHeight="true" outlineLevel="0" collapsed="false">
      <c r="A8" s="305" t="n">
        <v>0.04</v>
      </c>
      <c r="B8" s="287" t="n">
        <f aca="false">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226265013.129903</v>
      </c>
      <c r="C8" s="287" t="n">
        <f aca="false">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295157462.596362</v>
      </c>
      <c r="D8" s="287" t="n">
        <f aca="false">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364049912.062821</v>
      </c>
      <c r="E8" s="287" t="n">
        <f aca="false">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432942361.529281</v>
      </c>
      <c r="F8" s="287" t="n">
        <f aca="false">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501834810.99574</v>
      </c>
    </row>
    <row r="9" customFormat="false" ht="15" hidden="false" customHeight="true" outlineLevel="0" collapsed="false"/>
    <row r="10" customFormat="false" ht="43.5" hidden="false" customHeight="true" outlineLevel="0" collapsed="false">
      <c r="A10" s="72" t="s">
        <v>640</v>
      </c>
      <c r="B10" s="72"/>
      <c r="C10" s="72"/>
      <c r="D10" s="72"/>
      <c r="E10" s="72"/>
      <c r="F10" s="72"/>
    </row>
    <row r="11" customFormat="false" ht="15" hidden="false" customHeight="true" outlineLevel="0" collapsed="false"/>
    <row r="12" customFormat="false" ht="15" hidden="false" customHeight="true" outlineLevel="0" collapsed="false"/>
    <row r="13" customFormat="false" ht="15" hidden="false" customHeight="true" outlineLevel="0" collapsed="false"/>
  </sheetData>
  <mergeCells count="2">
    <mergeCell ref="A1:G1"/>
    <mergeCell ref="A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0" t="s">
        <v>641</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21.75" hidden="false" customHeight="true" outlineLevel="0" collapsed="false">
      <c r="A4" s="282" t="s">
        <v>642</v>
      </c>
      <c r="B4" s="282"/>
      <c r="C4" s="282"/>
      <c r="D4" s="282"/>
      <c r="E4" s="282"/>
      <c r="F4" s="282"/>
    </row>
    <row r="5" customFormat="false" ht="15" hidden="false" customHeight="true" outlineLevel="0" collapsed="false">
      <c r="A5" s="283" t="s">
        <v>643</v>
      </c>
      <c r="B5" s="289" t="n">
        <f aca="false">Assumptions!B6</f>
        <v>0.34</v>
      </c>
      <c r="C5" s="289" t="n">
        <f aca="false">Assumptions!C6</f>
        <v>0.32</v>
      </c>
      <c r="D5" s="289" t="n">
        <f aca="false">Assumptions!D6</f>
        <v>0.3</v>
      </c>
      <c r="E5" s="289" t="n">
        <f aca="false">Assumptions!E6</f>
        <v>0.28</v>
      </c>
      <c r="F5" s="289" t="n">
        <f aca="false">Assumptions!F6</f>
        <v>0.26</v>
      </c>
    </row>
    <row r="6" customFormat="false" ht="15" hidden="false" customHeight="true" outlineLevel="0" collapsed="false">
      <c r="A6" s="283" t="s">
        <v>644</v>
      </c>
      <c r="B6" s="289" t="n">
        <f aca="false">Assumptions!B9*IFERROR(AVERAGE(0,'Balance Sheet'!B14)/AVERAGE(0,'Balance Sheet'!B6),0)</f>
        <v>0</v>
      </c>
      <c r="C6" s="289" t="n">
        <f aca="false">Assumptions!C9*IFERROR(AVERAGE('Balance Sheet'!B14,'Balance Sheet'!C14)/AVERAGE('Balance Sheet'!B6,'Balance Sheet'!C6),0)</f>
        <v>0.171993200187809</v>
      </c>
      <c r="D6" s="289" t="n">
        <f aca="false">Assumptions!D9*IFERROR(AVERAGE('Balance Sheet'!C14,'Balance Sheet'!D14)/AVERAGE('Balance Sheet'!C6,'Balance Sheet'!D6),0)</f>
        <v>0.159949840661468</v>
      </c>
      <c r="E6" s="289" t="n">
        <f aca="false">Assumptions!E9*IFERROR(AVERAGE('Balance Sheet'!D14,'Balance Sheet'!E14)/AVERAGE('Balance Sheet'!D6,'Balance Sheet'!E6),0)</f>
        <v>0.143488661453852</v>
      </c>
      <c r="F6" s="289" t="n">
        <f aca="false">Assumptions!F9*IFERROR(AVERAGE('Balance Sheet'!E14,'Balance Sheet'!F14)/AVERAGE('Balance Sheet'!E6,'Balance Sheet'!F6),0)</f>
        <v>0.139571064800468</v>
      </c>
    </row>
    <row r="7" customFormat="false" ht="15" hidden="false" customHeight="true" outlineLevel="0" collapsed="false">
      <c r="A7" s="283" t="s">
        <v>645</v>
      </c>
      <c r="B7" s="289" t="n">
        <f aca="false">IFERROR('Income Statement'!B16/AVERAGE(0,'Balance Sheet'!B6),0)</f>
        <v>0.06</v>
      </c>
      <c r="C7" s="289" t="n">
        <f aca="false">IFERROR('Income Statement'!C16/AVERAGE('Balance Sheet'!B6,'Balance Sheet'!C6),0)</f>
        <v>0.0547584829449219</v>
      </c>
      <c r="D7" s="289" t="n">
        <f aca="false">IFERROR('Income Statement'!D16/AVERAGE('Balance Sheet'!C6,'Balance Sheet'!D6),0)</f>
        <v>0.0188282542157252</v>
      </c>
      <c r="E7" s="289" t="n">
        <f aca="false">IFERROR('Income Statement'!E16/AVERAGE('Balance Sheet'!D6,'Balance Sheet'!E6),0)</f>
        <v>0.0189631268602094</v>
      </c>
      <c r="F7" s="289" t="n">
        <f aca="false">IFERROR('Income Statement'!F16/AVERAGE('Balance Sheet'!E6,'Balance Sheet'!F6),0)</f>
        <v>0.0182523184880404</v>
      </c>
    </row>
    <row r="8" customFormat="false" ht="15" hidden="false" customHeight="true" outlineLevel="0" collapsed="false">
      <c r="A8" s="283" t="s">
        <v>646</v>
      </c>
      <c r="B8" s="289" t="n">
        <f aca="false">0.2%</f>
        <v>0.002</v>
      </c>
      <c r="C8" s="289" t="n">
        <f aca="false">0.2%</f>
        <v>0.002</v>
      </c>
      <c r="D8" s="289" t="n">
        <f aca="false">0.2%</f>
        <v>0.002</v>
      </c>
      <c r="E8" s="289" t="n">
        <f aca="false">0.2%</f>
        <v>0.002</v>
      </c>
      <c r="F8" s="289" t="n">
        <f aca="false">0.2%</f>
        <v>0.002</v>
      </c>
    </row>
    <row r="9" customFormat="false" ht="15" hidden="false" customHeight="true" outlineLevel="0" collapsed="false">
      <c r="A9" s="283" t="s">
        <v>647</v>
      </c>
      <c r="B9" s="289" t="n">
        <f aca="false">B5-B6-B7-B8</f>
        <v>0.278</v>
      </c>
      <c r="C9" s="289" t="n">
        <f aca="false">C5-C6-C7-C8</f>
        <v>0.0912483168672692</v>
      </c>
      <c r="D9" s="289" t="n">
        <f aca="false">D5-D6-D7-D8</f>
        <v>0.119221905122807</v>
      </c>
      <c r="E9" s="289" t="n">
        <f aca="false">E5-E6-E7-E8</f>
        <v>0.115548211685939</v>
      </c>
      <c r="F9" s="289" t="n">
        <f aca="false">F5-F6-F7-F8</f>
        <v>0.100176616711491</v>
      </c>
    </row>
    <row r="10" customFormat="false" ht="15" hidden="false" customHeight="true" outlineLevel="0" collapsed="false">
      <c r="A10" s="286"/>
      <c r="B10" s="286"/>
      <c r="C10" s="286"/>
      <c r="D10" s="286"/>
      <c r="E10" s="286"/>
      <c r="F10" s="286"/>
    </row>
    <row r="11" customFormat="false" ht="21.75" hidden="false" customHeight="true" outlineLevel="0" collapsed="false">
      <c r="A11" s="288" t="s">
        <v>648</v>
      </c>
      <c r="B11" s="288"/>
      <c r="C11" s="288"/>
      <c r="D11" s="288"/>
      <c r="E11" s="288"/>
      <c r="F11" s="288"/>
    </row>
    <row r="12" customFormat="false" ht="15" hidden="false" customHeight="true" outlineLevel="0" collapsed="false">
      <c r="A12" s="283" t="s">
        <v>649</v>
      </c>
      <c r="B12" s="284" t="n">
        <f aca="false">'Income Statement'!B17</f>
        <v>11156112</v>
      </c>
      <c r="C12" s="284" t="n">
        <f aca="false">'Income Statement'!C17</f>
        <v>15618000</v>
      </c>
      <c r="D12" s="284" t="n">
        <f aca="false">'Income Statement'!D17</f>
        <v>21893869</v>
      </c>
      <c r="E12" s="284" t="n">
        <f aca="false">'Income Statement'!E17</f>
        <v>25061090</v>
      </c>
      <c r="F12" s="284" t="n">
        <f aca="false">'Income Statement'!F17</f>
        <v>30073308</v>
      </c>
    </row>
    <row r="13" customFormat="false" ht="15" hidden="false" customHeight="true" outlineLevel="0" collapsed="false">
      <c r="A13" s="283" t="s">
        <v>650</v>
      </c>
      <c r="B13" s="284" t="n">
        <f aca="false">'Income Statement'!B18</f>
        <v>4435200</v>
      </c>
      <c r="C13" s="284" t="n">
        <f aca="false">'Income Statement'!C18</f>
        <v>7413120</v>
      </c>
      <c r="D13" s="284" t="n">
        <f aca="false">'Income Statement'!D18</f>
        <v>8305440</v>
      </c>
      <c r="E13" s="284" t="n">
        <f aca="false">'Income Statement'!E18</f>
        <v>12769614</v>
      </c>
      <c r="F13" s="284" t="n">
        <f aca="false">'Income Statement'!F18</f>
        <v>18043568.4</v>
      </c>
    </row>
    <row r="14" customFormat="false" ht="15" hidden="false" customHeight="true" outlineLevel="0" collapsed="false">
      <c r="A14" s="283" t="s">
        <v>442</v>
      </c>
      <c r="B14" s="284" t="n">
        <f aca="false">'Income Statement'!B19</f>
        <v>0</v>
      </c>
      <c r="C14" s="284" t="n">
        <f aca="false">'Income Statement'!C19</f>
        <v>0</v>
      </c>
      <c r="D14" s="284" t="n">
        <f aca="false">'Income Statement'!D19</f>
        <v>1000000</v>
      </c>
      <c r="E14" s="284" t="n">
        <f aca="false">'Income Statement'!E19</f>
        <v>1500000</v>
      </c>
      <c r="F14" s="284" t="n">
        <f aca="false">'Income Statement'!F19</f>
        <v>2000000</v>
      </c>
    </row>
    <row r="15" customFormat="false" ht="15" hidden="false" customHeight="true" outlineLevel="0" collapsed="false">
      <c r="A15" s="283" t="s">
        <v>651</v>
      </c>
      <c r="B15" s="284" t="n">
        <f aca="false">SUM(B12:B14)</f>
        <v>15591312</v>
      </c>
      <c r="C15" s="284" t="n">
        <f aca="false">SUM(C12:C14)</f>
        <v>23031120</v>
      </c>
      <c r="D15" s="284" t="n">
        <f aca="false">SUM(D12:D14)</f>
        <v>31199309</v>
      </c>
      <c r="E15" s="284" t="n">
        <f aca="false">SUM(E12:E14)</f>
        <v>39330704</v>
      </c>
      <c r="F15" s="284" t="n">
        <f aca="false">SUM(F12:F14)</f>
        <v>50116876.4</v>
      </c>
    </row>
    <row r="16" customFormat="false" ht="15" hidden="false" customHeight="true" outlineLevel="0" collapsed="false">
      <c r="A16" s="286"/>
      <c r="B16" s="287"/>
      <c r="C16" s="287"/>
      <c r="D16" s="287"/>
      <c r="E16" s="287"/>
      <c r="F16" s="287"/>
    </row>
    <row r="17" customFormat="false" ht="21.75" hidden="false" customHeight="true" outlineLevel="0" collapsed="false">
      <c r="A17" s="288" t="s">
        <v>652</v>
      </c>
      <c r="B17" s="288"/>
      <c r="C17" s="288"/>
      <c r="D17" s="288"/>
      <c r="E17" s="288"/>
      <c r="F17" s="288"/>
    </row>
    <row r="18" customFormat="false" ht="15" hidden="false" customHeight="true" outlineLevel="0" collapsed="false">
      <c r="A18" s="283" t="s">
        <v>653</v>
      </c>
      <c r="B18" s="284" t="n">
        <f aca="false">IFERROR(B15/B9,0)</f>
        <v>56083856.1151079</v>
      </c>
      <c r="C18" s="284" t="n">
        <f aca="false">IFERROR(C15/C9,0)</f>
        <v>252400491.216746</v>
      </c>
      <c r="D18" s="284" t="n">
        <f aca="false">IFERROR(D15/D9,0)</f>
        <v>261691079.066909</v>
      </c>
      <c r="E18" s="284" t="n">
        <f aca="false">IFERROR(E15/E9,0)</f>
        <v>340383493.834602</v>
      </c>
      <c r="F18" s="284" t="n">
        <f aca="false">IFERROR(F15/F9,0)</f>
        <v>500285176.772706</v>
      </c>
    </row>
    <row r="19" customFormat="false" ht="15" hidden="false" customHeight="true" outlineLevel="0" collapsed="false">
      <c r="A19" s="283" t="s">
        <v>654</v>
      </c>
      <c r="B19" s="284" t="n">
        <f aca="false">B18/(1-Assumptions!$B$25)*(12/Assumptions!$B$29)</f>
        <v>26392402.8776978</v>
      </c>
      <c r="C19" s="284" t="n">
        <f aca="false">C18/(1-Assumptions!$B$25)*(12/Assumptions!$B$29)</f>
        <v>118776701.749057</v>
      </c>
      <c r="D19" s="284" t="n">
        <f aca="false">D18/(1-Assumptions!$B$25)*(12/Assumptions!$B$29)</f>
        <v>123148743.09031</v>
      </c>
      <c r="E19" s="284" t="n">
        <f aca="false">E18/(1-Assumptions!$B$25)*(12/Assumptions!$B$29)</f>
        <v>160180467.686871</v>
      </c>
      <c r="F19" s="284" t="n">
        <f aca="false">F18/(1-Assumptions!$B$25)*(12/Assumptions!$B$29)</f>
        <v>235428318.481274</v>
      </c>
    </row>
    <row r="20" customFormat="false" ht="15" hidden="false" customHeight="true" outlineLevel="0" collapsed="false">
      <c r="A20" s="283" t="s">
        <v>655</v>
      </c>
      <c r="B20" s="284" t="n">
        <f aca="false">AVERAGE(0,'Balance Sheet'!B6)</f>
        <v>10336152.045</v>
      </c>
      <c r="C20" s="284" t="n">
        <f aca="false">AVERAGE('Balance Sheet'!B6,'Balance Sheet'!C6)</f>
        <v>236637262.145</v>
      </c>
      <c r="D20" s="284" t="n">
        <f aca="false">AVERAGE('Balance Sheet'!C6,'Balance Sheet'!D6)</f>
        <v>659581776.16</v>
      </c>
      <c r="E20" s="284" t="n">
        <f aca="false">AVERAGE('Balance Sheet'!D6,'Balance Sheet'!E6)</f>
        <v>1266999065.696</v>
      </c>
      <c r="F20" s="284" t="n">
        <f aca="false">AVERAGE('Balance Sheet'!E6,'Balance Sheet'!F6)</f>
        <v>2396449439.4176</v>
      </c>
    </row>
    <row r="21" customFormat="false" ht="15" hidden="false" customHeight="true" outlineLevel="0" collapsed="false">
      <c r="A21" s="283" t="s">
        <v>656</v>
      </c>
      <c r="B21" s="289" t="n">
        <f aca="false">IFERROR(1-B18/B20,0)</f>
        <v>-4.42598985298769</v>
      </c>
      <c r="C21" s="289" t="n">
        <f aca="false">IFERROR(1-C18/C20,0)</f>
        <v>-0.0666134696153085</v>
      </c>
      <c r="D21" s="289" t="n">
        <f aca="false">IFERROR(1-D18/D20,0)</f>
        <v>0.60324695356133</v>
      </c>
      <c r="E21" s="289" t="n">
        <f aca="false">IFERROR(1-E18/E20,0)</f>
        <v>0.731346689156697</v>
      </c>
      <c r="F21" s="289" t="n">
        <f aca="false">IFERROR(1-F18/F20,0)</f>
        <v>0.791239001940183</v>
      </c>
    </row>
    <row r="22" customFormat="false" ht="15" hidden="false" customHeight="true" outlineLevel="0" collapsed="false">
      <c r="A22" s="283" t="s">
        <v>657</v>
      </c>
      <c r="B22" s="283" t="str">
        <f aca="false">IF(B20&gt;=B18,"فوق التعادل","دون التعادل")</f>
        <v>دون التعادل</v>
      </c>
      <c r="C22" s="283" t="str">
        <f aca="false">IF(C20&gt;=C18,"فوق التعادل","دون التعادل")</f>
        <v>دون التعادل</v>
      </c>
      <c r="D22" s="283" t="str">
        <f aca="false">IF(D20&gt;=D18,"فوق التعادل","دون التعادل")</f>
        <v>فوق التعادل</v>
      </c>
      <c r="E22" s="283" t="str">
        <f aca="false">IF(E20&gt;=E18,"فوق التعادل","دون التعادل")</f>
        <v>فوق التعادل</v>
      </c>
      <c r="F22" s="283" t="str">
        <f aca="false">IF(F20&gt;=F18,"فوق التعادل","دون التعادل")</f>
        <v>فوق التعادل</v>
      </c>
    </row>
  </sheetData>
  <mergeCells count="4">
    <mergeCell ref="A1:F1"/>
    <mergeCell ref="A4:F4"/>
    <mergeCell ref="A11:F11"/>
    <mergeCell ref="A17:F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7" min="2" style="1" width="16"/>
    <col collapsed="false" customWidth="true" hidden="false" outlineLevel="0" max="8" min="8" style="1" width="36"/>
    <col collapsed="false" customWidth="true" hidden="false" outlineLevel="0" max="26" min="9" style="1" width="14"/>
  </cols>
  <sheetData>
    <row r="1" customFormat="false" ht="30.75" hidden="false" customHeight="true" outlineLevel="0" collapsed="false">
      <c r="A1" s="280" t="s">
        <v>658</v>
      </c>
      <c r="B1" s="280"/>
      <c r="C1" s="280"/>
      <c r="D1" s="280"/>
      <c r="E1" s="280"/>
      <c r="F1" s="280"/>
      <c r="G1" s="280"/>
      <c r="H1" s="280"/>
    </row>
    <row r="2" customFormat="false" ht="15" hidden="false" customHeight="true" outlineLevel="0" collapsed="false"/>
    <row r="3" customFormat="false" ht="15" hidden="false" customHeight="true" outlineLevel="0" collapsed="false">
      <c r="A3" s="299" t="s">
        <v>659</v>
      </c>
      <c r="B3" s="299" t="s">
        <v>660</v>
      </c>
      <c r="C3" s="299" t="s">
        <v>84</v>
      </c>
      <c r="D3" s="299" t="s">
        <v>85</v>
      </c>
      <c r="E3" s="299" t="s">
        <v>86</v>
      </c>
      <c r="F3" s="299" t="s">
        <v>87</v>
      </c>
      <c r="G3" s="299" t="s">
        <v>88</v>
      </c>
      <c r="H3" s="299" t="s">
        <v>661</v>
      </c>
    </row>
    <row r="4" customFormat="false" ht="30" hidden="false" customHeight="true" outlineLevel="0" collapsed="false">
      <c r="A4" s="283" t="s">
        <v>662</v>
      </c>
      <c r="B4" s="283" t="s">
        <v>663</v>
      </c>
      <c r="C4" s="283" t="s">
        <v>664</v>
      </c>
      <c r="D4" s="283" t="s">
        <v>664</v>
      </c>
      <c r="E4" s="283" t="s">
        <v>664</v>
      </c>
      <c r="F4" s="283" t="s">
        <v>664</v>
      </c>
      <c r="G4" s="283" t="s">
        <v>664</v>
      </c>
      <c r="H4" s="283" t="s">
        <v>40</v>
      </c>
    </row>
    <row r="5" customFormat="false" ht="30" hidden="false" customHeight="true" outlineLevel="0" collapsed="false">
      <c r="A5" s="283" t="s">
        <v>665</v>
      </c>
      <c r="B5" s="283" t="s">
        <v>666</v>
      </c>
      <c r="C5" s="283" t="s">
        <v>664</v>
      </c>
      <c r="D5" s="283" t="s">
        <v>664</v>
      </c>
      <c r="E5" s="283" t="s">
        <v>664</v>
      </c>
      <c r="F5" s="283" t="s">
        <v>664</v>
      </c>
      <c r="G5" s="283" t="s">
        <v>664</v>
      </c>
      <c r="H5" s="283" t="s">
        <v>667</v>
      </c>
    </row>
    <row r="6" customFormat="false" ht="30" hidden="false" customHeight="true" outlineLevel="0" collapsed="false">
      <c r="A6" s="283" t="s">
        <v>668</v>
      </c>
      <c r="B6" s="283" t="s">
        <v>669</v>
      </c>
      <c r="C6" s="283" t="s">
        <v>664</v>
      </c>
      <c r="D6" s="283" t="s">
        <v>664</v>
      </c>
      <c r="E6" s="283" t="s">
        <v>664</v>
      </c>
      <c r="F6" s="283" t="s">
        <v>664</v>
      </c>
      <c r="G6" s="283" t="s">
        <v>664</v>
      </c>
      <c r="H6" s="283" t="s">
        <v>670</v>
      </c>
    </row>
    <row r="7" customFormat="false" ht="30" hidden="false" customHeight="true" outlineLevel="0" collapsed="false">
      <c r="A7" s="283" t="s">
        <v>671</v>
      </c>
      <c r="B7" s="283" t="s">
        <v>672</v>
      </c>
      <c r="C7" s="283" t="str">
        <f aca="false">'Regulatory Capital Plan'!B16</f>
        <v>متوافق</v>
      </c>
      <c r="D7" s="283" t="str">
        <f aca="false">'Regulatory Capital Plan'!C16</f>
        <v>فجوة</v>
      </c>
      <c r="E7" s="283" t="str">
        <f aca="false">'Regulatory Capital Plan'!D16</f>
        <v>متوافق</v>
      </c>
      <c r="F7" s="283" t="str">
        <f aca="false">'Regulatory Capital Plan'!E16</f>
        <v>متوافق</v>
      </c>
      <c r="G7" s="283" t="str">
        <f aca="false">'Regulatory Capital Plan'!F16</f>
        <v>متوافق</v>
      </c>
      <c r="H7" s="283" t="s">
        <v>673</v>
      </c>
    </row>
    <row r="8" customFormat="false" ht="30" hidden="false" customHeight="true" outlineLevel="0" collapsed="false">
      <c r="A8" s="283" t="s">
        <v>609</v>
      </c>
      <c r="B8" s="283" t="s">
        <v>674</v>
      </c>
      <c r="C8" s="283" t="str">
        <f aca="false">IF('Regulatory Capital Plan'!B31&lt;12%,"فجوة تخطيطية","استرشادي - يتطلب اعتماد المدخلات الرقابية")</f>
        <v>استرشادي - يتطلب اعتماد المدخلات الرقابية</v>
      </c>
      <c r="D8" s="283" t="str">
        <f aca="false">IF('Regulatory Capital Plan'!C31&lt;12%,"فجوة تخطيطية","استرشادي - يتطلب اعتماد المدخلات الرقابية")</f>
        <v>استرشادي - يتطلب اعتماد المدخلات الرقابية</v>
      </c>
      <c r="E8" s="283" t="str">
        <f aca="false">IF('Regulatory Capital Plan'!D31&lt;12%,"فجوة تخطيطية","استرشادي - يتطلب اعتماد المدخلات الرقابية")</f>
        <v>استرشادي - يتطلب اعتماد المدخلات الرقابية</v>
      </c>
      <c r="F8" s="283" t="str">
        <f aca="false">IF('Regulatory Capital Plan'!E31&lt;12%,"فجوة تخطيطية","استرشادي - يتطلب اعتماد المدخلات الرقابية")</f>
        <v>استرشادي - يتطلب اعتماد المدخلات الرقابية</v>
      </c>
      <c r="G8" s="283" t="str">
        <f aca="false">IF('Regulatory Capital Plan'!F31&lt;12%,"فجوة تخطيطية","استرشادي - يتطلب اعتماد المدخلات الرقابية")</f>
        <v>استرشادي - يتطلب اعتماد المدخلات الرقابية</v>
      </c>
      <c r="H8" s="283" t="s">
        <v>66</v>
      </c>
    </row>
    <row r="9" customFormat="false" ht="30" hidden="false" customHeight="true" outlineLevel="0" collapsed="false">
      <c r="A9" s="283" t="s">
        <v>675</v>
      </c>
      <c r="B9" s="283" t="s">
        <v>676</v>
      </c>
      <c r="C9" s="283" t="str">
        <f aca="false">'Funding &amp; Liquidity'!B22</f>
        <v>استرشادي - بيانات آجال تعاقدية مطلوبة</v>
      </c>
      <c r="D9" s="283" t="str">
        <f aca="false">'Funding &amp; Liquidity'!C22</f>
        <v>استرشادي - بيانات آجال تعاقدية مطلوبة</v>
      </c>
      <c r="E9" s="283" t="str">
        <f aca="false">'Funding &amp; Liquidity'!D22</f>
        <v>استرشادي - بيانات آجال تعاقدية مطلوبة</v>
      </c>
      <c r="F9" s="283" t="str">
        <f aca="false">'Funding &amp; Liquidity'!E22</f>
        <v>استرشادي - بيانات آجال تعاقدية مطلوبة</v>
      </c>
      <c r="G9" s="283" t="str">
        <f aca="false">'Funding &amp; Liquidity'!F22</f>
        <v>استرشادي - بيانات آجال تعاقدية مطلوبة</v>
      </c>
      <c r="H9" s="283" t="s">
        <v>68</v>
      </c>
    </row>
    <row r="10" customFormat="false" ht="30" hidden="false" customHeight="true" outlineLevel="0" collapsed="false">
      <c r="A10" s="283" t="s">
        <v>677</v>
      </c>
      <c r="B10" s="283" t="s">
        <v>676</v>
      </c>
      <c r="C10" s="283" t="str">
        <f aca="false">'Funding &amp; Liquidity'!B36</f>
        <v>استرشادي - جداول ASF/RSF الفعلية مطلوبة</v>
      </c>
      <c r="D10" s="283" t="str">
        <f aca="false">'Funding &amp; Liquidity'!C36</f>
        <v>استرشادي - جداول ASF/RSF الفعلية مطلوبة</v>
      </c>
      <c r="E10" s="283" t="str">
        <f aca="false">'Funding &amp; Liquidity'!D36</f>
        <v>استرشادي - جداول ASF/RSF الفعلية مطلوبة</v>
      </c>
      <c r="F10" s="283" t="str">
        <f aca="false">'Funding &amp; Liquidity'!E36</f>
        <v>استرشادي - جداول ASF/RSF الفعلية مطلوبة</v>
      </c>
      <c r="G10" s="283" t="str">
        <f aca="false">'Funding &amp; Liquidity'!F36</f>
        <v>استرشادي - جداول ASF/RSF الفعلية مطلوبة</v>
      </c>
      <c r="H10" s="283" t="s">
        <v>68</v>
      </c>
    </row>
    <row r="11" customFormat="false" ht="30" hidden="false" customHeight="true" outlineLevel="0" collapsed="false">
      <c r="A11" s="283" t="s">
        <v>613</v>
      </c>
      <c r="B11" s="283" t="s">
        <v>678</v>
      </c>
      <c r="C11" s="283" t="str">
        <f aca="false">'Regulatory Capital Plan'!B39</f>
        <v>بيانات معلقة - سجل تركز العملاء/الأطراف المرتبطة مطلوب</v>
      </c>
      <c r="D11" s="283" t="str">
        <f aca="false">'Regulatory Capital Plan'!C39</f>
        <v>بيانات معلقة - سجل تركز العملاء/الأطراف المرتبطة مطلوب</v>
      </c>
      <c r="E11" s="283" t="str">
        <f aca="false">'Regulatory Capital Plan'!D39</f>
        <v>بيانات معلقة - سجل تركز العملاء/الأطراف المرتبطة مطلوب</v>
      </c>
      <c r="F11" s="283" t="str">
        <f aca="false">'Regulatory Capital Plan'!E39</f>
        <v>بيانات معلقة - سجل تركز العملاء/الأطراف المرتبطة مطلوب</v>
      </c>
      <c r="G11" s="283" t="str">
        <f aca="false">'Regulatory Capital Plan'!F39</f>
        <v>بيانات معلقة - سجل تركز العملاء/الأطراف المرتبطة مطلوب</v>
      </c>
      <c r="H11" s="283" t="s">
        <v>66</v>
      </c>
    </row>
    <row r="12" customFormat="false" ht="30" hidden="false" customHeight="true" outlineLevel="0" collapsed="false">
      <c r="A12" s="283" t="s">
        <v>679</v>
      </c>
      <c r="B12" s="283" t="s">
        <v>680</v>
      </c>
      <c r="C12" s="283" t="s">
        <v>664</v>
      </c>
      <c r="D12" s="283" t="s">
        <v>664</v>
      </c>
      <c r="E12" s="283" t="s">
        <v>664</v>
      </c>
      <c r="F12" s="283" t="s">
        <v>664</v>
      </c>
      <c r="G12" s="283" t="s">
        <v>664</v>
      </c>
      <c r="H12" s="283" t="s">
        <v>30</v>
      </c>
    </row>
    <row r="13" customFormat="false" ht="30" hidden="false" customHeight="true" outlineLevel="0" collapsed="false">
      <c r="A13" s="283" t="s">
        <v>681</v>
      </c>
      <c r="B13" s="283" t="s">
        <v>682</v>
      </c>
      <c r="C13" s="283" t="s">
        <v>664</v>
      </c>
      <c r="D13" s="283" t="s">
        <v>664</v>
      </c>
      <c r="E13" s="283" t="s">
        <v>664</v>
      </c>
      <c r="F13" s="283" t="s">
        <v>664</v>
      </c>
      <c r="G13" s="283" t="s">
        <v>664</v>
      </c>
      <c r="H13" s="283" t="s">
        <v>683</v>
      </c>
    </row>
    <row r="14" customFormat="false" ht="30" hidden="false" customHeight="true" outlineLevel="0" collapsed="false">
      <c r="A14" s="283" t="s">
        <v>684</v>
      </c>
      <c r="B14" s="283" t="s">
        <v>685</v>
      </c>
      <c r="C14" s="283" t="s">
        <v>664</v>
      </c>
      <c r="D14" s="283" t="s">
        <v>664</v>
      </c>
      <c r="E14" s="283" t="s">
        <v>664</v>
      </c>
      <c r="F14" s="283" t="s">
        <v>664</v>
      </c>
      <c r="G14" s="283" t="s">
        <v>664</v>
      </c>
      <c r="H14" s="283" t="s">
        <v>686</v>
      </c>
    </row>
    <row r="15" customFormat="false" ht="30" hidden="false" customHeight="true" outlineLevel="0" collapsed="false"/>
    <row r="16" customFormat="false" ht="42" hidden="false" customHeight="true" outlineLevel="0" collapsed="false">
      <c r="A16" s="60" t="s">
        <v>687</v>
      </c>
      <c r="B16" s="60"/>
      <c r="C16" s="60"/>
      <c r="D16" s="60"/>
      <c r="E16" s="60"/>
      <c r="F16" s="60"/>
      <c r="G16" s="60"/>
      <c r="H16" s="60"/>
    </row>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row r="21" customFormat="false" ht="30" hidden="false" customHeight="true" outlineLevel="0" collapsed="false"/>
    <row r="22" customFormat="false" ht="30" hidden="false" customHeight="true" outlineLevel="0" collapsed="false"/>
    <row r="23" customFormat="false" ht="51.75" hidden="false" customHeight="true" outlineLevel="0" collapsed="false"/>
    <row r="24" customFormat="false" ht="51.75" hidden="false" customHeight="true" outlineLevel="0" collapsed="false"/>
    <row r="25" customFormat="false" ht="51.75" hidden="false" customHeight="true" outlineLevel="0" collapsed="false"/>
    <row r="26" customFormat="false" ht="51.75" hidden="false" customHeight="true" outlineLevel="0" collapsed="false"/>
    <row r="27" customFormat="false" ht="51.75" hidden="false" customHeight="true" outlineLevel="0" collapsed="false"/>
    <row r="28" customFormat="false" ht="51.75" hidden="false" customHeight="true" outlineLevel="0" collapsed="false"/>
    <row r="29" customFormat="false" ht="51.75" hidden="false" customHeight="true" outlineLevel="0" collapsed="false"/>
    <row r="30" customFormat="false" ht="54" hidden="false" customHeight="true" outlineLevel="0" collapsed="false"/>
    <row r="31" customFormat="false" ht="57.75" hidden="false" customHeight="true" outlineLevel="0" collapsed="false"/>
  </sheetData>
  <mergeCells count="2">
    <mergeCell ref="A1:H1"/>
    <mergeCell ref="A16:H16"/>
  </mergeCells>
  <conditionalFormatting sqref="D4:D24">
    <cfRule type="containsText" priority="2" operator="containsText" aboveAverage="0" equalAverage="0" bottom="0" percent="0" rank="0" text="مستوفى" dxfId="0">
      <formula>NOT(ISERROR(SEARCH("مستوفى",D4)))</formula>
    </cfRule>
    <cfRule type="containsText" priority="3" operator="containsText" aboveAverage="0" equalAverage="0" bottom="0" percent="0" rank="0" text="افتراض" dxfId="1">
      <formula>NOT(ISERROR(SEARCH("افتراض",D4)))</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6" min="2" style="198" width="20"/>
    <col collapsed="false" customWidth="true" hidden="false" outlineLevel="0" max="26" min="9" style="1" width="14"/>
  </cols>
  <sheetData>
    <row r="1" customFormat="false" ht="15" hidden="false" customHeight="true" outlineLevel="0" collapsed="false">
      <c r="A1" s="307" t="s">
        <v>688</v>
      </c>
      <c r="B1" s="307"/>
      <c r="C1" s="307"/>
      <c r="D1" s="307"/>
      <c r="E1" s="307"/>
      <c r="F1" s="307"/>
    </row>
    <row r="2" customFormat="false" ht="15" hidden="false" customHeight="true" outlineLevel="0" collapsed="false">
      <c r="A2" s="109"/>
      <c r="B2" s="109"/>
      <c r="C2" s="109"/>
      <c r="D2" s="109"/>
      <c r="E2" s="109"/>
      <c r="F2" s="109"/>
    </row>
    <row r="3" customFormat="false" ht="15" hidden="false" customHeight="true" outlineLevel="0" collapsed="false">
      <c r="A3" s="299" t="s">
        <v>689</v>
      </c>
      <c r="B3" s="299" t="s">
        <v>84</v>
      </c>
      <c r="C3" s="299" t="s">
        <v>85</v>
      </c>
      <c r="D3" s="299" t="s">
        <v>86</v>
      </c>
      <c r="E3" s="299" t="s">
        <v>87</v>
      </c>
      <c r="F3" s="299" t="s">
        <v>88</v>
      </c>
    </row>
    <row r="4" customFormat="false" ht="15" hidden="false" customHeight="true" outlineLevel="0" collapsed="false">
      <c r="A4" s="301" t="s">
        <v>690</v>
      </c>
      <c r="B4" s="301" t="str">
        <f aca="false">IF(ABS('Balance Sheet'!B24)&lt;1,"OK","ERROR")</f>
        <v>OK</v>
      </c>
      <c r="C4" s="301" t="str">
        <f aca="false">IF(ABS('Balance Sheet'!C24)&lt;1,"OK","ERROR")</f>
        <v>OK</v>
      </c>
      <c r="D4" s="301" t="str">
        <f aca="false">IF(ABS('Balance Sheet'!D24)&lt;1,"OK","ERROR")</f>
        <v>OK</v>
      </c>
      <c r="E4" s="301" t="str">
        <f aca="false">IF(ABS('Balance Sheet'!E24)&lt;1,"OK","ERROR")</f>
        <v>OK</v>
      </c>
      <c r="F4" s="301" t="str">
        <f aca="false">IF(ABS('Balance Sheet'!F24)&lt;1,"OK","ERROR")</f>
        <v>OK</v>
      </c>
    </row>
    <row r="5" customFormat="false" ht="15" hidden="false" customHeight="true" outlineLevel="0" collapsed="false">
      <c r="A5" s="301" t="s">
        <v>691</v>
      </c>
      <c r="B5" s="301" t="str">
        <f aca="false">IF(ABS('Cash Flow'!B26)&lt;1,"OK","ERROR")</f>
        <v>OK</v>
      </c>
      <c r="C5" s="301" t="str">
        <f aca="false">IF(ABS('Cash Flow'!C26)&lt;1,"OK","ERROR")</f>
        <v>OK</v>
      </c>
      <c r="D5" s="301" t="str">
        <f aca="false">IF(ABS('Cash Flow'!D26)&lt;1,"OK","ERROR")</f>
        <v>OK</v>
      </c>
      <c r="E5" s="301" t="str">
        <f aca="false">IF(ABS('Cash Flow'!E26)&lt;1,"OK","ERROR")</f>
        <v>OK</v>
      </c>
      <c r="F5" s="301" t="str">
        <f aca="false">IF(ABS('Cash Flow'!F26)&lt;1,"OK","ERROR")</f>
        <v>OK</v>
      </c>
    </row>
    <row r="6" customFormat="false" ht="15" hidden="false" customHeight="true" outlineLevel="0" collapsed="false">
      <c r="A6" s="301" t="s">
        <v>692</v>
      </c>
      <c r="B6" s="301" t="str">
        <f aca="false">IF(ABS('Income Statement'!B5-Assumptions!B4)&lt;1,"OK","ERROR")</f>
        <v>OK</v>
      </c>
      <c r="C6" s="301" t="str">
        <f aca="false">IF(ABS('Income Statement'!C5-Assumptions!C4)&lt;1,"OK","ERROR")</f>
        <v>OK</v>
      </c>
      <c r="D6" s="301" t="str">
        <f aca="false">IF(ABS('Income Statement'!D5-Assumptions!D4)&lt;1,"OK","ERROR")</f>
        <v>OK</v>
      </c>
      <c r="E6" s="301" t="str">
        <f aca="false">IF(ABS('Income Statement'!E5-Assumptions!E4)&lt;1,"OK","ERROR")</f>
        <v>OK</v>
      </c>
      <c r="F6" s="301" t="str">
        <f aca="false">IF(ABS('Income Statement'!F5-Assumptions!F4)&lt;1,"OK","ERROR")</f>
        <v>OK</v>
      </c>
    </row>
    <row r="7" customFormat="false" ht="15" hidden="false" customHeight="true" outlineLevel="0" collapsed="false">
      <c r="A7" s="301" t="s">
        <v>693</v>
      </c>
      <c r="B7" s="301" t="str">
        <f aca="false">IF(ABS(SUMIFS(Originations!$B$7:$BI$7,Originations!$B$4:$BI$4,2027)-Assumptions!B4)&lt;1,"OK","ERROR")</f>
        <v>OK</v>
      </c>
      <c r="C7" s="301" t="str">
        <f aca="false">IF(ABS(SUMIFS(Originations!$B$7:$BI$7,Originations!$B$4:$BI$4,2028)-Assumptions!C4)&lt;1,"OK","ERROR")</f>
        <v>OK</v>
      </c>
      <c r="D7" s="301" t="str">
        <f aca="false">IF(ABS(SUMIFS(Originations!$B$7:$BI$7,Originations!$B$4:$BI$4,2029)-Assumptions!D4)&lt;1,"OK","ERROR")</f>
        <v>OK</v>
      </c>
      <c r="E7" s="301" t="str">
        <f aca="false">IF(ABS(SUMIFS(Originations!$B$7:$BI$7,Originations!$B$4:$BI$4,2030)-Assumptions!E4)&lt;1,"OK","ERROR")</f>
        <v>OK</v>
      </c>
      <c r="F7" s="301" t="str">
        <f aca="false">IF(ABS(SUMIFS(Originations!$B$7:$BI$7,Originations!$B$4:$BI$4,2031)-Assumptions!F4)&lt;1,"OK","ERROR")</f>
        <v>OK</v>
      </c>
    </row>
    <row r="8" customFormat="false" ht="33.75" hidden="false" customHeight="true" outlineLevel="0" collapsed="false">
      <c r="A8" s="301" t="s">
        <v>694</v>
      </c>
      <c r="B8" s="301" t="str">
        <f aca="false">IF(COUNTIF('Monthly Model'!B36:M36,"فجوة")=0,"متوافق تخطيطيا","فجوة")</f>
        <v>متوافق تخطيطيا</v>
      </c>
      <c r="C8" s="301" t="str">
        <f aca="false">IF(COUNTIF('Monthly Model'!N36:Y36,"فجوة")=0,"متوافق تخطيطيا","فجوة")</f>
        <v>فجوة</v>
      </c>
      <c r="D8" s="301" t="str">
        <f aca="false">IF(COUNTIF('Monthly Model'!Z36:AK36,"فجوة")=0,"متوافق تخطيطيا","فجوة")</f>
        <v>متوافق تخطيطيا</v>
      </c>
      <c r="E8" s="301" t="str">
        <f aca="false">IF(COUNTIF('Monthly Model'!AL36:AW36,"فجوة")=0,"متوافق تخطيطيا","فجوة")</f>
        <v>متوافق تخطيطيا</v>
      </c>
      <c r="F8" s="301" t="str">
        <f aca="false">IF(COUNTIF('Monthly Model'!AX36:BI36,"فجوة")=0,"متوافق تخطيطيا","فجوة")</f>
        <v>متوافق تخطيطيا</v>
      </c>
    </row>
    <row r="9" customFormat="false" ht="33.75" hidden="false" customHeight="true" outlineLevel="0" collapsed="false">
      <c r="A9" s="301" t="s">
        <v>695</v>
      </c>
      <c r="B9" s="301" t="str">
        <f aca="false">IF('Regulatory Capital Plan'!B31&lt;12%,"فجوة تخطيطية","استرشادي - اعتماد خارجي مطلوب")</f>
        <v>استرشادي - اعتماد خارجي مطلوب</v>
      </c>
      <c r="C9" s="301" t="str">
        <f aca="false">IF('Regulatory Capital Plan'!C31&lt;12%,"فجوة تخطيطية","استرشادي - اعتماد خارجي مطلوب")</f>
        <v>استرشادي - اعتماد خارجي مطلوب</v>
      </c>
      <c r="D9" s="301" t="str">
        <f aca="false">IF('Regulatory Capital Plan'!D31&lt;12%,"فجوة تخطيطية","استرشادي - اعتماد خارجي مطلوب")</f>
        <v>استرشادي - اعتماد خارجي مطلوب</v>
      </c>
      <c r="E9" s="301" t="str">
        <f aca="false">IF('Regulatory Capital Plan'!E31&lt;12%,"فجوة تخطيطية","استرشادي - اعتماد خارجي مطلوب")</f>
        <v>استرشادي - اعتماد خارجي مطلوب</v>
      </c>
      <c r="F9" s="301" t="str">
        <f aca="false">IF('Regulatory Capital Plan'!F31&lt;12%,"فجوة تخطيطية","استرشادي - اعتماد خارجي مطلوب")</f>
        <v>استرشادي - اعتماد خارجي مطلوب</v>
      </c>
    </row>
    <row r="10" customFormat="false" ht="33.75" hidden="false" customHeight="true" outlineLevel="0" collapsed="false">
      <c r="A10" s="301" t="s">
        <v>696</v>
      </c>
      <c r="B10" s="301" t="str">
        <f aca="false">IF('Funding &amp; Liquidity'!B21&lt;100%,"فجوة تخطيطية","استرشادي - بيانات آجال مطلوبة")</f>
        <v>استرشادي - بيانات آجال مطلوبة</v>
      </c>
      <c r="C10" s="301" t="str">
        <f aca="false">IF('Funding &amp; Liquidity'!C21&lt;100%,"فجوة تخطيطية","استرشادي - بيانات آجال مطلوبة")</f>
        <v>استرشادي - بيانات آجال مطلوبة</v>
      </c>
      <c r="D10" s="301" t="str">
        <f aca="false">IF('Funding &amp; Liquidity'!D21&lt;100%,"فجوة تخطيطية","استرشادي - بيانات آجال مطلوبة")</f>
        <v>استرشادي - بيانات آجال مطلوبة</v>
      </c>
      <c r="E10" s="301" t="str">
        <f aca="false">IF('Funding &amp; Liquidity'!E21&lt;100%,"فجوة تخطيطية","استرشادي - بيانات آجال مطلوبة")</f>
        <v>استرشادي - بيانات آجال مطلوبة</v>
      </c>
      <c r="F10" s="301" t="str">
        <f aca="false">IF('Funding &amp; Liquidity'!F21&lt;100%,"فجوة تخطيطية","استرشادي - بيانات آجال مطلوبة")</f>
        <v>استرشادي - بيانات آجال مطلوبة</v>
      </c>
    </row>
    <row r="11" customFormat="false" ht="33.75" hidden="false" customHeight="true" outlineLevel="0" collapsed="false">
      <c r="A11" s="301" t="s">
        <v>697</v>
      </c>
      <c r="B11" s="301" t="str">
        <f aca="false">IF('Funding &amp; Liquidity'!B35&lt;100%,"فجوة تخطيطية","استرشادي - بيانات آجال مطلوبة")</f>
        <v>استرشادي - بيانات آجال مطلوبة</v>
      </c>
      <c r="C11" s="301" t="str">
        <f aca="false">IF('Funding &amp; Liquidity'!C35&lt;100%,"فجوة تخطيطية","استرشادي - بيانات آجال مطلوبة")</f>
        <v>استرشادي - بيانات آجال مطلوبة</v>
      </c>
      <c r="D11" s="301" t="str">
        <f aca="false">IF('Funding &amp; Liquidity'!D35&lt;100%,"فجوة تخطيطية","استرشادي - بيانات آجال مطلوبة")</f>
        <v>استرشادي - بيانات آجال مطلوبة</v>
      </c>
      <c r="E11" s="301" t="str">
        <f aca="false">IF('Funding &amp; Liquidity'!E35&lt;100%,"فجوة تخطيطية","استرشادي - بيانات آجال مطلوبة")</f>
        <v>استرشادي - بيانات آجال مطلوبة</v>
      </c>
      <c r="F11" s="301" t="str">
        <f aca="false">IF('Funding &amp; Liquidity'!F35&lt;100%,"فجوة تخطيطية","استرشادي - بيانات آجال مطلوبة")</f>
        <v>استرشادي - بيانات آجال مطلوبة</v>
      </c>
    </row>
    <row r="12" customFormat="false" ht="33.75" hidden="false" customHeight="true" outlineLevel="0" collapsed="false">
      <c r="A12" s="301" t="s">
        <v>613</v>
      </c>
      <c r="B12" s="301" t="str">
        <f aca="false">'Regulatory Capital Plan'!B39</f>
        <v>بيانات معلقة - سجل تركز العملاء/الأطراف المرتبطة مطلوب</v>
      </c>
      <c r="C12" s="301" t="str">
        <f aca="false">'Regulatory Capital Plan'!C39</f>
        <v>بيانات معلقة - سجل تركز العملاء/الأطراف المرتبطة مطلوب</v>
      </c>
      <c r="D12" s="301" t="str">
        <f aca="false">'Regulatory Capital Plan'!D39</f>
        <v>بيانات معلقة - سجل تركز العملاء/الأطراف المرتبطة مطلوب</v>
      </c>
      <c r="E12" s="301" t="str">
        <f aca="false">'Regulatory Capital Plan'!E39</f>
        <v>بيانات معلقة - سجل تركز العملاء/الأطراف المرتبطة مطلوب</v>
      </c>
      <c r="F12" s="301" t="str">
        <f aca="false">'Regulatory Capital Plan'!F39</f>
        <v>بيانات معلقة - سجل تركز العملاء/الأطراف المرتبطة مطلوب</v>
      </c>
    </row>
    <row r="13" customFormat="false" ht="15" hidden="false" customHeight="true" outlineLevel="0" collapsed="false">
      <c r="A13" s="301" t="s">
        <v>698</v>
      </c>
      <c r="B13" s="301" t="str">
        <f aca="false">IF('Balance Sheet'!B19&lt;=Assumptions!$B$20,"OK","ERROR")</f>
        <v>OK</v>
      </c>
      <c r="C13" s="301" t="str">
        <f aca="false">IF('Balance Sheet'!C19&lt;=Assumptions!$B$20,"OK","ERROR")</f>
        <v>OK</v>
      </c>
      <c r="D13" s="301" t="str">
        <f aca="false">IF('Balance Sheet'!D19&lt;=Assumptions!$B$20,"OK","ERROR")</f>
        <v>OK</v>
      </c>
      <c r="E13" s="301" t="str">
        <f aca="false">IF('Balance Sheet'!E19&lt;=Assumptions!$B$20,"OK","ERROR")</f>
        <v>OK</v>
      </c>
      <c r="F13" s="301" t="str">
        <f aca="false">IF('Balance Sheet'!F19&lt;=Assumptions!$B$20,"OK","ERROR")</f>
        <v>OK</v>
      </c>
    </row>
    <row r="14" customFormat="false" ht="15" hidden="false" customHeight="true" outlineLevel="0" collapsed="false">
      <c r="A14" s="109" t="s">
        <v>699</v>
      </c>
      <c r="B14" s="109" t="str">
        <f aca="false">IF(Staff!C21=36,"OK","ERROR")</f>
        <v>OK</v>
      </c>
      <c r="C14" s="109" t="str">
        <f aca="false">IF(Staff!D21=36,"OK","ERROR")</f>
        <v>OK</v>
      </c>
      <c r="D14" s="109" t="str">
        <f aca="false">IF(Staff!E21=36,"OK","ERROR")</f>
        <v>OK</v>
      </c>
      <c r="E14" s="109" t="str">
        <f aca="false">IF(Staff!F21=36,"OK","ERROR")</f>
        <v>OK</v>
      </c>
      <c r="F14" s="109" t="str">
        <f aca="false">IF(Staff!G21=36,"OK","ERROR")</f>
        <v>OK</v>
      </c>
    </row>
    <row r="15" customFormat="false" ht="15" hidden="false" customHeight="true" outlineLevel="0" collapsed="false">
      <c r="A15" s="308" t="s">
        <v>700</v>
      </c>
      <c r="B15" s="308" t="str">
        <f aca="false">IF(AND(ABS(Staff!H21-Staff!H22)&lt;1,ABS('Income Statement'!B17-Staff!H21)&lt;1),"OK","ERROR")</f>
        <v>OK</v>
      </c>
      <c r="C15" s="308" t="str">
        <f aca="false">IF(AND(ABS(Staff!I21-Staff!I22)&lt;1,ABS('Income Statement'!C17-Staff!I21)&lt;1),"OK","ERROR")</f>
        <v>OK</v>
      </c>
      <c r="D15" s="308" t="str">
        <f aca="false">IF(AND(ABS(Staff!J21-Staff!J22)&lt;1,ABS('Income Statement'!D17-Staff!J21)&lt;1),"OK","ERROR")</f>
        <v>OK</v>
      </c>
      <c r="E15" s="308" t="str">
        <f aca="false">IF(AND(ABS(Staff!K21-Staff!K22)&lt;1,ABS('Income Statement'!E17-Staff!K21)&lt;1),"OK","ERROR")</f>
        <v>OK</v>
      </c>
      <c r="F15" s="308" t="str">
        <f aca="false">IF(AND(ABS(Staff!L21-Staff!L22)&lt;1,ABS('Income Statement'!F17-Staff!L21)&lt;1),"OK","ERROR")</f>
        <v>OK</v>
      </c>
    </row>
    <row r="16" customFormat="false" ht="15" hidden="false" customHeight="true" outlineLevel="0" collapsed="false">
      <c r="A16" s="109" t="s">
        <v>701</v>
      </c>
      <c r="B16" s="109" t="str">
        <f aca="false">IF(ABS(0+'Funding &amp; Liquidity'!B7-'Funding &amp; Liquidity'!B12-'Balance Sheet'!B14)&lt;1,"OK","ERROR")</f>
        <v>OK</v>
      </c>
      <c r="C16" s="109" t="str">
        <f aca="false">IF(ABS('Balance Sheet'!B14+'Funding &amp; Liquidity'!C7-'Funding &amp; Liquidity'!C12-'Balance Sheet'!C14)&lt;1,"OK","ERROR")</f>
        <v>OK</v>
      </c>
      <c r="D16" s="109" t="str">
        <f aca="false">IF(ABS('Balance Sheet'!C14+'Funding &amp; Liquidity'!D7-'Funding &amp; Liquidity'!D12-'Balance Sheet'!D14)&lt;1,"OK","ERROR")</f>
        <v>OK</v>
      </c>
      <c r="E16" s="109" t="str">
        <f aca="false">IF(ABS('Balance Sheet'!D14+'Funding &amp; Liquidity'!E7-'Funding &amp; Liquidity'!E12-'Balance Sheet'!E14)&lt;1,"OK","ERROR")</f>
        <v>OK</v>
      </c>
      <c r="F16" s="109" t="str">
        <f aca="false">IF(ABS('Balance Sheet'!E14+'Funding &amp; Liquidity'!F7-'Funding &amp; Liquidity'!F12-'Balance Sheet'!F14)&lt;1,"OK","ERROR")</f>
        <v>OK</v>
      </c>
    </row>
    <row r="17" customFormat="false" ht="15" hidden="false" customHeight="true" outlineLevel="0" collapsed="false">
      <c r="A17" s="109" t="s">
        <v>702</v>
      </c>
      <c r="B17" s="109" t="str">
        <f aca="false">IF(AND(MAX('Monthly Model'!B33:M33)&lt;=Assumptions!B101+1,MIN('Monthly Model'!B27:M27)&gt;=0),"OK","ERROR")</f>
        <v>OK</v>
      </c>
      <c r="C17" s="109" t="str">
        <f aca="false">IF(AND(MAX('Monthly Model'!N33:Y33)&lt;=Assumptions!C101+1,MIN('Monthly Model'!N27:Y27)&gt;=0),"OK","ERROR")</f>
        <v>OK</v>
      </c>
      <c r="D17" s="109" t="str">
        <f aca="false">IF(AND(MAX('Monthly Model'!Z33:AK33)&lt;=Assumptions!D101+1,MIN('Monthly Model'!Z27:AK27)&gt;=0),"OK","ERROR")</f>
        <v>OK</v>
      </c>
      <c r="E17" s="109" t="str">
        <f aca="false">IF(AND(MAX('Monthly Model'!AL33:AW33)&lt;=Assumptions!E101+1,MIN('Monthly Model'!AL27:AW27)&gt;=0),"OK","ERROR")</f>
        <v>OK</v>
      </c>
      <c r="F17" s="109" t="str">
        <f aca="false">IF(AND(MAX('Monthly Model'!AX33:BI33)&lt;=Assumptions!F101+1,MIN('Monthly Model'!AX27:BI27)&gt;=0),"OK","ERROR")</f>
        <v>OK</v>
      </c>
    </row>
    <row r="18" customFormat="false" ht="33.75" hidden="false" customHeight="true" outlineLevel="0" collapsed="false">
      <c r="A18" s="109" t="s">
        <v>703</v>
      </c>
      <c r="B18" s="109" t="str">
        <f aca="false">IF('Basel III'!B54&gt;=3%,"OK - استرشادي","ERROR")</f>
        <v>OK - استرشادي</v>
      </c>
      <c r="C18" s="109" t="str">
        <f aca="false">IF('Basel III'!C54&gt;=3%,"OK - استرشادي","ERROR")</f>
        <v>OK - استرشادي</v>
      </c>
      <c r="D18" s="109" t="str">
        <f aca="false">IF('Basel III'!D54&gt;=3%,"OK - استرشادي","ERROR")</f>
        <v>OK - استرشادي</v>
      </c>
      <c r="E18" s="109" t="str">
        <f aca="false">IF('Basel III'!E54&gt;=3%,"OK - استرشادي","ERROR")</f>
        <v>OK - استرشادي</v>
      </c>
      <c r="F18" s="109" t="str">
        <f aca="false">IF('Basel III'!F54&gt;=3%,"OK - استرشادي","ERROR")</f>
        <v>OK - استرشادي</v>
      </c>
    </row>
    <row r="19" customFormat="false" ht="15" hidden="false" customHeight="true" outlineLevel="0" collapsed="false">
      <c r="A19" s="109" t="s">
        <v>704</v>
      </c>
      <c r="B19" s="109" t="str">
        <f aca="false">IF(ABS('Income Statement'!B16-'Balance Sheet'!B7)&lt;1,"OK","ERROR")</f>
        <v>OK</v>
      </c>
      <c r="C19" s="109" t="str">
        <f aca="false">IF(ABS('Income Statement'!C16-('Balance Sheet'!C7-'Balance Sheet'!B7))&lt;1,"OK","ERROR")</f>
        <v>OK</v>
      </c>
      <c r="D19" s="109" t="str">
        <f aca="false">IF(ABS('Income Statement'!D16-('Balance Sheet'!D7-'Balance Sheet'!C7))&lt;1,"OK","ERROR")</f>
        <v>OK</v>
      </c>
      <c r="E19" s="109" t="str">
        <f aca="false">IF(ABS('Income Statement'!E16-('Balance Sheet'!E7-'Balance Sheet'!D7))&lt;1,"OK","ERROR")</f>
        <v>OK</v>
      </c>
      <c r="F19" s="109" t="str">
        <f aca="false">IF(ABS('Income Statement'!F16-('Balance Sheet'!F7-'Balance Sheet'!E7))&lt;1,"OK","ERROR")</f>
        <v>OK</v>
      </c>
    </row>
    <row r="20" customFormat="false" ht="43.5" hidden="false" customHeight="true" outlineLevel="0" collapsed="false">
      <c r="A20" s="109" t="s">
        <v>705</v>
      </c>
      <c r="B20" s="109"/>
      <c r="C20" s="109"/>
      <c r="D20" s="109"/>
      <c r="E20" s="109"/>
      <c r="F20" s="109"/>
    </row>
    <row r="21" customFormat="false" ht="36" hidden="false" customHeight="true" outlineLevel="0" collapsed="false">
      <c r="A21" s="109" t="s">
        <v>706</v>
      </c>
      <c r="B21" s="109" t="str">
        <f aca="false">IF(ABS(Scenarios!B13-'Income Statement'!B23)&lt;1,"OK","ERROR")</f>
        <v>OK</v>
      </c>
      <c r="C21" s="109" t="str">
        <f aca="false">IF(ABS(Scenarios!C13-'Income Statement'!C23)&lt;1,"OK","ERROR")</f>
        <v>OK</v>
      </c>
      <c r="D21" s="109" t="str">
        <f aca="false">IF(ABS(Scenarios!D13-'Income Statement'!D23)&lt;1,"OK","ERROR")</f>
        <v>OK</v>
      </c>
      <c r="E21" s="109" t="str">
        <f aca="false">IF(ABS(Scenarios!E13-'Income Statement'!E23)&lt;1,"OK","ERROR")</f>
        <v>OK</v>
      </c>
      <c r="F21" s="109" t="str">
        <f aca="false">IF(ABS(Scenarios!F13-'Income Statement'!F23)&lt;1,"OK","ERROR")</f>
        <v>OK</v>
      </c>
    </row>
    <row r="22" customFormat="false" ht="36" hidden="false" customHeight="true" outlineLevel="0" collapsed="false">
      <c r="A22" s="109" t="s">
        <v>707</v>
      </c>
      <c r="B22" s="109" t="str">
        <f aca="false">IF(ABS(Sensitivity!D6-'Income Statement'!F23)&lt;1,"OK","ERROR")</f>
        <v>OK</v>
      </c>
      <c r="C22" s="109" t="s">
        <v>708</v>
      </c>
      <c r="D22" s="109" t="s">
        <v>708</v>
      </c>
      <c r="E22" s="109" t="s">
        <v>708</v>
      </c>
      <c r="F22" s="109" t="s">
        <v>708</v>
      </c>
    </row>
    <row r="23" customFormat="false" ht="36" hidden="false" customHeight="true" outlineLevel="0" collapsed="false">
      <c r="A23" s="109" t="s">
        <v>709</v>
      </c>
      <c r="B23" s="109" t="str">
        <f aca="false">IF(ABS(Feasibility!G6-('Income Statement'!F23*Assumptions!$B$40))&lt;1,"OK","ERROR")</f>
        <v>OK</v>
      </c>
      <c r="C23" s="109" t="s">
        <v>708</v>
      </c>
      <c r="D23" s="109" t="s">
        <v>708</v>
      </c>
      <c r="E23" s="109" t="s">
        <v>708</v>
      </c>
      <c r="F23" s="109" t="s">
        <v>708</v>
      </c>
    </row>
    <row r="24" customFormat="false" ht="33.75" hidden="false" customHeight="true" outlineLevel="0" collapsed="false">
      <c r="A24" s="199" t="s">
        <v>710</v>
      </c>
      <c r="B24" s="109" t="s">
        <v>711</v>
      </c>
      <c r="C24" s="109" t="s">
        <v>711</v>
      </c>
      <c r="D24" s="109" t="s">
        <v>712</v>
      </c>
      <c r="E24" s="109" t="s">
        <v>712</v>
      </c>
      <c r="F24" s="109" t="s">
        <v>712</v>
      </c>
    </row>
    <row r="25" customFormat="false" ht="33.75" hidden="false" customHeight="true" outlineLevel="0" collapsed="false">
      <c r="A25" s="199" t="s">
        <v>713</v>
      </c>
      <c r="B25" s="109" t="str">
        <f aca="false">IF(ABS(SUMIFS('Monthly Model'!$B$24:$BI$24,'Monthly Model'!$B$4:$BI$4,2027)-'Funding &amp; Liquidity'!B12)&lt;1,"OK","ERROR")</f>
        <v>OK</v>
      </c>
      <c r="C25" s="109" t="str">
        <f aca="false">IF(ABS(SUMIFS('Monthly Model'!$B$24:$BI$24,'Monthly Model'!$B$4:$BI$4,2028)-'Funding &amp; Liquidity'!C12)&lt;1,"OK","ERROR")</f>
        <v>OK</v>
      </c>
      <c r="D25" s="109" t="str">
        <f aca="false">IF(ABS(SUMIFS('Monthly Model'!$B$24:$BI$24,'Monthly Model'!$B$4:$BI$4,2029)-'Funding &amp; Liquidity'!D12)&lt;1,"OK","ERROR")</f>
        <v>OK</v>
      </c>
      <c r="E25" s="109" t="str">
        <f aca="false">IF(ABS(SUMIFS('Monthly Model'!$B$24:$BI$24,'Monthly Model'!$B$4:$BI$4,2030)-'Funding &amp; Liquidity'!E12)&lt;1,"OK","ERROR")</f>
        <v>OK</v>
      </c>
      <c r="F25" s="109" t="str">
        <f aca="false">IF(ABS(SUMIFS('Monthly Model'!$B$24:$BI$24,'Monthly Model'!$B$4:$BI$4,2031)-'Funding &amp; Liquidity'!F12)&lt;1,"OK","ERROR")</f>
        <v>OK</v>
      </c>
    </row>
    <row r="26" customFormat="false" ht="33.75" hidden="false" customHeight="true" outlineLevel="0" collapsed="false">
      <c r="A26" s="199" t="s">
        <v>714</v>
      </c>
      <c r="B26" s="109" t="str">
        <f aca="false">IF(ABS(SUMIFS('Monthly Model'!$B$41:$BI$41,'Monthly Model'!$B$4:$BI$4,2027)-'Income Statement'!B15)&lt;1,"OK","ERROR")</f>
        <v>OK</v>
      </c>
      <c r="C26" s="109" t="str">
        <f aca="false">IF(ABS(SUMIFS('Monthly Model'!$B$41:$BI$41,'Monthly Model'!$B$4:$BI$4,2028)-'Income Statement'!C15)&lt;1,"OK","ERROR")</f>
        <v>OK</v>
      </c>
      <c r="D26" s="109" t="str">
        <f aca="false">IF(ABS(SUMIFS('Monthly Model'!$B$41:$BI$41,'Monthly Model'!$B$4:$BI$4,2029)-'Income Statement'!D15)&lt;1,"OK","ERROR")</f>
        <v>OK</v>
      </c>
      <c r="E26" s="109" t="str">
        <f aca="false">IF(ABS(SUMIFS('Monthly Model'!$B$41:$BI$41,'Monthly Model'!$B$4:$BI$4,2030)-'Income Statement'!E15)&lt;1,"OK","ERROR")</f>
        <v>OK</v>
      </c>
      <c r="F26" s="109" t="str">
        <f aca="false">IF(ABS(SUMIFS('Monthly Model'!$B$41:$BI$41,'Monthly Model'!$B$4:$BI$4,2031)-'Income Statement'!F15)&lt;1,"OK","ERROR")</f>
        <v>OK</v>
      </c>
    </row>
    <row r="27" customFormat="false" ht="33.75" hidden="false" customHeight="true" outlineLevel="0" collapsed="false">
      <c r="A27" s="199" t="s">
        <v>715</v>
      </c>
      <c r="B27" s="109" t="str">
        <f aca="false">IF(COUNTIF('Monthly Model'!B45:M45,"GAP")=0,"OK","GAP")</f>
        <v>OK</v>
      </c>
      <c r="C27" s="109" t="str">
        <f aca="false">IF(COUNTIF('Monthly Model'!N45:Y45,"GAP")=0,"OK","GAP")</f>
        <v>OK</v>
      </c>
      <c r="D27" s="109" t="str">
        <f aca="false">IF(COUNTIF('Monthly Model'!Z45:AK45,"GAP")=0,"OK","GAP")</f>
        <v>OK</v>
      </c>
      <c r="E27" s="109" t="str">
        <f aca="false">IF(COUNTIF('Monthly Model'!AL45:AW45,"GAP")=0,"OK","GAP")</f>
        <v>OK</v>
      </c>
      <c r="F27" s="109" t="str">
        <f aca="false">IF(COUNTIF('Monthly Model'!AX45:BI45,"GAP")=0,"OK","GAP")</f>
        <v>OK</v>
      </c>
    </row>
    <row r="28" customFormat="false" ht="33.75" hidden="false" customHeight="true" outlineLevel="0" collapsed="false">
      <c r="A28" s="109" t="s">
        <v>716</v>
      </c>
      <c r="B28" s="109" t="str">
        <f aca="false">IF(ABS(SUM(Originations!B11:M11)-Assumptions!B77)&lt;0.5,"OK","فجوة")</f>
        <v>OK</v>
      </c>
      <c r="C28" s="109" t="str">
        <f aca="false">IF(ABS(SUM(Originations!N11:Y11)-Assumptions!C77)&lt;0.5,"OK","فجوة")</f>
        <v>OK</v>
      </c>
      <c r="D28" s="109" t="str">
        <f aca="false">IF(ABS(SUM(Originations!Z11:AK11)-Assumptions!D77)&lt;0.5,"OK","فجوة")</f>
        <v>OK</v>
      </c>
      <c r="E28" s="109" t="str">
        <f aca="false">IF(ABS(SUM(Originations!AL11:AW11)-Assumptions!E77)&lt;0.5,"OK","فجوة")</f>
        <v>OK</v>
      </c>
      <c r="F28" s="109" t="str">
        <f aca="false">IF(ABS(SUM(Originations!AX11:BI11)-Assumptions!F77)&lt;0.5,"OK","فجوة")</f>
        <v>OK</v>
      </c>
    </row>
    <row r="29" customFormat="false" ht="33.75" hidden="false" customHeight="true" outlineLevel="0" collapsed="false">
      <c r="A29" s="109" t="s">
        <v>717</v>
      </c>
      <c r="B29" s="109" t="str">
        <f aca="false">IF(ABS('Cohort Fees'!B6-'Income Statement'!B10)&lt;1,"OK","ERROR")</f>
        <v>OK</v>
      </c>
      <c r="C29" s="109" t="str">
        <f aca="false">IF(ABS('Cohort Fees'!C6-'Income Statement'!C10)&lt;1,"OK","ERROR")</f>
        <v>OK</v>
      </c>
      <c r="D29" s="109" t="str">
        <f aca="false">IF(ABS('Cohort Fees'!D6-'Income Statement'!D10)&lt;1,"OK","ERROR")</f>
        <v>OK</v>
      </c>
      <c r="E29" s="109" t="str">
        <f aca="false">IF(ABS('Cohort Fees'!E6-'Income Statement'!E10)&lt;1,"OK","ERROR")</f>
        <v>OK</v>
      </c>
      <c r="F29" s="109" t="str">
        <f aca="false">IF(ABS('Cohort Fees'!F6-'Income Statement'!F10)&lt;1,"OK","ERROR")</f>
        <v>OK</v>
      </c>
    </row>
    <row r="30" customFormat="false" ht="33.75" hidden="false" customHeight="true" outlineLevel="0" collapsed="false">
      <c r="A30" s="109" t="s">
        <v>718</v>
      </c>
      <c r="B30" s="109" t="str">
        <f aca="false">IF(ABS(Opex!H19-'Income Statement'!B18)&lt;1,"OK","ERROR")</f>
        <v>OK</v>
      </c>
      <c r="C30" s="109" t="str">
        <f aca="false">IF(ABS(Opex!I19-'Income Statement'!C18)&lt;1,"OK","ERROR")</f>
        <v>OK</v>
      </c>
      <c r="D30" s="109" t="str">
        <f aca="false">IF(ABS(Opex!J19-'Income Statement'!D18)&lt;1,"OK","ERROR")</f>
        <v>OK</v>
      </c>
      <c r="E30" s="109" t="str">
        <f aca="false">IF(ABS(Opex!K19-'Income Statement'!E18)&lt;1,"OK","ERROR")</f>
        <v>OK</v>
      </c>
      <c r="F30" s="109" t="str">
        <f aca="false">IF(ABS(Opex!L19-'Income Statement'!F18)&lt;1,"OK","ERROR")</f>
        <v>OK</v>
      </c>
    </row>
    <row r="31" customFormat="false" ht="33.75" hidden="false" customHeight="true" outlineLevel="0" collapsed="false"/>
    <row r="32" customFormat="false" ht="15" hidden="false" customHeight="true" outlineLevel="0" collapsed="false"/>
    <row r="33" customFormat="false" ht="37.5" hidden="false" customHeight="true" outlineLevel="0" collapsed="false"/>
    <row r="34" customFormat="false" ht="37.5" hidden="false" customHeight="true" outlineLevel="0" collapsed="false"/>
    <row r="35" customFormat="false" ht="37.5" hidden="false" customHeight="true" outlineLevel="0" collapsed="false"/>
    <row r="36" customFormat="false" ht="37.5" hidden="false" customHeight="true" outlineLevel="0" collapsed="false"/>
    <row r="37" customFormat="false" ht="51.75" hidden="false" customHeight="true" outlineLevel="0" collapsed="false"/>
    <row r="38" customFormat="false" ht="37.5" hidden="false" customHeight="true" outlineLevel="0" collapsed="false"/>
    <row r="39" customFormat="false" ht="37.5" hidden="false" customHeight="true" outlineLevel="0" collapsed="false"/>
    <row r="40" customFormat="false" ht="37.5" hidden="false" customHeight="true" outlineLevel="0" collapsed="false"/>
    <row r="41" customFormat="false" ht="37.5" hidden="false" customHeight="true" outlineLevel="0" collapsed="false"/>
    <row r="42" customFormat="false" ht="37.5" hidden="false" customHeight="true" outlineLevel="0" collapsed="false"/>
    <row r="43" customFormat="false" ht="51.75" hidden="false" customHeight="true" outlineLevel="0" collapsed="false"/>
    <row r="44" customFormat="false" ht="15" hidden="false" customHeight="true" outlineLevel="0" collapsed="false"/>
    <row r="45" customFormat="false" ht="37.5" hidden="false" customHeight="true" outlineLevel="0" collapsed="false"/>
    <row r="46" customFormat="false" ht="37.5" hidden="false" customHeight="true" outlineLevel="0" collapsed="false"/>
    <row r="47" customFormat="false" ht="37.5" hidden="false" customHeight="true" outlineLevel="0" collapsed="false"/>
    <row r="48" customFormat="false" ht="37.5" hidden="false" customHeight="true" outlineLevel="0" collapsed="false"/>
    <row r="49" customFormat="false" ht="51.75" hidden="false" customHeight="true" outlineLevel="0" collapsed="false"/>
  </sheetData>
  <mergeCells count="1">
    <mergeCell ref="A1:F1"/>
  </mergeCells>
  <conditionalFormatting sqref="E4:E17">
    <cfRule type="containsText" priority="2" operator="containsText" aboveAverage="0" equalAverage="0" bottom="0" percent="0" rank="0" text="OK" dxfId="0">
      <formula>NOT(ISERROR(SEARCH("OK",E4)))</formula>
    </cfRule>
    <cfRule type="containsText" priority="3" operator="containsText" aboveAverage="0" equalAverage="0" bottom="0" percent="0" rank="0" text="FAIL" dxfId="2">
      <formula>NOT(ISERROR(SEARCH("FAIL",E4)))</formula>
    </cfRule>
    <cfRule type="containsText" priority="4" operator="containsText" aboveAverage="0" equalAverage="0" bottom="0" percent="0" rank="0" text="REVIEW" dxfId="1">
      <formula>NOT(ISERROR(SEARCH("REVIEW",E4)))</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50"/>
    <col collapsed="false" customWidth="true" hidden="false" outlineLevel="0" max="5" min="4" style="1" width="30"/>
    <col collapsed="false" customWidth="true" hidden="false" outlineLevel="0" max="26" min="6" style="1" width="14"/>
  </cols>
  <sheetData>
    <row r="1" customFormat="false" ht="30.75" hidden="false" customHeight="true" outlineLevel="0" collapsed="false">
      <c r="A1" s="11" t="s">
        <v>719</v>
      </c>
      <c r="B1" s="11"/>
      <c r="C1" s="11"/>
      <c r="D1" s="11"/>
      <c r="E1" s="11"/>
    </row>
    <row r="3" customFormat="false" ht="15" hidden="false" customHeight="true" outlineLevel="0" collapsed="false">
      <c r="A3" s="309" t="s">
        <v>720</v>
      </c>
      <c r="B3" s="91" t="s">
        <v>721</v>
      </c>
      <c r="C3" s="91" t="s">
        <v>567</v>
      </c>
      <c r="D3" s="91" t="s">
        <v>722</v>
      </c>
      <c r="E3" s="91" t="s">
        <v>723</v>
      </c>
    </row>
    <row r="4" customFormat="false" ht="42" hidden="false" customHeight="true" outlineLevel="0" collapsed="false">
      <c r="A4" s="310" t="s">
        <v>724</v>
      </c>
      <c r="B4" s="311" t="s">
        <v>725</v>
      </c>
      <c r="C4" s="310" t="s">
        <v>726</v>
      </c>
      <c r="D4" s="311" t="s">
        <v>727</v>
      </c>
      <c r="E4" s="311" t="s">
        <v>728</v>
      </c>
    </row>
    <row r="5" customFormat="false" ht="42" hidden="false" customHeight="true" outlineLevel="0" collapsed="false">
      <c r="A5" s="310" t="s">
        <v>729</v>
      </c>
      <c r="B5" s="311" t="s">
        <v>730</v>
      </c>
      <c r="C5" s="310" t="s">
        <v>731</v>
      </c>
      <c r="D5" s="311" t="s">
        <v>732</v>
      </c>
      <c r="E5" s="310" t="s">
        <v>733</v>
      </c>
    </row>
    <row r="6" customFormat="false" ht="42" hidden="false" customHeight="true" outlineLevel="0" collapsed="false">
      <c r="A6" s="310" t="s">
        <v>734</v>
      </c>
      <c r="B6" s="311" t="s">
        <v>735</v>
      </c>
      <c r="C6" s="311" t="s">
        <v>736</v>
      </c>
      <c r="D6" s="311" t="s">
        <v>737</v>
      </c>
      <c r="E6" s="311" t="s">
        <v>738</v>
      </c>
    </row>
    <row r="7" customFormat="false" ht="42" hidden="false" customHeight="true" outlineLevel="0" collapsed="false">
      <c r="A7" s="310" t="s">
        <v>739</v>
      </c>
      <c r="B7" s="311" t="s">
        <v>740</v>
      </c>
      <c r="C7" s="310" t="s">
        <v>741</v>
      </c>
      <c r="D7" s="311" t="s">
        <v>742</v>
      </c>
      <c r="E7" s="311" t="s">
        <v>743</v>
      </c>
    </row>
    <row r="8" customFormat="false" ht="42" hidden="false" customHeight="true" outlineLevel="0" collapsed="false">
      <c r="A8" s="310" t="s">
        <v>744</v>
      </c>
      <c r="B8" s="311" t="s">
        <v>745</v>
      </c>
      <c r="C8" s="311" t="s">
        <v>746</v>
      </c>
      <c r="D8" s="311" t="s">
        <v>742</v>
      </c>
      <c r="E8" s="311" t="s">
        <v>747</v>
      </c>
    </row>
    <row r="9" customFormat="false" ht="42" hidden="false" customHeight="true" outlineLevel="0" collapsed="false">
      <c r="A9" s="310" t="s">
        <v>748</v>
      </c>
      <c r="B9" s="311" t="s">
        <v>749</v>
      </c>
      <c r="C9" s="15" t="s">
        <v>750</v>
      </c>
      <c r="D9" s="311" t="s">
        <v>751</v>
      </c>
      <c r="E9" s="311" t="s">
        <v>752</v>
      </c>
    </row>
    <row r="10" customFormat="false" ht="42" hidden="false" customHeight="true" outlineLevel="0" collapsed="false">
      <c r="A10" s="310" t="s">
        <v>753</v>
      </c>
      <c r="B10" s="311" t="s">
        <v>754</v>
      </c>
      <c r="C10" s="311" t="s">
        <v>755</v>
      </c>
      <c r="D10" s="311" t="s">
        <v>742</v>
      </c>
      <c r="E10" s="311" t="s">
        <v>756</v>
      </c>
    </row>
    <row r="11" customFormat="false" ht="42" hidden="false" customHeight="true" outlineLevel="0" collapsed="false">
      <c r="A11" s="310" t="s">
        <v>757</v>
      </c>
      <c r="B11" s="311" t="s">
        <v>758</v>
      </c>
      <c r="C11" s="310" t="s">
        <v>759</v>
      </c>
      <c r="D11" s="311" t="s">
        <v>742</v>
      </c>
      <c r="E11" s="311" t="s">
        <v>760</v>
      </c>
    </row>
    <row r="12" customFormat="false" ht="42" hidden="false" customHeight="true" outlineLevel="0" collapsed="false">
      <c r="A12" s="310" t="s">
        <v>761</v>
      </c>
      <c r="B12" s="311" t="s">
        <v>762</v>
      </c>
      <c r="C12" s="310" t="s">
        <v>763</v>
      </c>
      <c r="D12" s="311" t="s">
        <v>764</v>
      </c>
      <c r="E12" s="310" t="s">
        <v>765</v>
      </c>
    </row>
    <row r="13" customFormat="false" ht="42" hidden="false" customHeight="true" outlineLevel="0" collapsed="false">
      <c r="A13" s="310" t="s">
        <v>766</v>
      </c>
      <c r="B13" s="311" t="s">
        <v>767</v>
      </c>
      <c r="C13" s="311" t="s">
        <v>768</v>
      </c>
      <c r="D13" s="310" t="s">
        <v>769</v>
      </c>
      <c r="E13" s="311" t="s">
        <v>770</v>
      </c>
    </row>
    <row r="14" customFormat="false" ht="42" hidden="false" customHeight="true" outlineLevel="0" collapsed="false">
      <c r="A14" s="310" t="s">
        <v>771</v>
      </c>
      <c r="B14" s="311" t="s">
        <v>270</v>
      </c>
      <c r="C14" s="311" t="s">
        <v>772</v>
      </c>
      <c r="D14" s="311" t="s">
        <v>773</v>
      </c>
      <c r="E14" s="311" t="s">
        <v>774</v>
      </c>
    </row>
    <row r="15" customFormat="false" ht="42" hidden="false" customHeight="true" outlineLevel="0" collapsed="false">
      <c r="A15" s="310" t="s">
        <v>775</v>
      </c>
      <c r="B15" s="311" t="s">
        <v>776</v>
      </c>
      <c r="C15" s="310" t="s">
        <v>777</v>
      </c>
      <c r="D15" s="311" t="s">
        <v>778</v>
      </c>
      <c r="E15" s="311" t="s">
        <v>779</v>
      </c>
    </row>
    <row r="16" customFormat="false" ht="42" hidden="false" customHeight="true" outlineLevel="0" collapsed="false">
      <c r="A16" s="310" t="s">
        <v>780</v>
      </c>
      <c r="B16" s="311" t="s">
        <v>781</v>
      </c>
      <c r="C16" s="310" t="s">
        <v>782</v>
      </c>
      <c r="D16" s="311" t="s">
        <v>783</v>
      </c>
      <c r="E16" s="311" t="s">
        <v>784</v>
      </c>
    </row>
    <row r="17" customFormat="false" ht="42" hidden="false" customHeight="true" outlineLevel="0" collapsed="false">
      <c r="A17" s="310" t="s">
        <v>785</v>
      </c>
      <c r="B17" s="311" t="s">
        <v>786</v>
      </c>
      <c r="C17" s="311" t="s">
        <v>787</v>
      </c>
      <c r="D17" s="311" t="s">
        <v>788</v>
      </c>
      <c r="E17" s="311" t="s">
        <v>789</v>
      </c>
    </row>
    <row r="18" customFormat="false" ht="42" hidden="false" customHeight="true" outlineLevel="0" collapsed="false">
      <c r="A18" s="310" t="s">
        <v>790</v>
      </c>
      <c r="B18" s="311" t="s">
        <v>791</v>
      </c>
      <c r="C18" s="311" t="s">
        <v>792</v>
      </c>
      <c r="D18" s="311" t="s">
        <v>793</v>
      </c>
      <c r="E18" s="311" t="s">
        <v>794</v>
      </c>
    </row>
    <row r="19" customFormat="false" ht="42" hidden="false" customHeight="true" outlineLevel="0" collapsed="false">
      <c r="A19" s="310" t="s">
        <v>795</v>
      </c>
      <c r="B19" s="311" t="s">
        <v>796</v>
      </c>
      <c r="C19" s="311" t="s">
        <v>797</v>
      </c>
      <c r="D19" s="311" t="s">
        <v>798</v>
      </c>
      <c r="E19" s="311" t="s">
        <v>799</v>
      </c>
    </row>
    <row r="20" customFormat="false" ht="45.75" hidden="false" customHeight="true" outlineLevel="0" collapsed="false">
      <c r="A20" s="310" t="s">
        <v>800</v>
      </c>
      <c r="B20" s="311" t="s">
        <v>801</v>
      </c>
      <c r="C20" s="311" t="s">
        <v>802</v>
      </c>
      <c r="D20" s="311" t="s">
        <v>803</v>
      </c>
      <c r="E20" s="311" t="s">
        <v>804</v>
      </c>
    </row>
    <row r="21" customFormat="false" ht="34.5" hidden="false" customHeight="true" outlineLevel="0" collapsed="false">
      <c r="A21" s="310" t="s">
        <v>805</v>
      </c>
      <c r="B21" s="311" t="s">
        <v>806</v>
      </c>
      <c r="C21" s="311" t="s">
        <v>807</v>
      </c>
      <c r="D21" s="311" t="s">
        <v>808</v>
      </c>
      <c r="E21" s="311" t="s">
        <v>809</v>
      </c>
    </row>
    <row r="22" customFormat="false" ht="45.75" hidden="false" customHeight="true" outlineLevel="0" collapsed="false">
      <c r="A22" s="310" t="s">
        <v>810</v>
      </c>
      <c r="B22" s="311" t="s">
        <v>811</v>
      </c>
      <c r="C22" s="311" t="s">
        <v>812</v>
      </c>
      <c r="D22" s="311" t="s">
        <v>813</v>
      </c>
      <c r="E22" s="311" t="s">
        <v>814</v>
      </c>
    </row>
    <row r="23" customFormat="false" ht="45.75" hidden="false" customHeight="true" outlineLevel="0" collapsed="false">
      <c r="A23" s="310" t="s">
        <v>815</v>
      </c>
      <c r="B23" s="311" t="s">
        <v>816</v>
      </c>
      <c r="C23" s="311" t="s">
        <v>731</v>
      </c>
      <c r="D23" s="311" t="s">
        <v>817</v>
      </c>
      <c r="E23" s="311" t="s">
        <v>818</v>
      </c>
    </row>
    <row r="24" customFormat="false" ht="15" hidden="false" customHeight="false" outlineLevel="0" collapsed="false">
      <c r="A24" s="1" t="s">
        <v>819</v>
      </c>
      <c r="B24" s="1" t="s">
        <v>820</v>
      </c>
      <c r="C24" s="1" t="s">
        <v>821</v>
      </c>
      <c r="D24" s="1" t="s">
        <v>822</v>
      </c>
      <c r="E24" s="1" t="s">
        <v>823</v>
      </c>
    </row>
    <row r="25" customFormat="false" ht="15" hidden="false" customHeight="false" outlineLevel="0" collapsed="false">
      <c r="A25" s="1" t="s">
        <v>824</v>
      </c>
      <c r="B25" s="1" t="s">
        <v>825</v>
      </c>
      <c r="C25" s="1" t="s">
        <v>826</v>
      </c>
      <c r="D25" s="1" t="s">
        <v>827</v>
      </c>
      <c r="E25" s="1" t="s">
        <v>828</v>
      </c>
    </row>
  </sheetData>
  <mergeCells count="1">
    <mergeCell ref="A1:E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4" min="1" style="1" width="36"/>
    <col collapsed="false" customWidth="true" hidden="false" outlineLevel="0" max="26" min="5" style="1" width="14"/>
  </cols>
  <sheetData>
    <row r="1" customFormat="false" ht="30.75" hidden="false" customHeight="true" outlineLevel="0" collapsed="false">
      <c r="A1" s="11" t="s">
        <v>829</v>
      </c>
      <c r="B1" s="11"/>
      <c r="C1" s="11"/>
      <c r="D1" s="11"/>
    </row>
    <row r="3" customFormat="false" ht="15" hidden="false" customHeight="true" outlineLevel="0" collapsed="false">
      <c r="A3" s="91" t="s">
        <v>83</v>
      </c>
      <c r="B3" s="91" t="s">
        <v>830</v>
      </c>
      <c r="C3" s="91" t="s">
        <v>831</v>
      </c>
      <c r="D3" s="91" t="s">
        <v>832</v>
      </c>
    </row>
    <row r="4" customFormat="false" ht="33.75" hidden="false" customHeight="true" outlineLevel="0" collapsed="false">
      <c r="A4" s="311" t="s">
        <v>204</v>
      </c>
      <c r="B4" s="310" t="s">
        <v>833</v>
      </c>
      <c r="C4" s="311" t="s">
        <v>834</v>
      </c>
      <c r="D4" s="311" t="s">
        <v>835</v>
      </c>
    </row>
    <row r="5" customFormat="false" ht="33.75" hidden="false" customHeight="true" outlineLevel="0" collapsed="false">
      <c r="A5" s="311" t="s">
        <v>836</v>
      </c>
      <c r="B5" s="310" t="s">
        <v>837</v>
      </c>
      <c r="C5" s="311" t="s">
        <v>838</v>
      </c>
      <c r="D5" s="311" t="s">
        <v>839</v>
      </c>
    </row>
    <row r="6" customFormat="false" ht="33.75" hidden="false" customHeight="true" outlineLevel="0" collapsed="false">
      <c r="A6" s="311" t="s">
        <v>208</v>
      </c>
      <c r="B6" s="310" t="s">
        <v>840</v>
      </c>
      <c r="C6" s="311" t="s">
        <v>841</v>
      </c>
      <c r="D6" s="311" t="s">
        <v>477</v>
      </c>
    </row>
    <row r="7" customFormat="false" ht="33.75" hidden="false" customHeight="true" outlineLevel="0" collapsed="false">
      <c r="A7" s="311" t="s">
        <v>842</v>
      </c>
      <c r="B7" s="310" t="s">
        <v>843</v>
      </c>
      <c r="C7" s="311" t="s">
        <v>844</v>
      </c>
      <c r="D7" s="311" t="s">
        <v>845</v>
      </c>
    </row>
    <row r="8" customFormat="false" ht="33.75" hidden="false" customHeight="true" outlineLevel="0" collapsed="false">
      <c r="A8" s="311" t="s">
        <v>767</v>
      </c>
      <c r="B8" s="310" t="s">
        <v>846</v>
      </c>
      <c r="C8" s="311" t="s">
        <v>847</v>
      </c>
      <c r="D8" s="311" t="s">
        <v>848</v>
      </c>
    </row>
    <row r="9" customFormat="false" ht="33.75" hidden="false" customHeight="true" outlineLevel="0" collapsed="false">
      <c r="A9" s="311" t="s">
        <v>849</v>
      </c>
      <c r="B9" s="310" t="s">
        <v>850</v>
      </c>
      <c r="C9" s="311" t="s">
        <v>851</v>
      </c>
      <c r="D9" s="311" t="s">
        <v>594</v>
      </c>
    </row>
    <row r="10" customFormat="false" ht="33.75" hidden="false" customHeight="true" outlineLevel="0" collapsed="false">
      <c r="A10" s="311" t="s">
        <v>852</v>
      </c>
      <c r="B10" s="310" t="s">
        <v>853</v>
      </c>
      <c r="C10" s="311" t="s">
        <v>854</v>
      </c>
      <c r="D10" s="310" t="s">
        <v>855</v>
      </c>
    </row>
    <row r="11" customFormat="false" ht="33.75" hidden="false" customHeight="true" outlineLevel="0" collapsed="false">
      <c r="A11" s="310" t="s">
        <v>856</v>
      </c>
      <c r="B11" s="310" t="s">
        <v>857</v>
      </c>
      <c r="C11" s="311" t="s">
        <v>858</v>
      </c>
      <c r="D11" s="311" t="s">
        <v>194</v>
      </c>
    </row>
    <row r="12" customFormat="false" ht="33.75" hidden="false" customHeight="true" outlineLevel="0" collapsed="false">
      <c r="A12" s="310" t="s">
        <v>859</v>
      </c>
      <c r="B12" s="310" t="s">
        <v>860</v>
      </c>
      <c r="C12" s="311" t="s">
        <v>861</v>
      </c>
      <c r="D12" s="311" t="s">
        <v>194</v>
      </c>
    </row>
    <row r="13" customFormat="false" ht="33.75" hidden="false" customHeight="true" outlineLevel="0" collapsed="false">
      <c r="A13" s="310" t="s">
        <v>862</v>
      </c>
      <c r="B13" s="310" t="s">
        <v>863</v>
      </c>
      <c r="C13" s="310" t="s">
        <v>864</v>
      </c>
      <c r="D13" s="310" t="s">
        <v>865</v>
      </c>
    </row>
    <row r="14" customFormat="false" ht="33.75" hidden="false" customHeight="true" outlineLevel="0" collapsed="false">
      <c r="A14" s="310" t="s">
        <v>865</v>
      </c>
      <c r="B14" s="310" t="s">
        <v>866</v>
      </c>
      <c r="C14" s="311" t="s">
        <v>867</v>
      </c>
      <c r="D14" s="311" t="s">
        <v>868</v>
      </c>
    </row>
    <row r="15" customFormat="false" ht="33.75" hidden="false" customHeight="true" outlineLevel="0" collapsed="false">
      <c r="A15" s="310" t="s">
        <v>675</v>
      </c>
      <c r="B15" s="310" t="s">
        <v>869</v>
      </c>
      <c r="C15" s="311" t="s">
        <v>870</v>
      </c>
      <c r="D15" s="311" t="s">
        <v>871</v>
      </c>
    </row>
    <row r="16" customFormat="false" ht="33.75" hidden="false" customHeight="true" outlineLevel="0" collapsed="false">
      <c r="A16" s="310" t="s">
        <v>677</v>
      </c>
      <c r="B16" s="310" t="s">
        <v>872</v>
      </c>
      <c r="C16" s="310" t="s">
        <v>873</v>
      </c>
      <c r="D16" s="311" t="s">
        <v>874</v>
      </c>
    </row>
    <row r="17" customFormat="false" ht="33.75" hidden="false" customHeight="true" outlineLevel="0" collapsed="false">
      <c r="A17" s="311" t="s">
        <v>875</v>
      </c>
      <c r="B17" s="310" t="s">
        <v>876</v>
      </c>
      <c r="C17" s="310" t="s">
        <v>877</v>
      </c>
      <c r="D17" s="311" t="s">
        <v>878</v>
      </c>
    </row>
    <row r="18" customFormat="false" ht="33.75" hidden="false" customHeight="true" outlineLevel="0" collapsed="false">
      <c r="A18" s="310" t="s">
        <v>879</v>
      </c>
      <c r="B18" s="310" t="s">
        <v>880</v>
      </c>
      <c r="C18" s="311" t="s">
        <v>881</v>
      </c>
      <c r="D18" s="311" t="s">
        <v>882</v>
      </c>
    </row>
    <row r="19" customFormat="false" ht="15" hidden="false" customHeight="true" outlineLevel="0" collapsed="false">
      <c r="A19" s="310" t="s">
        <v>883</v>
      </c>
      <c r="B19" s="310" t="s">
        <v>884</v>
      </c>
      <c r="C19" s="310" t="s">
        <v>885</v>
      </c>
      <c r="D19" s="311" t="s">
        <v>882</v>
      </c>
    </row>
    <row r="20" customFormat="false" ht="15" hidden="false" customHeight="true" outlineLevel="0" collapsed="false">
      <c r="A20" s="311" t="s">
        <v>652</v>
      </c>
      <c r="B20" s="310" t="s">
        <v>886</v>
      </c>
      <c r="C20" s="311" t="s">
        <v>887</v>
      </c>
      <c r="D20" s="311" t="s">
        <v>888</v>
      </c>
    </row>
    <row r="21" customFormat="false" ht="15" hidden="false" customHeight="true" outlineLevel="0" collapsed="false">
      <c r="A21" s="311" t="s">
        <v>889</v>
      </c>
      <c r="B21" s="310" t="s">
        <v>890</v>
      </c>
      <c r="C21" s="311" t="s">
        <v>891</v>
      </c>
      <c r="D21" s="311" t="s">
        <v>892</v>
      </c>
    </row>
    <row r="22" customFormat="false" ht="15" hidden="false" customHeight="true" outlineLevel="0" collapsed="false">
      <c r="A22" s="102" t="s">
        <v>649</v>
      </c>
      <c r="B22" s="1" t="s">
        <v>893</v>
      </c>
      <c r="C22" s="102" t="s">
        <v>894</v>
      </c>
      <c r="D22" s="102" t="s">
        <v>895</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s>
  <sheetData>
    <row r="1" customFormat="false" ht="30.75" hidden="false" customHeight="true" outlineLevel="0" collapsed="false">
      <c r="A1" s="280" t="s">
        <v>896</v>
      </c>
      <c r="B1" s="280"/>
      <c r="C1" s="280"/>
      <c r="D1" s="280"/>
      <c r="E1" s="280"/>
      <c r="F1" s="280"/>
    </row>
    <row r="2" customFormat="false" ht="15" hidden="false" customHeight="true" outlineLevel="0" collapsed="false"/>
    <row r="3" customFormat="false" ht="15" hidden="false" customHeight="true" outlineLevel="0" collapsed="false">
      <c r="A3" s="281" t="s">
        <v>83</v>
      </c>
      <c r="B3" s="281" t="s">
        <v>84</v>
      </c>
      <c r="C3" s="281" t="s">
        <v>85</v>
      </c>
      <c r="D3" s="281" t="s">
        <v>86</v>
      </c>
      <c r="E3" s="281" t="s">
        <v>87</v>
      </c>
      <c r="F3" s="281" t="s">
        <v>88</v>
      </c>
    </row>
    <row r="4" customFormat="false" ht="15" hidden="false" customHeight="true" outlineLevel="0" collapsed="false">
      <c r="A4" s="283" t="s">
        <v>897</v>
      </c>
      <c r="B4" s="284" t="n">
        <f aca="false">'Balance Sheet'!B19</f>
        <v>30000000</v>
      </c>
      <c r="C4" s="284" t="n">
        <f aca="false">'Balance Sheet'!C19</f>
        <v>75000000</v>
      </c>
      <c r="D4" s="284" t="n">
        <f aca="false">'Balance Sheet'!D19</f>
        <v>75000000</v>
      </c>
      <c r="E4" s="284" t="n">
        <f aca="false">'Balance Sheet'!E19</f>
        <v>75000000</v>
      </c>
      <c r="F4" s="284" t="n">
        <f aca="false">'Balance Sheet'!F19</f>
        <v>75000000</v>
      </c>
    </row>
    <row r="5" customFormat="false" ht="15" hidden="false" customHeight="true" outlineLevel="0" collapsed="false">
      <c r="A5" s="283" t="s">
        <v>517</v>
      </c>
      <c r="B5" s="284" t="n">
        <f aca="false">'Balance Sheet'!B20</f>
        <v>0</v>
      </c>
      <c r="C5" s="284" t="n">
        <f aca="false">'Balance Sheet'!C20</f>
        <v>462680.803677499</v>
      </c>
      <c r="D5" s="284" t="n">
        <f aca="false">'Balance Sheet'!D20</f>
        <v>4300246.3851805</v>
      </c>
      <c r="E5" s="284" t="n">
        <f aca="false">'Balance Sheet'!E20</f>
        <v>12297288.1124179</v>
      </c>
      <c r="F5" s="284" t="n">
        <f aca="false">'Balance Sheet'!F20</f>
        <v>26785287.0844617</v>
      </c>
    </row>
    <row r="6" customFormat="false" ht="15" hidden="false" customHeight="true" outlineLevel="0" collapsed="false">
      <c r="A6" s="283" t="s">
        <v>518</v>
      </c>
      <c r="B6" s="284" t="n">
        <f aca="false">'Balance Sheet'!B21</f>
        <v>-8166870.7627</v>
      </c>
      <c r="C6" s="284" t="n">
        <f aca="false">'Balance Sheet'!C21</f>
        <v>624064.507172481</v>
      </c>
      <c r="D6" s="284" t="n">
        <f aca="false">'Balance Sheet'!D21</f>
        <v>73537810.5557294</v>
      </c>
      <c r="E6" s="284" t="n">
        <f aca="false">'Balance Sheet'!E21</f>
        <v>225481603.37324</v>
      </c>
      <c r="F6" s="284" t="n">
        <f aca="false">'Balance Sheet'!F21</f>
        <v>500753583.842072</v>
      </c>
    </row>
    <row r="7" customFormat="false" ht="15" hidden="false" customHeight="true" outlineLevel="0" collapsed="false">
      <c r="A7" s="283" t="s">
        <v>221</v>
      </c>
      <c r="B7" s="284" t="n">
        <f aca="false">SUM(B4:B6)</f>
        <v>21833129.2373</v>
      </c>
      <c r="C7" s="284" t="n">
        <f aca="false">SUM(C4:C6)</f>
        <v>76086745.31085</v>
      </c>
      <c r="D7" s="284" t="n">
        <f aca="false">SUM(D4:D6)</f>
        <v>152838056.94091</v>
      </c>
      <c r="E7" s="284" t="n">
        <f aca="false">SUM(E4:E6)</f>
        <v>312778891.485658</v>
      </c>
      <c r="F7" s="284" t="n">
        <f aca="false">SUM(F4:F6)</f>
        <v>602538870.926534</v>
      </c>
    </row>
    <row r="8" customFormat="false" ht="15" hidden="false" customHeight="true" outlineLevel="0" collapsed="false">
      <c r="A8" s="283" t="s">
        <v>898</v>
      </c>
      <c r="B8" s="284" t="n">
        <f aca="false">'Balance Sheet'!B10*60%</f>
        <v>2581200</v>
      </c>
      <c r="C8" s="284" t="n">
        <f aca="false">'Balance Sheet'!C10*60%</f>
        <v>2881200</v>
      </c>
      <c r="D8" s="284" t="n">
        <f aca="false">'Balance Sheet'!D10*60%</f>
        <v>2881200</v>
      </c>
      <c r="E8" s="284" t="n">
        <f aca="false">'Balance Sheet'!E10*60%</f>
        <v>2881200</v>
      </c>
      <c r="F8" s="284" t="n">
        <f aca="false">'Balance Sheet'!F10*60%</f>
        <v>2881200</v>
      </c>
    </row>
    <row r="9" customFormat="false" ht="15" hidden="false" customHeight="true" outlineLevel="0" collapsed="false">
      <c r="A9" s="283" t="s">
        <v>899</v>
      </c>
      <c r="B9" s="284" t="n">
        <f aca="false">B8</f>
        <v>2581200</v>
      </c>
      <c r="C9" s="284" t="n">
        <f aca="false">C8</f>
        <v>2881200</v>
      </c>
      <c r="D9" s="284" t="n">
        <f aca="false">D8</f>
        <v>2881200</v>
      </c>
      <c r="E9" s="284" t="n">
        <f aca="false">E8</f>
        <v>2881200</v>
      </c>
      <c r="F9" s="284" t="n">
        <f aca="false">F8</f>
        <v>2881200</v>
      </c>
    </row>
    <row r="10" customFormat="false" ht="15" hidden="false" customHeight="true" outlineLevel="0" collapsed="false">
      <c r="A10" s="283" t="s">
        <v>900</v>
      </c>
      <c r="B10" s="284" t="n">
        <f aca="false">B7-B9</f>
        <v>19251929.2373</v>
      </c>
      <c r="C10" s="284" t="n">
        <f aca="false">C7-C9</f>
        <v>73205545.31085</v>
      </c>
      <c r="D10" s="284" t="n">
        <f aca="false">D7-D9</f>
        <v>149956856.94091</v>
      </c>
      <c r="E10" s="284" t="n">
        <f aca="false">E7-E9</f>
        <v>309897691.485658</v>
      </c>
      <c r="F10" s="284" t="n">
        <f aca="false">F7-F9</f>
        <v>599657670.926534</v>
      </c>
    </row>
    <row r="11" customFormat="false" ht="15" hidden="false" customHeight="true" outlineLevel="0" collapsed="false">
      <c r="A11" s="283"/>
      <c r="B11" s="284"/>
      <c r="C11" s="284"/>
      <c r="D11" s="284"/>
      <c r="E11" s="284"/>
      <c r="F11" s="284"/>
    </row>
    <row r="12" customFormat="false" ht="15" hidden="false" customHeight="true" outlineLevel="0" collapsed="false">
      <c r="A12" s="283" t="s">
        <v>901</v>
      </c>
      <c r="B12" s="284" t="n">
        <f aca="false">'Balance Sheet'!B14</f>
        <v>0</v>
      </c>
      <c r="C12" s="284" t="n">
        <f aca="false">'Balance Sheet'!C14</f>
        <v>370000000</v>
      </c>
      <c r="D12" s="284" t="n">
        <f aca="false">'Balance Sheet'!D14</f>
        <v>685000000</v>
      </c>
      <c r="E12" s="284" t="n">
        <f aca="false">'Balance Sheet'!E14</f>
        <v>1335000000</v>
      </c>
      <c r="F12" s="284" t="n">
        <f aca="false">'Balance Sheet'!F14</f>
        <v>2600000000</v>
      </c>
    </row>
    <row r="13" customFormat="false" ht="15" hidden="false" customHeight="true" outlineLevel="0" collapsed="false">
      <c r="A13" s="283" t="s">
        <v>902</v>
      </c>
      <c r="B13" s="298" t="n">
        <f aca="false">IFERROR(B12/B10,0)</f>
        <v>0</v>
      </c>
      <c r="C13" s="298" t="n">
        <f aca="false">IFERROR(C12/C10,0)</f>
        <v>5.05426192003465</v>
      </c>
      <c r="D13" s="298" t="n">
        <f aca="false">IFERROR(D12/D10,0)</f>
        <v>4.56798051102073</v>
      </c>
      <c r="E13" s="298" t="n">
        <f aca="false">IFERROR(E12/E10,0)</f>
        <v>4.30787332942035</v>
      </c>
      <c r="F13" s="298" t="n">
        <f aca="false">IFERROR(F12/F10,0)</f>
        <v>4.33580712139099</v>
      </c>
    </row>
    <row r="14" customFormat="false" ht="15" hidden="false" customHeight="true" outlineLevel="0" collapsed="false">
      <c r="A14" s="283" t="s">
        <v>903</v>
      </c>
      <c r="B14" s="298" t="n">
        <f aca="false">Assumptions!B51</f>
        <v>4</v>
      </c>
      <c r="C14" s="298" t="n">
        <f aca="false">Assumptions!C51</f>
        <v>4</v>
      </c>
      <c r="D14" s="298" t="n">
        <f aca="false">Assumptions!D51</f>
        <v>9</v>
      </c>
      <c r="E14" s="298" t="n">
        <f aca="false">Assumptions!E51</f>
        <v>9</v>
      </c>
      <c r="F14" s="298" t="n">
        <f aca="false">Assumptions!F51</f>
        <v>9</v>
      </c>
    </row>
    <row r="15" customFormat="false" ht="15" hidden="false" customHeight="true" outlineLevel="0" collapsed="false">
      <c r="A15" s="283" t="s">
        <v>904</v>
      </c>
      <c r="B15" s="298" t="n">
        <f aca="false">B14-B13</f>
        <v>4</v>
      </c>
      <c r="C15" s="298" t="n">
        <f aca="false">C14-C13</f>
        <v>-1.05426192003465</v>
      </c>
      <c r="D15" s="298" t="n">
        <f aca="false">D14-D13</f>
        <v>4.43201948897927</v>
      </c>
      <c r="E15" s="298" t="n">
        <f aca="false">E14-E13</f>
        <v>4.69212667057966</v>
      </c>
      <c r="F15" s="298" t="n">
        <f aca="false">F14-F13</f>
        <v>4.66419287860901</v>
      </c>
    </row>
    <row r="16" customFormat="false" ht="15" hidden="false" customHeight="true" outlineLevel="0" collapsed="false">
      <c r="A16" s="283" t="s">
        <v>905</v>
      </c>
      <c r="B16" s="283" t="str">
        <f aca="false">IF(B13&lt;=B14,"متوافق","فجوة")</f>
        <v>متوافق</v>
      </c>
      <c r="C16" s="283" t="str">
        <f aca="false">IF(C13&lt;=C14,"متوافق","فجوة")</f>
        <v>فجوة</v>
      </c>
      <c r="D16" s="283" t="str">
        <f aca="false">IF(D13&lt;=D14,"متوافق","فجوة")</f>
        <v>متوافق</v>
      </c>
      <c r="E16" s="283" t="str">
        <f aca="false">IF(E13&lt;=E14,"متوافق","فجوة")</f>
        <v>متوافق</v>
      </c>
      <c r="F16" s="283" t="str">
        <f aca="false">IF(F13&lt;=F14,"متوافق","فجوة")</f>
        <v>متوافق</v>
      </c>
    </row>
    <row r="17" customFormat="false" ht="15" hidden="false" customHeight="true" outlineLevel="0" collapsed="false">
      <c r="A17" s="286"/>
      <c r="B17" s="286"/>
      <c r="C17" s="286"/>
      <c r="D17" s="286"/>
      <c r="E17" s="286"/>
      <c r="F17" s="286"/>
    </row>
    <row r="18" customFormat="false" ht="15" hidden="false" customHeight="true" outlineLevel="0" collapsed="false">
      <c r="A18" s="288" t="s">
        <v>906</v>
      </c>
      <c r="B18" s="288"/>
      <c r="C18" s="288"/>
      <c r="D18" s="288"/>
      <c r="E18" s="288"/>
      <c r="F18" s="288"/>
    </row>
    <row r="19" customFormat="false" ht="15" hidden="false" customHeight="true" outlineLevel="0" collapsed="false">
      <c r="A19" s="283" t="s">
        <v>907</v>
      </c>
      <c r="B19" s="284" t="n">
        <f aca="false">'Balance Sheet'!B8</f>
        <v>20052134.9673</v>
      </c>
      <c r="C19" s="284" t="n">
        <f aca="false">'Balance Sheet'!C8</f>
        <v>439024153.594</v>
      </c>
      <c r="D19" s="284" t="n">
        <f aca="false">'Balance Sheet'!D8</f>
        <v>840564492.1564</v>
      </c>
      <c r="E19" s="284" t="n">
        <f aca="false">'Balance Sheet'!E8</f>
        <v>1617413695.29384</v>
      </c>
      <c r="F19" s="284" t="n">
        <f aca="false">'Balance Sheet'!F8</f>
        <v>3031698217.1763</v>
      </c>
    </row>
    <row r="20" customFormat="false" ht="15" hidden="false" customHeight="true" outlineLevel="0" collapsed="false">
      <c r="A20" s="283" t="s">
        <v>908</v>
      </c>
      <c r="B20" s="284" t="n">
        <f aca="false">'Balance Sheet'!B9+'Balance Sheet'!B10</f>
        <v>4560076.28</v>
      </c>
      <c r="C20" s="284" t="n">
        <f aca="false">'Balance Sheet'!C9+'Balance Sheet'!C10</f>
        <v>5060076.28</v>
      </c>
      <c r="D20" s="284" t="n">
        <f aca="false">'Balance Sheet'!D9+'Balance Sheet'!D10</f>
        <v>5060076.28</v>
      </c>
      <c r="E20" s="284" t="n">
        <f aca="false">'Balance Sheet'!E9+'Balance Sheet'!E10</f>
        <v>5060076.28</v>
      </c>
      <c r="F20" s="284" t="n">
        <f aca="false">'Balance Sheet'!F9+'Balance Sheet'!F10</f>
        <v>5060076.28</v>
      </c>
    </row>
    <row r="21" customFormat="false" ht="15" hidden="false" customHeight="true" outlineLevel="0" collapsed="false">
      <c r="A21" s="283" t="s">
        <v>909</v>
      </c>
      <c r="B21" s="284" t="n">
        <f aca="false">MIN(ABS('Income Statement'!B9-'Income Statement'!B15),2.25%*AVERAGE(0,'Balance Sheet'!B8))</f>
        <v>225586.518382125</v>
      </c>
      <c r="C21" s="284" t="n">
        <f aca="false">MIN(ABS('Income Statement'!C9-'Income Statement'!C15),2.25%*AVERAGE('Balance Sheet'!B8,'Balance Sheet'!C8))</f>
        <v>5164608.24631462</v>
      </c>
      <c r="D21" s="284" t="n">
        <f aca="false">MIN(ABS('Income Statement'!D9-'Income Statement'!D15),2.25%*AVERAGE('Balance Sheet'!C8,'Balance Sheet'!D8))</f>
        <v>14395372.264692</v>
      </c>
      <c r="E21" s="284" t="n">
        <f aca="false">MIN(ABS('Income Statement'!E9-'Income Statement'!E15),2.25%*AVERAGE('Balance Sheet'!D8,'Balance Sheet'!E8))</f>
        <v>27652254.6088152</v>
      </c>
      <c r="F21" s="284" t="n">
        <f aca="false">MIN(ABS('Income Statement'!F9-'Income Statement'!F15),2.25%*AVERAGE('Balance Sheet'!E8,'Balance Sheet'!F8))</f>
        <v>52302509.0152891</v>
      </c>
    </row>
    <row r="22" customFormat="false" ht="15" hidden="false" customHeight="true" outlineLevel="0" collapsed="false">
      <c r="A22" s="283" t="s">
        <v>910</v>
      </c>
      <c r="B22" s="284" t="n">
        <f aca="false">MAX('Income Statement'!B10+'Income Statement'!B13,'Income Statement'!B17+'Income Statement'!B18)</f>
        <v>15591312</v>
      </c>
      <c r="C22" s="284" t="n">
        <f aca="false">MAX('Income Statement'!C10+'Income Statement'!C13,'Income Statement'!C17+'Income Statement'!C18)</f>
        <v>36925000</v>
      </c>
      <c r="D22" s="284" t="n">
        <f aca="false">MAX('Income Statement'!D10+'Income Statement'!D13,'Income Statement'!D17+'Income Statement'!D18)</f>
        <v>47600000</v>
      </c>
      <c r="E22" s="284" t="n">
        <f aca="false">MAX('Income Statement'!E10+'Income Statement'!E13,'Income Statement'!E17+'Income Statement'!E18)</f>
        <v>91800000</v>
      </c>
      <c r="F22" s="284" t="n">
        <f aca="false">MAX('Income Statement'!F10+'Income Statement'!F13,'Income Statement'!F17+'Income Statement'!F18)</f>
        <v>170000000</v>
      </c>
    </row>
    <row r="23" customFormat="false" ht="15" hidden="false" customHeight="true" outlineLevel="0" collapsed="false">
      <c r="A23" s="283" t="s">
        <v>911</v>
      </c>
      <c r="B23" s="284" t="n">
        <f aca="false">0</f>
        <v>0</v>
      </c>
      <c r="C23" s="284" t="n">
        <f aca="false">0</f>
        <v>0</v>
      </c>
      <c r="D23" s="284" t="n">
        <f aca="false">0</f>
        <v>0</v>
      </c>
      <c r="E23" s="284" t="n">
        <f aca="false">0</f>
        <v>0</v>
      </c>
      <c r="F23" s="284" t="n">
        <f aca="false">0</f>
        <v>0</v>
      </c>
    </row>
    <row r="24" customFormat="false" ht="15" hidden="false" customHeight="true" outlineLevel="0" collapsed="false">
      <c r="A24" s="283" t="s">
        <v>912</v>
      </c>
      <c r="B24" s="284" t="n">
        <f aca="false">SUM(B21:B23)</f>
        <v>15816898.5183821</v>
      </c>
      <c r="C24" s="284" t="n">
        <f aca="false">SUM(C21:C23)</f>
        <v>42089608.2463146</v>
      </c>
      <c r="D24" s="284" t="n">
        <f aca="false">SUM(D21:D23)</f>
        <v>61995372.264692</v>
      </c>
      <c r="E24" s="284" t="n">
        <f aca="false">SUM(E21:E23)</f>
        <v>119452254.608815</v>
      </c>
      <c r="F24" s="284" t="n">
        <f aca="false">SUM(F21:F23)</f>
        <v>222302509.015289</v>
      </c>
    </row>
    <row r="25" customFormat="false" ht="15" hidden="false" customHeight="true" outlineLevel="0" collapsed="false">
      <c r="A25" s="283" t="s">
        <v>913</v>
      </c>
      <c r="B25" s="289" t="n">
        <f aca="false">'Basel III'!B96</f>
        <v>0.12</v>
      </c>
      <c r="C25" s="289" t="n">
        <f aca="false">'Basel III'!C96</f>
        <v>0.12</v>
      </c>
      <c r="D25" s="289" t="n">
        <f aca="false">'Basel III'!D96</f>
        <v>0.12</v>
      </c>
      <c r="E25" s="289" t="n">
        <f aca="false">'Basel III'!E96</f>
        <v>0.12</v>
      </c>
      <c r="F25" s="289" t="n">
        <f aca="false">'Basel III'!F96</f>
        <v>0.12</v>
      </c>
    </row>
    <row r="26" customFormat="false" ht="15" hidden="false" customHeight="true" outlineLevel="0" collapsed="false">
      <c r="A26" s="283" t="s">
        <v>914</v>
      </c>
      <c r="B26" s="298" t="n">
        <f aca="false">1</f>
        <v>1</v>
      </c>
      <c r="C26" s="298" t="n">
        <f aca="false">1</f>
        <v>1</v>
      </c>
      <c r="D26" s="298" t="n">
        <f aca="false">1</f>
        <v>1</v>
      </c>
      <c r="E26" s="298" t="n">
        <f aca="false">1</f>
        <v>1</v>
      </c>
      <c r="F26" s="298" t="n">
        <f aca="false">1</f>
        <v>1</v>
      </c>
    </row>
    <row r="27" customFormat="false" ht="15" hidden="false" customHeight="true" outlineLevel="0" collapsed="false">
      <c r="A27" s="283" t="s">
        <v>915</v>
      </c>
      <c r="B27" s="303" t="n">
        <f aca="false">Assumptions!B97</f>
        <v>12.5</v>
      </c>
      <c r="C27" s="303" t="n">
        <f aca="false">Assumptions!C97</f>
        <v>12.5</v>
      </c>
      <c r="D27" s="303" t="n">
        <f aca="false">Assumptions!D97</f>
        <v>12.5</v>
      </c>
      <c r="E27" s="303" t="n">
        <f aca="false">Assumptions!E97</f>
        <v>12.5</v>
      </c>
      <c r="F27" s="303" t="n">
        <f aca="false">Assumptions!F97</f>
        <v>12.5</v>
      </c>
    </row>
    <row r="28" customFormat="false" ht="15" hidden="false" customHeight="true" outlineLevel="0" collapsed="false">
      <c r="A28" s="283" t="s">
        <v>916</v>
      </c>
      <c r="B28" s="284" t="n">
        <f aca="false">B24*B25*B26*B27</f>
        <v>23725347.7775732</v>
      </c>
      <c r="C28" s="284" t="n">
        <f aca="false">C24*C25*C26*C27</f>
        <v>63134412.3694719</v>
      </c>
      <c r="D28" s="284" t="n">
        <f aca="false">D24*D25*D26*D27</f>
        <v>92993058.397038</v>
      </c>
      <c r="E28" s="284" t="n">
        <f aca="false">E24*E25*E26*E27</f>
        <v>179178381.913223</v>
      </c>
      <c r="F28" s="284" t="n">
        <f aca="false">F24*F25*F26*F27</f>
        <v>333453763.522934</v>
      </c>
    </row>
    <row r="29" customFormat="false" ht="15" hidden="false" customHeight="true" outlineLevel="0" collapsed="false">
      <c r="A29" s="283" t="s">
        <v>917</v>
      </c>
      <c r="B29" s="284" t="n">
        <f aca="false">0</f>
        <v>0</v>
      </c>
      <c r="C29" s="284" t="n">
        <f aca="false">0</f>
        <v>0</v>
      </c>
      <c r="D29" s="284" t="n">
        <f aca="false">0</f>
        <v>0</v>
      </c>
      <c r="E29" s="284" t="n">
        <f aca="false">0</f>
        <v>0</v>
      </c>
      <c r="F29" s="284" t="n">
        <f aca="false">0</f>
        <v>0</v>
      </c>
    </row>
    <row r="30" customFormat="false" ht="15" hidden="false" customHeight="true" outlineLevel="0" collapsed="false">
      <c r="A30" s="283" t="s">
        <v>918</v>
      </c>
      <c r="B30" s="284" t="n">
        <f aca="false">SUM(B19:B20,B28:B29)</f>
        <v>48337559.0248732</v>
      </c>
      <c r="C30" s="284" t="n">
        <f aca="false">SUM(C19:C20,C28:C29)</f>
        <v>507218642.243472</v>
      </c>
      <c r="D30" s="284" t="n">
        <f aca="false">SUM(D19:D20,D28:D29)</f>
        <v>938617626.833438</v>
      </c>
      <c r="E30" s="284" t="n">
        <f aca="false">SUM(E19:E20,E28:E29)</f>
        <v>1801652153.48706</v>
      </c>
      <c r="F30" s="284" t="n">
        <f aca="false">SUM(F19:F20,F28:F29)</f>
        <v>3370212056.97924</v>
      </c>
    </row>
    <row r="31" customFormat="false" ht="15" hidden="false" customHeight="true" outlineLevel="0" collapsed="false">
      <c r="A31" s="283" t="s">
        <v>919</v>
      </c>
      <c r="B31" s="289" t="n">
        <f aca="false">IFERROR(B10/B30,0)</f>
        <v>0.398280956375838</v>
      </c>
      <c r="C31" s="289" t="n">
        <f aca="false">IFERROR(C10/C30,0)</f>
        <v>0.144327394961383</v>
      </c>
      <c r="D31" s="289" t="n">
        <f aca="false">IFERROR(D10/D30,0)</f>
        <v>0.159763521005685</v>
      </c>
      <c r="E31" s="289" t="n">
        <f aca="false">IFERROR(E10/E30,0)</f>
        <v>0.172007504825977</v>
      </c>
      <c r="F31" s="289" t="n">
        <f aca="false">IFERROR(F10/F30,0)</f>
        <v>0.177928765545992</v>
      </c>
    </row>
    <row r="32" customFormat="false" ht="15" hidden="false" customHeight="true" outlineLevel="0" collapsed="false">
      <c r="A32" s="283" t="s">
        <v>286</v>
      </c>
      <c r="B32" s="289" t="n">
        <f aca="false">Assumptions!B95</f>
        <v>0.12</v>
      </c>
      <c r="C32" s="289" t="n">
        <f aca="false">Assumptions!C95</f>
        <v>0.12</v>
      </c>
      <c r="D32" s="289" t="n">
        <f aca="false">Assumptions!D95</f>
        <v>0.12</v>
      </c>
      <c r="E32" s="289" t="n">
        <f aca="false">Assumptions!E95</f>
        <v>0.12</v>
      </c>
      <c r="F32" s="289" t="n">
        <f aca="false">Assumptions!F95</f>
        <v>0.12</v>
      </c>
    </row>
    <row r="33" customFormat="false" ht="15" hidden="false" customHeight="true" outlineLevel="0" collapsed="false">
      <c r="A33" s="283" t="s">
        <v>920</v>
      </c>
      <c r="B33" s="284" t="n">
        <f aca="false">B10-B30*B32</f>
        <v>13451422.1543152</v>
      </c>
      <c r="C33" s="284" t="n">
        <f aca="false">C10-C30*C32</f>
        <v>12339308.2416333</v>
      </c>
      <c r="D33" s="284" t="n">
        <f aca="false">D10-D30*D32</f>
        <v>37322741.7208974</v>
      </c>
      <c r="E33" s="284" t="n">
        <f aca="false">E10-E30*E32</f>
        <v>93699433.0672104</v>
      </c>
      <c r="F33" s="284" t="n">
        <f aca="false">F10-F30*F32</f>
        <v>195232224.089025</v>
      </c>
    </row>
    <row r="34" customFormat="false" ht="15" hidden="false" customHeight="true" outlineLevel="0" collapsed="false">
      <c r="A34" s="286" t="s">
        <v>921</v>
      </c>
      <c r="B34" s="287" t="s">
        <v>922</v>
      </c>
      <c r="C34" s="287" t="s">
        <v>922</v>
      </c>
      <c r="D34" s="287" t="s">
        <v>922</v>
      </c>
      <c r="E34" s="287" t="s">
        <v>922</v>
      </c>
      <c r="F34" s="287" t="s">
        <v>922</v>
      </c>
    </row>
    <row r="35" customFormat="false" ht="15" hidden="false" customHeight="true" outlineLevel="0" collapsed="false">
      <c r="A35" s="288" t="s">
        <v>923</v>
      </c>
      <c r="B35" s="288"/>
      <c r="C35" s="288"/>
      <c r="D35" s="288"/>
      <c r="E35" s="288"/>
      <c r="F35" s="288"/>
    </row>
    <row r="36" customFormat="false" ht="15" hidden="false" customHeight="true" outlineLevel="0" collapsed="false">
      <c r="A36" s="283" t="s">
        <v>924</v>
      </c>
      <c r="B36" s="284" t="n">
        <f aca="false">B10*30%</f>
        <v>5775578.77119</v>
      </c>
      <c r="C36" s="284" t="n">
        <f aca="false">C10*30%</f>
        <v>21961663.593255</v>
      </c>
      <c r="D36" s="284" t="n">
        <f aca="false">D10*30%</f>
        <v>44987057.082273</v>
      </c>
      <c r="E36" s="284" t="n">
        <f aca="false">E10*30%</f>
        <v>92969307.4456974</v>
      </c>
      <c r="F36" s="284" t="n">
        <f aca="false">F10*30%</f>
        <v>179897301.27796</v>
      </c>
    </row>
    <row r="37" customFormat="false" ht="15" hidden="false" customHeight="true" outlineLevel="0" collapsed="false">
      <c r="A37" s="283" t="s">
        <v>925</v>
      </c>
      <c r="B37" s="284" t="n">
        <f aca="false">B10*25%</f>
        <v>4812982.309325</v>
      </c>
      <c r="C37" s="284" t="n">
        <f aca="false">C10*25%</f>
        <v>18301386.3277125</v>
      </c>
      <c r="D37" s="284" t="n">
        <f aca="false">D10*25%</f>
        <v>37489214.2352275</v>
      </c>
      <c r="E37" s="284" t="n">
        <f aca="false">E10*25%</f>
        <v>77474422.8714145</v>
      </c>
      <c r="F37" s="284" t="n">
        <f aca="false">F10*25%</f>
        <v>149914417.731633</v>
      </c>
    </row>
    <row r="38" customFormat="false" ht="37.5" hidden="false" customHeight="true" outlineLevel="0" collapsed="false">
      <c r="A38" s="283" t="s">
        <v>926</v>
      </c>
      <c r="B38" s="284" t="s">
        <v>927</v>
      </c>
      <c r="C38" s="284" t="s">
        <v>927</v>
      </c>
      <c r="D38" s="284" t="s">
        <v>927</v>
      </c>
      <c r="E38" s="284" t="s">
        <v>927</v>
      </c>
      <c r="F38" s="284" t="s">
        <v>927</v>
      </c>
    </row>
    <row r="39" customFormat="false" ht="37.5" hidden="false" customHeight="true" outlineLevel="0" collapsed="false">
      <c r="A39" s="283" t="s">
        <v>928</v>
      </c>
      <c r="B39" s="283" t="str">
        <f aca="false">IF(ISNUMBER(B38),IF(B38&lt;=B36,"متوافق","فجوة"),"بيانات معلقة - سجل تركز العملاء/الأطراف المرتبطة مطلوب")</f>
        <v>بيانات معلقة - سجل تركز العملاء/الأطراف المرتبطة مطلوب</v>
      </c>
      <c r="C39" s="283" t="str">
        <f aca="false">IF(ISNUMBER(C38),IF(C38&lt;=C36,"متوافق","فجوة"),"بيانات معلقة - سجل تركز العملاء/الأطراف المرتبطة مطلوب")</f>
        <v>بيانات معلقة - سجل تركز العملاء/الأطراف المرتبطة مطلوب</v>
      </c>
      <c r="D39" s="283" t="str">
        <f aca="false">IF(ISNUMBER(D38),IF(D38&lt;=D36,"متوافق","فجوة"),"بيانات معلقة - سجل تركز العملاء/الأطراف المرتبطة مطلوب")</f>
        <v>بيانات معلقة - سجل تركز العملاء/الأطراف المرتبطة مطلوب</v>
      </c>
      <c r="E39" s="283" t="str">
        <f aca="false">IF(ISNUMBER(E38),IF(E38&lt;=E36,"متوافق","فجوة"),"بيانات معلقة - سجل تركز العملاء/الأطراف المرتبطة مطلوب")</f>
        <v>بيانات معلقة - سجل تركز العملاء/الأطراف المرتبطة مطلوب</v>
      </c>
      <c r="F39" s="283" t="str">
        <f aca="false">IF(ISNUMBER(F38),IF(F38&lt;=F36,"متوافق","فجوة"),"بيانات معلقة - سجل تركز العملاء/الأطراف المرتبطة مطلوب")</f>
        <v>بيانات معلقة - سجل تركز العملاء/الأطراف المرتبطة مطلوب</v>
      </c>
    </row>
    <row r="40" customFormat="false" ht="37.5" hidden="false" customHeight="true" outlineLevel="0" collapsed="false"/>
    <row r="41" customFormat="false" ht="51.75" hidden="false" customHeight="true" outlineLevel="0" collapsed="false">
      <c r="A41" s="60" t="s">
        <v>929</v>
      </c>
      <c r="B41" s="60"/>
      <c r="C41" s="60"/>
      <c r="D41" s="60"/>
      <c r="E41" s="60"/>
      <c r="F41" s="60"/>
    </row>
    <row r="42" customFormat="false" ht="37.5" hidden="false" customHeight="true" outlineLevel="0" collapsed="false"/>
    <row r="43" customFormat="false" ht="37.5" hidden="false" customHeight="true" outlineLevel="0" collapsed="false">
      <c r="A43" s="288" t="s">
        <v>930</v>
      </c>
      <c r="B43" s="288"/>
      <c r="C43" s="288"/>
      <c r="D43" s="288"/>
      <c r="E43" s="288"/>
      <c r="F43" s="288"/>
    </row>
    <row r="44" customFormat="false" ht="15" hidden="false" customHeight="true" outlineLevel="0" collapsed="false">
      <c r="A44" s="281" t="s">
        <v>83</v>
      </c>
      <c r="B44" s="281" t="s">
        <v>84</v>
      </c>
      <c r="C44" s="281" t="s">
        <v>85</v>
      </c>
      <c r="D44" s="281" t="s">
        <v>86</v>
      </c>
      <c r="E44" s="281" t="s">
        <v>87</v>
      </c>
      <c r="F44" s="281" t="s">
        <v>88</v>
      </c>
    </row>
    <row r="45" customFormat="false" ht="15" hidden="false" customHeight="true" outlineLevel="0" collapsed="false">
      <c r="A45" s="283" t="s">
        <v>931</v>
      </c>
      <c r="B45" s="284" t="n">
        <f aca="false">B10</f>
        <v>19251929.2373</v>
      </c>
      <c r="C45" s="284" t="n">
        <f aca="false">C10</f>
        <v>73205545.31085</v>
      </c>
      <c r="D45" s="284" t="n">
        <f aca="false">D10</f>
        <v>149956856.94091</v>
      </c>
      <c r="E45" s="284" t="n">
        <f aca="false">E10</f>
        <v>309897691.485658</v>
      </c>
      <c r="F45" s="284" t="n">
        <f aca="false">F10</f>
        <v>599657670.926534</v>
      </c>
    </row>
    <row r="46" customFormat="false" ht="15" hidden="false" customHeight="true" outlineLevel="0" collapsed="false">
      <c r="A46" s="283" t="s">
        <v>932</v>
      </c>
      <c r="B46" s="284" t="n">
        <v>0</v>
      </c>
      <c r="C46" s="284" t="n">
        <v>0</v>
      </c>
      <c r="D46" s="284" t="n">
        <v>0</v>
      </c>
      <c r="E46" s="284" t="n">
        <v>0</v>
      </c>
      <c r="F46" s="284" t="n">
        <v>0</v>
      </c>
    </row>
    <row r="47" customFormat="false" ht="15" hidden="false" customHeight="true" outlineLevel="0" collapsed="false">
      <c r="A47" s="283" t="s">
        <v>933</v>
      </c>
      <c r="B47" s="284" t="n">
        <f aca="false">B45+B46</f>
        <v>19251929.2373</v>
      </c>
      <c r="C47" s="284" t="n">
        <f aca="false">C45+C46</f>
        <v>73205545.31085</v>
      </c>
      <c r="D47" s="284" t="n">
        <f aca="false">D45+D46</f>
        <v>149956856.94091</v>
      </c>
      <c r="E47" s="284" t="n">
        <f aca="false">E45+E46</f>
        <v>309897691.485658</v>
      </c>
      <c r="F47" s="284" t="n">
        <f aca="false">F45+F46</f>
        <v>599657670.926534</v>
      </c>
    </row>
    <row r="48" customFormat="false" ht="15" hidden="false" customHeight="true" outlineLevel="0" collapsed="false">
      <c r="A48" s="283" t="s">
        <v>934</v>
      </c>
      <c r="B48" s="284" t="n">
        <f aca="false">Assumptions!B55</f>
        <v>0</v>
      </c>
      <c r="C48" s="284" t="n">
        <f aca="false">Assumptions!C55</f>
        <v>0</v>
      </c>
      <c r="D48" s="284" t="n">
        <f aca="false">Assumptions!D55</f>
        <v>0</v>
      </c>
      <c r="E48" s="284" t="n">
        <f aca="false">Assumptions!E55</f>
        <v>0</v>
      </c>
      <c r="F48" s="284" t="n">
        <f aca="false">Assumptions!F55</f>
        <v>0</v>
      </c>
    </row>
    <row r="49" customFormat="false" ht="15" hidden="false" customHeight="true" outlineLevel="0" collapsed="false">
      <c r="A49" s="283" t="s">
        <v>935</v>
      </c>
      <c r="B49" s="284" t="n">
        <f aca="false">B47+B48</f>
        <v>19251929.2373</v>
      </c>
      <c r="C49" s="284" t="n">
        <f aca="false">C47+C48</f>
        <v>73205545.31085</v>
      </c>
      <c r="D49" s="284" t="n">
        <f aca="false">D47+D48</f>
        <v>149956856.94091</v>
      </c>
      <c r="E49" s="284" t="n">
        <f aca="false">E47+E48</f>
        <v>309897691.485658</v>
      </c>
      <c r="F49" s="284" t="n">
        <f aca="false">F47+F48</f>
        <v>599657670.926534</v>
      </c>
    </row>
    <row r="50" customFormat="false" ht="15" hidden="false" customHeight="true" outlineLevel="0" collapsed="false">
      <c r="A50" s="283" t="s">
        <v>936</v>
      </c>
      <c r="B50" s="290" t="n">
        <f aca="false">IFERROR(B45/B30,0)</f>
        <v>0.398280956375838</v>
      </c>
      <c r="C50" s="290" t="n">
        <f aca="false">IFERROR(C45/C30,0)</f>
        <v>0.144327394961383</v>
      </c>
      <c r="D50" s="290" t="n">
        <f aca="false">IFERROR(D45/D30,0)</f>
        <v>0.159763521005685</v>
      </c>
      <c r="E50" s="290" t="n">
        <f aca="false">IFERROR(E45/E30,0)</f>
        <v>0.172007504825977</v>
      </c>
      <c r="F50" s="290" t="n">
        <f aca="false">IFERROR(F45/F30,0)</f>
        <v>0.177928765545992</v>
      </c>
    </row>
    <row r="51" customFormat="false" ht="15" hidden="false" customHeight="true" outlineLevel="0" collapsed="false">
      <c r="A51" s="283" t="s">
        <v>937</v>
      </c>
      <c r="B51" s="290" t="n">
        <f aca="false">IFERROR(B47/B30,0)</f>
        <v>0.398280956375838</v>
      </c>
      <c r="C51" s="290" t="n">
        <f aca="false">IFERROR(C47/C30,0)</f>
        <v>0.144327394961383</v>
      </c>
      <c r="D51" s="290" t="n">
        <f aca="false">IFERROR(D47/D30,0)</f>
        <v>0.159763521005685</v>
      </c>
      <c r="E51" s="290" t="n">
        <f aca="false">IFERROR(E47/E30,0)</f>
        <v>0.172007504825977</v>
      </c>
      <c r="F51" s="290" t="n">
        <f aca="false">IFERROR(F47/F30,0)</f>
        <v>0.177928765545992</v>
      </c>
    </row>
    <row r="52" customFormat="false" ht="15" hidden="false" customHeight="true" outlineLevel="0" collapsed="false">
      <c r="A52" s="283" t="s">
        <v>938</v>
      </c>
      <c r="B52" s="290" t="n">
        <f aca="false">B31</f>
        <v>0.398280956375838</v>
      </c>
      <c r="C52" s="290" t="n">
        <f aca="false">C31</f>
        <v>0.144327394961383</v>
      </c>
      <c r="D52" s="290" t="n">
        <f aca="false">D31</f>
        <v>0.159763521005685</v>
      </c>
      <c r="E52" s="290" t="n">
        <f aca="false">E31</f>
        <v>0.172007504825977</v>
      </c>
      <c r="F52" s="290" t="n">
        <f aca="false">F31</f>
        <v>0.177928765545992</v>
      </c>
    </row>
    <row r="53" customFormat="false" ht="15" hidden="false" customHeight="true" outlineLevel="0" collapsed="false">
      <c r="A53" s="283" t="s">
        <v>939</v>
      </c>
      <c r="B53" s="290" t="n">
        <f aca="false">B32</f>
        <v>0.12</v>
      </c>
      <c r="C53" s="290" t="n">
        <f aca="false">C32</f>
        <v>0.12</v>
      </c>
      <c r="D53" s="290" t="n">
        <f aca="false">D32</f>
        <v>0.12</v>
      </c>
      <c r="E53" s="290" t="n">
        <f aca="false">E32</f>
        <v>0.12</v>
      </c>
      <c r="F53" s="290" t="n">
        <f aca="false">F32</f>
        <v>0.12</v>
      </c>
    </row>
    <row r="54" customFormat="false" ht="15" hidden="false" customHeight="true" outlineLevel="0" collapsed="false">
      <c r="A54" s="283" t="s">
        <v>940</v>
      </c>
      <c r="B54" s="290" t="n">
        <v>0.025</v>
      </c>
      <c r="C54" s="290" t="n">
        <v>0.025</v>
      </c>
      <c r="D54" s="290" t="n">
        <v>0.025</v>
      </c>
      <c r="E54" s="290" t="n">
        <v>0.025</v>
      </c>
      <c r="F54" s="290" t="n">
        <v>0.025</v>
      </c>
    </row>
    <row r="55" customFormat="false" ht="15" hidden="false" customHeight="true" outlineLevel="0" collapsed="false">
      <c r="A55" s="283" t="s">
        <v>941</v>
      </c>
      <c r="B55" s="290" t="n">
        <v>0</v>
      </c>
      <c r="C55" s="290" t="n">
        <v>0</v>
      </c>
      <c r="D55" s="290" t="n">
        <v>0</v>
      </c>
      <c r="E55" s="290" t="n">
        <v>0</v>
      </c>
      <c r="F55" s="290" t="n">
        <v>0</v>
      </c>
    </row>
    <row r="56" customFormat="false" ht="15" hidden="false" customHeight="true" outlineLevel="0" collapsed="false">
      <c r="A56" s="283" t="s">
        <v>942</v>
      </c>
      <c r="B56" s="290" t="n">
        <f aca="false">B53+B54+B55</f>
        <v>0.145</v>
      </c>
      <c r="C56" s="290" t="n">
        <f aca="false">C53+C54+C55</f>
        <v>0.145</v>
      </c>
      <c r="D56" s="290" t="n">
        <f aca="false">D53+D54+D55</f>
        <v>0.145</v>
      </c>
      <c r="E56" s="290" t="n">
        <f aca="false">E53+E54+E55</f>
        <v>0.145</v>
      </c>
      <c r="F56" s="290" t="n">
        <f aca="false">F53+F54+F55</f>
        <v>0.145</v>
      </c>
    </row>
    <row r="57" customFormat="false" ht="15" hidden="false" customHeight="true" outlineLevel="0" collapsed="false">
      <c r="A57" s="283" t="s">
        <v>943</v>
      </c>
      <c r="B57" s="290" t="n">
        <f aca="false">B52-B56</f>
        <v>0.253280956375838</v>
      </c>
      <c r="C57" s="290" t="n">
        <f aca="false">C52-C56</f>
        <v>-0.000672605038617019</v>
      </c>
      <c r="D57" s="290" t="n">
        <f aca="false">D52-D56</f>
        <v>0.0147635210056848</v>
      </c>
      <c r="E57" s="290" t="n">
        <f aca="false">E52-E56</f>
        <v>0.0270075048259771</v>
      </c>
      <c r="F57" s="290" t="n">
        <f aca="false">F52-F56</f>
        <v>0.0329287655459919</v>
      </c>
    </row>
    <row r="58" customFormat="false" ht="15" hidden="false" customHeight="true" outlineLevel="0" collapsed="false">
      <c r="A58" s="283" t="s">
        <v>944</v>
      </c>
      <c r="B58" s="283" t="str">
        <f aca="false">IF(B57&gt;=0,"متوافق استرشاديا","فجوة استرشادية")</f>
        <v>متوافق استرشاديا</v>
      </c>
      <c r="C58" s="283" t="str">
        <f aca="false">IF(C57&gt;=0,"متوافق استرشاديا","فجوة استرشادية")</f>
        <v>فجوة استرشادية</v>
      </c>
      <c r="D58" s="283" t="str">
        <f aca="false">IF(D57&gt;=0,"متوافق استرشاديا","فجوة استرشادية")</f>
        <v>متوافق استرشاديا</v>
      </c>
      <c r="E58" s="283" t="str">
        <f aca="false">IF(E57&gt;=0,"متوافق استرشاديا","فجوة استرشادية")</f>
        <v>متوافق استرشاديا</v>
      </c>
      <c r="F58" s="283" t="str">
        <f aca="false">IF(F57&gt;=0,"متوافق استرشاديا","فجوة استرشادية")</f>
        <v>متوافق استرشاديا</v>
      </c>
    </row>
    <row r="60" customFormat="false" ht="57" hidden="false" customHeight="true" outlineLevel="0" collapsed="false">
      <c r="A60" s="60" t="s">
        <v>945</v>
      </c>
      <c r="B60" s="60"/>
      <c r="C60" s="60"/>
      <c r="D60" s="60"/>
      <c r="E60" s="60"/>
      <c r="F60" s="60"/>
    </row>
    <row r="62" customFormat="false" ht="15" hidden="false" customHeight="true" outlineLevel="0" collapsed="false">
      <c r="A62" s="288" t="s">
        <v>946</v>
      </c>
      <c r="B62" s="288"/>
      <c r="C62" s="288"/>
      <c r="D62" s="288"/>
      <c r="E62" s="288"/>
      <c r="F62" s="288"/>
    </row>
    <row r="63" customFormat="false" ht="15" hidden="false" customHeight="true" outlineLevel="0" collapsed="false">
      <c r="A63" s="281" t="s">
        <v>947</v>
      </c>
      <c r="B63" s="281" t="s">
        <v>84</v>
      </c>
      <c r="C63" s="281" t="s">
        <v>85</v>
      </c>
      <c r="D63" s="281" t="s">
        <v>86</v>
      </c>
      <c r="E63" s="281" t="s">
        <v>87</v>
      </c>
      <c r="F63" s="281" t="s">
        <v>88</v>
      </c>
    </row>
    <row r="64" customFormat="false" ht="15" hidden="false" customHeight="true" outlineLevel="0" collapsed="false">
      <c r="A64" s="283" t="s">
        <v>948</v>
      </c>
      <c r="B64" s="284" t="n">
        <v>0</v>
      </c>
      <c r="C64" s="284" t="n">
        <v>0</v>
      </c>
      <c r="D64" s="284" t="n">
        <v>0</v>
      </c>
      <c r="E64" s="284" t="n">
        <v>0</v>
      </c>
      <c r="F64" s="284" t="n">
        <v>0</v>
      </c>
    </row>
    <row r="65" customFormat="false" ht="15" hidden="false" customHeight="true" outlineLevel="0" collapsed="false">
      <c r="A65" s="283" t="s">
        <v>949</v>
      </c>
      <c r="B65" s="284" t="n">
        <v>0</v>
      </c>
      <c r="C65" s="284" t="n">
        <v>0</v>
      </c>
      <c r="D65" s="284" t="n">
        <v>0</v>
      </c>
      <c r="E65" s="284" t="n">
        <v>0</v>
      </c>
      <c r="F65" s="284" t="n">
        <v>0</v>
      </c>
    </row>
    <row r="66" customFormat="false" ht="15" hidden="false" customHeight="true" outlineLevel="0" collapsed="false">
      <c r="A66" s="283" t="s">
        <v>950</v>
      </c>
      <c r="B66" s="284" t="n">
        <v>0</v>
      </c>
      <c r="C66" s="284" t="n">
        <v>0</v>
      </c>
      <c r="D66" s="284" t="n">
        <v>0</v>
      </c>
      <c r="E66" s="284" t="n">
        <v>0</v>
      </c>
      <c r="F66" s="284" t="n">
        <v>0</v>
      </c>
    </row>
    <row r="67" customFormat="false" ht="15" hidden="false" customHeight="true" outlineLevel="0" collapsed="false">
      <c r="A67" s="283" t="s">
        <v>951</v>
      </c>
      <c r="B67" s="284" t="n">
        <v>0</v>
      </c>
      <c r="C67" s="284" t="n">
        <v>0</v>
      </c>
      <c r="D67" s="284" t="n">
        <v>0</v>
      </c>
      <c r="E67" s="284" t="n">
        <v>0</v>
      </c>
      <c r="F67" s="284" t="n">
        <v>0</v>
      </c>
    </row>
    <row r="68" customFormat="false" ht="15" hidden="false" customHeight="true" outlineLevel="0" collapsed="false">
      <c r="A68" s="283" t="s">
        <v>952</v>
      </c>
      <c r="B68" s="284" t="n">
        <v>0</v>
      </c>
      <c r="C68" s="284" t="n">
        <v>0</v>
      </c>
      <c r="D68" s="284" t="n">
        <v>0</v>
      </c>
      <c r="E68" s="284" t="n">
        <v>0</v>
      </c>
      <c r="F68" s="284" t="n">
        <v>0</v>
      </c>
    </row>
    <row r="69" customFormat="false" ht="15" hidden="false" customHeight="true" outlineLevel="0" collapsed="false">
      <c r="A69" s="301" t="s">
        <v>953</v>
      </c>
      <c r="B69" s="301"/>
      <c r="C69" s="301"/>
      <c r="D69" s="301"/>
      <c r="E69" s="301"/>
      <c r="F69" s="301"/>
    </row>
    <row r="70" customFormat="false" ht="15" hidden="false" customHeight="true" outlineLevel="0" collapsed="false">
      <c r="A70" s="283" t="s">
        <v>954</v>
      </c>
      <c r="B70" s="284" t="n">
        <v>0</v>
      </c>
      <c r="C70" s="284" t="n">
        <v>0</v>
      </c>
      <c r="D70" s="284" t="n">
        <v>0</v>
      </c>
      <c r="E70" s="284" t="n">
        <v>0</v>
      </c>
      <c r="F70" s="284" t="n">
        <v>0</v>
      </c>
    </row>
    <row r="71" customFormat="false" ht="15" hidden="false" customHeight="true" outlineLevel="0" collapsed="false">
      <c r="A71" s="283" t="s">
        <v>955</v>
      </c>
      <c r="B71" s="284" t="n">
        <f aca="false">SUM(B64:B70)</f>
        <v>0</v>
      </c>
      <c r="C71" s="284" t="n">
        <f aca="false">SUM(C64:C70)</f>
        <v>0</v>
      </c>
      <c r="D71" s="284" t="n">
        <f aca="false">SUM(D64:D70)</f>
        <v>0</v>
      </c>
      <c r="E71" s="284" t="n">
        <f aca="false">SUM(E64:E70)</f>
        <v>0</v>
      </c>
      <c r="F71" s="284" t="n">
        <f aca="false">SUM(F64:F70)</f>
        <v>0</v>
      </c>
    </row>
    <row r="72" customFormat="false" ht="45.75" hidden="false" customHeight="true" outlineLevel="0" collapsed="false">
      <c r="A72" s="60" t="s">
        <v>956</v>
      </c>
      <c r="B72" s="60"/>
      <c r="C72" s="60"/>
      <c r="D72" s="60"/>
      <c r="E72" s="60"/>
      <c r="F72" s="60"/>
    </row>
    <row r="74" customFormat="false" ht="15" hidden="false" customHeight="true" outlineLevel="0" collapsed="false">
      <c r="A74" s="288" t="s">
        <v>957</v>
      </c>
      <c r="B74" s="288"/>
      <c r="C74" s="288"/>
      <c r="D74" s="288"/>
      <c r="E74" s="288"/>
      <c r="F74" s="288"/>
    </row>
    <row r="75" customFormat="false" ht="15" hidden="false" customHeight="true" outlineLevel="0" collapsed="false">
      <c r="A75" s="281" t="s">
        <v>83</v>
      </c>
      <c r="B75" s="281" t="s">
        <v>84</v>
      </c>
      <c r="C75" s="281" t="s">
        <v>85</v>
      </c>
      <c r="D75" s="281" t="s">
        <v>86</v>
      </c>
      <c r="E75" s="281" t="s">
        <v>87</v>
      </c>
      <c r="F75" s="281" t="s">
        <v>88</v>
      </c>
    </row>
    <row r="76" customFormat="false" ht="15" hidden="false" customHeight="true" outlineLevel="0" collapsed="false">
      <c r="A76" s="283" t="s">
        <v>958</v>
      </c>
      <c r="B76" s="284" t="n">
        <f aca="false">MAX(0,B12-B14*B10)</f>
        <v>0</v>
      </c>
      <c r="C76" s="284" t="n">
        <f aca="false">MAX(0,C12-C14*C10)</f>
        <v>77177818.7566001</v>
      </c>
      <c r="D76" s="284" t="n">
        <f aca="false">MAX(0,D12-D14*D10)</f>
        <v>0</v>
      </c>
      <c r="E76" s="284" t="n">
        <f aca="false">MAX(0,E12-E14*E10)</f>
        <v>0</v>
      </c>
      <c r="F76" s="284" t="n">
        <f aca="false">MAX(0,F12-F14*F10)</f>
        <v>0</v>
      </c>
    </row>
    <row r="77" customFormat="false" ht="15" hidden="false" customHeight="true" outlineLevel="0" collapsed="false">
      <c r="A77" s="283" t="s">
        <v>959</v>
      </c>
      <c r="B77" s="284" t="n">
        <f aca="false">MAX(0,B12/B14-B10)</f>
        <v>0</v>
      </c>
      <c r="C77" s="284" t="n">
        <f aca="false">MAX(0,C12/C14-C10)</f>
        <v>19294454.68915</v>
      </c>
      <c r="D77" s="284" t="n">
        <f aca="false">MAX(0,D12/D14-D10)</f>
        <v>0</v>
      </c>
      <c r="E77" s="284" t="n">
        <f aca="false">MAX(0,E12/E14-E10)</f>
        <v>0</v>
      </c>
      <c r="F77" s="284" t="n">
        <f aca="false">MAX(0,F12/F14-F10)</f>
        <v>0</v>
      </c>
    </row>
    <row r="78" customFormat="false" ht="45.75" hidden="false" customHeight="true" outlineLevel="0" collapsed="false">
      <c r="A78" s="60" t="s">
        <v>960</v>
      </c>
      <c r="B78" s="60"/>
      <c r="C78" s="60"/>
      <c r="D78" s="60"/>
      <c r="E78" s="60"/>
      <c r="F78" s="60"/>
    </row>
  </sheetData>
  <mergeCells count="11">
    <mergeCell ref="A1:F1"/>
    <mergeCell ref="A18:F18"/>
    <mergeCell ref="A35:F35"/>
    <mergeCell ref="A41:F41"/>
    <mergeCell ref="A43:F43"/>
    <mergeCell ref="A60:F60"/>
    <mergeCell ref="A62:F62"/>
    <mergeCell ref="A69:F69"/>
    <mergeCell ref="A72:F72"/>
    <mergeCell ref="A74:F74"/>
    <mergeCell ref="A78:F7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2"/>
    <col collapsed="false" customWidth="true" hidden="false" outlineLevel="0" max="5" min="2" style="198" width="18"/>
    <col collapsed="false" customWidth="true" hidden="false" outlineLevel="0" max="6" min="6" style="198" width="27"/>
    <col collapsed="false" customWidth="true" hidden="false" outlineLevel="0" max="7" min="7" style="198" width="22"/>
    <col collapsed="false" customWidth="true" hidden="false" outlineLevel="0" max="11" min="9" style="1" width="19"/>
  </cols>
  <sheetData>
    <row r="1" customFormat="false" ht="15" hidden="false" customHeight="true" outlineLevel="0" collapsed="false">
      <c r="A1" s="307" t="s">
        <v>961</v>
      </c>
      <c r="B1" s="307"/>
      <c r="C1" s="307"/>
      <c r="D1" s="307"/>
      <c r="E1" s="307"/>
      <c r="F1" s="307"/>
    </row>
    <row r="2" customFormat="false" ht="15" hidden="false" customHeight="true" outlineLevel="0" collapsed="false">
      <c r="A2" s="109"/>
      <c r="B2" s="109"/>
      <c r="C2" s="109"/>
      <c r="D2" s="109"/>
      <c r="E2" s="109"/>
      <c r="F2" s="109"/>
    </row>
    <row r="3" customFormat="false" ht="15" hidden="false" customHeight="true" outlineLevel="0" collapsed="false">
      <c r="A3" s="312" t="s">
        <v>83</v>
      </c>
      <c r="B3" s="312" t="s">
        <v>84</v>
      </c>
      <c r="C3" s="312" t="s">
        <v>85</v>
      </c>
      <c r="D3" s="312" t="s">
        <v>86</v>
      </c>
      <c r="E3" s="312" t="s">
        <v>87</v>
      </c>
      <c r="F3" s="312" t="s">
        <v>88</v>
      </c>
    </row>
    <row r="4" customFormat="false" ht="15" hidden="false" customHeight="true" outlineLevel="0" collapsed="false">
      <c r="A4" s="313" t="s">
        <v>962</v>
      </c>
      <c r="B4" s="313"/>
      <c r="C4" s="313"/>
      <c r="D4" s="313"/>
      <c r="E4" s="313"/>
      <c r="F4" s="313"/>
    </row>
    <row r="5" customFormat="false" ht="15" hidden="false" customHeight="true" outlineLevel="0" collapsed="false">
      <c r="A5" s="314" t="s">
        <v>963</v>
      </c>
      <c r="B5" s="315" t="n">
        <f aca="false">Assumptions!B101</f>
        <v>0</v>
      </c>
      <c r="C5" s="315" t="n">
        <f aca="false">Assumptions!C101</f>
        <v>420000000</v>
      </c>
      <c r="D5" s="315" t="n">
        <f aca="false">Assumptions!D101</f>
        <v>850000000</v>
      </c>
      <c r="E5" s="315" t="n">
        <f aca="false">Assumptions!E101</f>
        <v>1600000000</v>
      </c>
      <c r="F5" s="315" t="n">
        <f aca="false">Assumptions!F101</f>
        <v>3000000000</v>
      </c>
    </row>
    <row r="6" customFormat="false" ht="15" hidden="false" customHeight="true" outlineLevel="0" collapsed="false">
      <c r="A6" s="301" t="s">
        <v>964</v>
      </c>
      <c r="B6" s="302" t="n">
        <f aca="false">'Balance Sheet'!B14</f>
        <v>0</v>
      </c>
      <c r="C6" s="302" t="n">
        <f aca="false">'Balance Sheet'!C14</f>
        <v>370000000</v>
      </c>
      <c r="D6" s="302" t="n">
        <f aca="false">'Balance Sheet'!D14</f>
        <v>685000000</v>
      </c>
      <c r="E6" s="302" t="n">
        <f aca="false">'Balance Sheet'!E14</f>
        <v>1335000000</v>
      </c>
      <c r="F6" s="302" t="n">
        <f aca="false">'Balance Sheet'!F14</f>
        <v>2600000000</v>
      </c>
    </row>
    <row r="7" customFormat="false" ht="15" hidden="false" customHeight="true" outlineLevel="0" collapsed="false">
      <c r="A7" s="301" t="s">
        <v>965</v>
      </c>
      <c r="B7" s="302" t="n">
        <f aca="false">B14+B12</f>
        <v>0</v>
      </c>
      <c r="C7" s="302" t="n">
        <f aca="false">C14+C12</f>
        <v>441677562.91</v>
      </c>
      <c r="D7" s="302" t="n">
        <f aca="false">D14+D12</f>
        <v>607500000</v>
      </c>
      <c r="E7" s="302" t="n">
        <f aca="false">E14+E12</f>
        <v>1265000000</v>
      </c>
      <c r="F7" s="302" t="n">
        <f aca="false">F14+F12</f>
        <v>2427500000</v>
      </c>
    </row>
    <row r="8" customFormat="false" ht="15" hidden="false" customHeight="true" outlineLevel="0" collapsed="false">
      <c r="A8" s="301" t="s">
        <v>966</v>
      </c>
      <c r="B8" s="316" t="n">
        <f aca="false">Assumptions!B9</f>
        <v>0.24</v>
      </c>
      <c r="C8" s="316" t="n">
        <f aca="false">Assumptions!C9</f>
        <v>0.22</v>
      </c>
      <c r="D8" s="316" t="n">
        <f aca="false">Assumptions!D9</f>
        <v>0.2</v>
      </c>
      <c r="E8" s="316" t="n">
        <f aca="false">Assumptions!E9</f>
        <v>0.18</v>
      </c>
      <c r="F8" s="316" t="n">
        <f aca="false">Assumptions!F9</f>
        <v>0.17</v>
      </c>
    </row>
    <row r="9" customFormat="false" ht="15" hidden="false" customHeight="true" outlineLevel="0" collapsed="false">
      <c r="A9" s="301" t="s">
        <v>967</v>
      </c>
      <c r="B9" s="317" t="n">
        <f aca="false">3</f>
        <v>3</v>
      </c>
      <c r="C9" s="317" t="n">
        <f aca="false">3</f>
        <v>3</v>
      </c>
      <c r="D9" s="317" t="n">
        <f aca="false">3</f>
        <v>3</v>
      </c>
      <c r="E9" s="317" t="n">
        <f aca="false">3</f>
        <v>3</v>
      </c>
      <c r="F9" s="317" t="n">
        <f aca="false">3</f>
        <v>3</v>
      </c>
    </row>
    <row r="10" customFormat="false" ht="15" hidden="false" customHeight="true" outlineLevel="0" collapsed="false">
      <c r="A10" s="301" t="s">
        <v>968</v>
      </c>
      <c r="B10" s="316" t="n">
        <f aca="false">1-Assumptions!B102</f>
        <v>0.2</v>
      </c>
      <c r="C10" s="316" t="n">
        <f aca="false">1-Assumptions!C102</f>
        <v>0.15</v>
      </c>
      <c r="D10" s="316" t="n">
        <f aca="false">1-Assumptions!D102</f>
        <v>0.1</v>
      </c>
      <c r="E10" s="316" t="n">
        <f aca="false">1-Assumptions!E102</f>
        <v>0.1</v>
      </c>
      <c r="F10" s="316" t="n">
        <f aca="false">1-Assumptions!F102</f>
        <v>0.1</v>
      </c>
    </row>
    <row r="11" customFormat="false" ht="15" hidden="false" customHeight="true" outlineLevel="0" collapsed="false">
      <c r="A11" s="301" t="s">
        <v>969</v>
      </c>
      <c r="B11" s="316" t="n">
        <f aca="false">Assumptions!B102</f>
        <v>0.8</v>
      </c>
      <c r="C11" s="316" t="n">
        <f aca="false">Assumptions!C102</f>
        <v>0.85</v>
      </c>
      <c r="D11" s="316" t="n">
        <f aca="false">Assumptions!D102</f>
        <v>0.9</v>
      </c>
      <c r="E11" s="316" t="n">
        <f aca="false">Assumptions!E102</f>
        <v>0.9</v>
      </c>
      <c r="F11" s="316" t="n">
        <f aca="false">Assumptions!F102</f>
        <v>0.9</v>
      </c>
    </row>
    <row r="12" customFormat="false" ht="15" hidden="false" customHeight="true" outlineLevel="0" collapsed="false">
      <c r="A12" s="314" t="s">
        <v>538</v>
      </c>
      <c r="B12" s="315" t="n">
        <f aca="false">IF(B6&lt;=0,0,Assumptions!B78*Assumptions!$B$32)</f>
        <v>0</v>
      </c>
      <c r="C12" s="315" t="n">
        <f aca="false">IF(C6&lt;=0,0,Assumptions!C78*Assumptions!$B$32)</f>
        <v>71677562.91</v>
      </c>
      <c r="D12" s="315" t="n">
        <f aca="false">IF(D6&lt;=0,0,Assumptions!D78*Assumptions!$B$32)</f>
        <v>292500000</v>
      </c>
      <c r="E12" s="315" t="n">
        <f aca="false">IF(E6&lt;=0,0,Assumptions!E78*Assumptions!$B$32)</f>
        <v>615000000</v>
      </c>
      <c r="F12" s="315" t="n">
        <f aca="false">IF(F6&lt;=0,0,Assumptions!F78*Assumptions!$B$32)</f>
        <v>1162500000</v>
      </c>
    </row>
    <row r="13" customFormat="false" ht="15" hidden="false" customHeight="true" outlineLevel="0" collapsed="false">
      <c r="A13" s="301" t="s">
        <v>970</v>
      </c>
      <c r="B13" s="302" t="n">
        <f aca="false">B12+'Income Statement'!B15</f>
        <v>0</v>
      </c>
      <c r="C13" s="302" t="n">
        <f aca="false">C12+'Income Statement'!C15</f>
        <v>108918062.91</v>
      </c>
      <c r="D13" s="302" t="n">
        <f aca="false">D12+'Income Statement'!D15</f>
        <v>395322500</v>
      </c>
      <c r="E13" s="302" t="n">
        <f aca="false">E12+'Income Statement'!E15</f>
        <v>791827500</v>
      </c>
      <c r="F13" s="302" t="n">
        <f aca="false">F12+'Income Statement'!F15</f>
        <v>1487835375</v>
      </c>
    </row>
    <row r="14" customFormat="false" ht="15" hidden="false" customHeight="true" outlineLevel="0" collapsed="false">
      <c r="A14" s="318" t="s">
        <v>971</v>
      </c>
      <c r="B14" s="319" t="n">
        <f aca="false">B6</f>
        <v>0</v>
      </c>
      <c r="C14" s="319" t="n">
        <f aca="false">C6-B6</f>
        <v>370000000</v>
      </c>
      <c r="D14" s="319" t="n">
        <f aca="false">D6-C6</f>
        <v>315000000</v>
      </c>
      <c r="E14" s="319" t="n">
        <f aca="false">E6-D6</f>
        <v>650000000</v>
      </c>
      <c r="F14" s="319" t="n">
        <f aca="false">F6-E6</f>
        <v>1265000000</v>
      </c>
    </row>
    <row r="15" customFormat="false" ht="15" hidden="false" customHeight="true" outlineLevel="0" collapsed="false">
      <c r="A15" s="320" t="s">
        <v>972</v>
      </c>
      <c r="B15" s="320"/>
      <c r="C15" s="320"/>
      <c r="D15" s="320"/>
      <c r="E15" s="320"/>
      <c r="F15" s="320"/>
    </row>
    <row r="16" customFormat="false" ht="15" hidden="false" customHeight="true" outlineLevel="0" collapsed="false">
      <c r="A16" s="301" t="s">
        <v>973</v>
      </c>
      <c r="B16" s="302" t="n">
        <f aca="false">'Balance Sheet'!B5</f>
        <v>3220917.99</v>
      </c>
      <c r="C16" s="302" t="n">
        <f aca="false">'Balance Sheet'!C5</f>
        <v>9502515.43684994</v>
      </c>
      <c r="D16" s="302" t="n">
        <f aca="false">'Balance Sheet'!D5</f>
        <v>13213488.5045099</v>
      </c>
      <c r="E16" s="302" t="n">
        <f aca="false">'Balance Sheet'!E5</f>
        <v>65805119.911818</v>
      </c>
      <c r="F16" s="302" t="n">
        <f aca="false">'Balance Sheet'!F5</f>
        <v>240780577.47023</v>
      </c>
    </row>
    <row r="17" customFormat="false" ht="15" hidden="false" customHeight="true" outlineLevel="0" collapsed="false">
      <c r="A17" s="301" t="s">
        <v>974</v>
      </c>
      <c r="B17" s="302" t="n">
        <f aca="false">('Income Statement'!B17+'Income Statement'!B18+'Income Statement'!B15)/12+B12/12+'Balance Sheet'!B14*(1-Assumptions!B102)*10%</f>
        <v>1299276</v>
      </c>
      <c r="C17" s="302" t="n">
        <f aca="false">('Income Statement'!C17+'Income Statement'!C18+'Income Statement'!C15)/12+C12/12+'Balance Sheet'!C14*(1-Assumptions!C102)*10%</f>
        <v>16545765.2425</v>
      </c>
      <c r="D17" s="302" t="n">
        <f aca="false">('Income Statement'!D17+'Income Statement'!D18+'Income Statement'!D15)/12+D12/12+'Balance Sheet'!D14*(1-Assumptions!D102)*10%</f>
        <v>42310150.75</v>
      </c>
      <c r="E17" s="302" t="n">
        <f aca="false">('Income Statement'!E17+'Income Statement'!E18+'Income Statement'!E15)/12+E12/12+'Balance Sheet'!E14*(1-Assumptions!E102)*10%</f>
        <v>82488183.6666667</v>
      </c>
      <c r="F17" s="302" t="n">
        <f aca="false">('Income Statement'!F17+'Income Statement'!F18+'Income Statement'!F15)/12+F12/12+'Balance Sheet'!F14*(1-Assumptions!F102)*10%</f>
        <v>153996020.95</v>
      </c>
    </row>
    <row r="18" customFormat="false" ht="15" hidden="false" customHeight="true" outlineLevel="0" collapsed="false">
      <c r="A18" s="301" t="s">
        <v>975</v>
      </c>
      <c r="B18" s="302" t="n">
        <f aca="false">Assumptions!B78/12</f>
        <v>589807.9925</v>
      </c>
      <c r="C18" s="302" t="n">
        <f aca="false">Assumptions!C78/12</f>
        <v>7964173.65666667</v>
      </c>
      <c r="D18" s="302" t="n">
        <f aca="false">Assumptions!D78/12</f>
        <v>32500000</v>
      </c>
      <c r="E18" s="302" t="n">
        <f aca="false">Assumptions!E78/12</f>
        <v>68333333.3333333</v>
      </c>
      <c r="F18" s="302" t="n">
        <f aca="false">Assumptions!F78/12</f>
        <v>129166666.666667</v>
      </c>
    </row>
    <row r="19" customFormat="false" ht="24" hidden="false" customHeight="true" outlineLevel="0" collapsed="false">
      <c r="A19" s="301" t="s">
        <v>976</v>
      </c>
      <c r="B19" s="302" t="n">
        <f aca="false">B17*90%</f>
        <v>1169348.4</v>
      </c>
      <c r="C19" s="302" t="n">
        <f aca="false">C17*90%</f>
        <v>14891188.71825</v>
      </c>
      <c r="D19" s="302" t="n">
        <f aca="false">D17*90%</f>
        <v>38079135.675</v>
      </c>
      <c r="E19" s="302" t="n">
        <f aca="false">E17*90%</f>
        <v>74239365.3</v>
      </c>
      <c r="F19" s="302" t="n">
        <f aca="false">F17*90%</f>
        <v>138596418.855</v>
      </c>
    </row>
    <row r="20" customFormat="false" ht="15" hidden="false" customHeight="true" outlineLevel="0" collapsed="false">
      <c r="A20" s="301" t="s">
        <v>977</v>
      </c>
      <c r="B20" s="302" t="n">
        <f aca="false">MAX(1,B17-MIN(B18,B19))</f>
        <v>709468.0075</v>
      </c>
      <c r="C20" s="302" t="n">
        <f aca="false">MAX(1,C17-MIN(C18,C19))</f>
        <v>8581591.58583333</v>
      </c>
      <c r="D20" s="302" t="n">
        <f aca="false">MAX(1,D17-MIN(D18,D19))</f>
        <v>9810150.75</v>
      </c>
      <c r="E20" s="302" t="n">
        <f aca="false">MAX(1,E17-MIN(E18,E19))</f>
        <v>14154850.3333333</v>
      </c>
      <c r="F20" s="302" t="n">
        <f aca="false">MAX(1,F17-MIN(F18,F19))</f>
        <v>24829354.2833333</v>
      </c>
    </row>
    <row r="21" customFormat="false" ht="15" hidden="false" customHeight="true" outlineLevel="0" collapsed="false">
      <c r="A21" s="301" t="s">
        <v>978</v>
      </c>
      <c r="B21" s="316" t="n">
        <f aca="false">B16/B20</f>
        <v>4.53990589561574</v>
      </c>
      <c r="C21" s="316" t="n">
        <f aca="false">C16/C20</f>
        <v>1.10731387549798</v>
      </c>
      <c r="D21" s="316" t="n">
        <f aca="false">D16/D20</f>
        <v>1.34692002612802</v>
      </c>
      <c r="E21" s="316" t="n">
        <f aca="false">E16/E20</f>
        <v>4.64894494552536</v>
      </c>
      <c r="F21" s="316" t="n">
        <f aca="false">F16/F20</f>
        <v>9.69741599892725</v>
      </c>
    </row>
    <row r="22" customFormat="false" ht="36" hidden="false" customHeight="true" outlineLevel="0" collapsed="false">
      <c r="A22" s="301" t="s">
        <v>979</v>
      </c>
      <c r="B22" s="301" t="str">
        <f aca="false">IF(B21&lt;100%,"فجوة تخطيطية","استرشادي - بيانات آجال تعاقدية مطلوبة")</f>
        <v>استرشادي - بيانات آجال تعاقدية مطلوبة</v>
      </c>
      <c r="C22" s="301" t="str">
        <f aca="false">IF(C21&lt;100%,"فجوة تخطيطية","استرشادي - بيانات آجال تعاقدية مطلوبة")</f>
        <v>استرشادي - بيانات آجال تعاقدية مطلوبة</v>
      </c>
      <c r="D22" s="301" t="str">
        <f aca="false">IF(D21&lt;100%,"فجوة تخطيطية","استرشادي - بيانات آجال تعاقدية مطلوبة")</f>
        <v>استرشادي - بيانات آجال تعاقدية مطلوبة</v>
      </c>
      <c r="E22" s="301" t="str">
        <f aca="false">IF(E21&lt;100%,"فجوة تخطيطية","استرشادي - بيانات آجال تعاقدية مطلوبة")</f>
        <v>استرشادي - بيانات آجال تعاقدية مطلوبة</v>
      </c>
      <c r="F22" s="301" t="str">
        <f aca="false">IF(F21&lt;100%,"فجوة تخطيطية","استرشادي - بيانات آجال تعاقدية مطلوبة")</f>
        <v>استرشادي - بيانات آجال تعاقدية مطلوبة</v>
      </c>
    </row>
    <row r="23" customFormat="false" ht="15" hidden="false" customHeight="true" outlineLevel="0" collapsed="false">
      <c r="A23" s="318"/>
      <c r="B23" s="318"/>
      <c r="C23" s="318"/>
      <c r="D23" s="318"/>
      <c r="E23" s="318"/>
      <c r="F23" s="318"/>
    </row>
    <row r="24" customFormat="false" ht="15" hidden="false" customHeight="true" outlineLevel="0" collapsed="false">
      <c r="A24" s="320" t="s">
        <v>980</v>
      </c>
      <c r="B24" s="320"/>
      <c r="C24" s="320"/>
      <c r="D24" s="320"/>
      <c r="E24" s="320"/>
      <c r="F24" s="320"/>
    </row>
    <row r="25" customFormat="false" ht="15" hidden="false" customHeight="true" outlineLevel="0" collapsed="false">
      <c r="A25" s="301" t="s">
        <v>981</v>
      </c>
      <c r="B25" s="302" t="n">
        <f aca="false">'Regulatory Capital Plan'!B7</f>
        <v>21833129.2373</v>
      </c>
      <c r="C25" s="302" t="n">
        <f aca="false">'Regulatory Capital Plan'!C7</f>
        <v>76086745.31085</v>
      </c>
      <c r="D25" s="302" t="n">
        <f aca="false">'Regulatory Capital Plan'!D7</f>
        <v>152838056.94091</v>
      </c>
      <c r="E25" s="302" t="n">
        <f aca="false">'Regulatory Capital Plan'!E7</f>
        <v>312778891.485658</v>
      </c>
      <c r="F25" s="302" t="n">
        <f aca="false">'Regulatory Capital Plan'!F7</f>
        <v>602538870.926534</v>
      </c>
    </row>
    <row r="26" customFormat="false" ht="15" hidden="false" customHeight="true" outlineLevel="0" collapsed="false">
      <c r="A26" s="301" t="s">
        <v>982</v>
      </c>
      <c r="B26" s="302" t="n">
        <f aca="false">'Balance Sheet'!B14*Assumptions!B102</f>
        <v>0</v>
      </c>
      <c r="C26" s="302" t="n">
        <f aca="false">'Balance Sheet'!C14*Assumptions!C102</f>
        <v>314500000</v>
      </c>
      <c r="D26" s="302" t="n">
        <f aca="false">'Balance Sheet'!D14*Assumptions!D102</f>
        <v>616500000</v>
      </c>
      <c r="E26" s="302" t="n">
        <f aca="false">'Balance Sheet'!E14*Assumptions!E102</f>
        <v>1201500000</v>
      </c>
      <c r="F26" s="302" t="n">
        <f aca="false">'Balance Sheet'!F14*Assumptions!F102</f>
        <v>2340000000</v>
      </c>
    </row>
    <row r="27" customFormat="false" ht="15" hidden="false" customHeight="true" outlineLevel="0" collapsed="false">
      <c r="A27" s="301" t="s">
        <v>983</v>
      </c>
      <c r="B27" s="302" t="n">
        <f aca="false">'Balance Sheet'!B14*10%*75%</f>
        <v>0</v>
      </c>
      <c r="C27" s="302" t="n">
        <f aca="false">'Balance Sheet'!C14*10%*75%</f>
        <v>27750000</v>
      </c>
      <c r="D27" s="302" t="n">
        <f aca="false">'Balance Sheet'!D14*10%*75%</f>
        <v>51375000</v>
      </c>
      <c r="E27" s="302" t="n">
        <f aca="false">'Balance Sheet'!E14*10%*75%</f>
        <v>100125000</v>
      </c>
      <c r="F27" s="302" t="n">
        <f aca="false">'Balance Sheet'!F14*10%*75%</f>
        <v>195000000</v>
      </c>
    </row>
    <row r="28" customFormat="false" ht="15" hidden="false" customHeight="true" outlineLevel="0" collapsed="false">
      <c r="A28" s="301" t="s">
        <v>984</v>
      </c>
      <c r="B28" s="302" t="n">
        <f aca="false">'Balance Sheet'!B14*MAX(0,1-Assumptions!B102-10%)*50%</f>
        <v>0</v>
      </c>
      <c r="C28" s="302" t="n">
        <f aca="false">'Balance Sheet'!C14*MAX(0,1-Assumptions!C102-10%)*50%</f>
        <v>9250000</v>
      </c>
      <c r="D28" s="302" t="n">
        <f aca="false">'Balance Sheet'!D14*MAX(0,1-Assumptions!D102-10%)*50%</f>
        <v>0</v>
      </c>
      <c r="E28" s="302" t="n">
        <f aca="false">'Balance Sheet'!E14*MAX(0,1-Assumptions!E102-10%)*50%</f>
        <v>0</v>
      </c>
      <c r="F28" s="302" t="n">
        <f aca="false">'Balance Sheet'!F14*MAX(0,1-Assumptions!F102-10%)*50%</f>
        <v>0</v>
      </c>
    </row>
    <row r="29" customFormat="false" ht="15" hidden="false" customHeight="true" outlineLevel="0" collapsed="false">
      <c r="A29" s="301" t="s">
        <v>985</v>
      </c>
      <c r="B29" s="302" t="n">
        <f aca="false">SUM(B25:B28)+'Balance Sheet'!B15*50%</f>
        <v>24833129.2373</v>
      </c>
      <c r="C29" s="302" t="n">
        <f aca="false">SUM(C25:C28)+'Balance Sheet'!C15*50%</f>
        <v>431336745.31085</v>
      </c>
      <c r="D29" s="302" t="n">
        <f aca="false">SUM(D25:D28)+'Balance Sheet'!D15*50%</f>
        <v>831213056.94091</v>
      </c>
      <c r="E29" s="302" t="n">
        <f aca="false">SUM(E25:E28)+'Balance Sheet'!E15*50%</f>
        <v>1634653891.48566</v>
      </c>
      <c r="F29" s="302" t="n">
        <f aca="false">SUM(F25:F28)+'Balance Sheet'!F15*50%</f>
        <v>3175038870.92653</v>
      </c>
    </row>
    <row r="30" customFormat="false" ht="15" hidden="false" customHeight="true" outlineLevel="0" collapsed="false">
      <c r="A30" s="301" t="s">
        <v>986</v>
      </c>
      <c r="B30" s="302" t="n">
        <f aca="false">'Balance Sheet'!B8*70%</f>
        <v>14036494.47711</v>
      </c>
      <c r="C30" s="302" t="n">
        <f aca="false">'Balance Sheet'!C8*70%</f>
        <v>307316907.5158</v>
      </c>
      <c r="D30" s="302" t="n">
        <f aca="false">'Balance Sheet'!D8*70%</f>
        <v>588395144.50948</v>
      </c>
      <c r="E30" s="302" t="n">
        <f aca="false">'Balance Sheet'!E8*70%</f>
        <v>1132189586.70569</v>
      </c>
      <c r="F30" s="302" t="n">
        <f aca="false">'Balance Sheet'!F8*70%</f>
        <v>2122188752.02341</v>
      </c>
    </row>
    <row r="31" customFormat="false" ht="15" hidden="false" customHeight="true" outlineLevel="0" collapsed="false">
      <c r="A31" s="301" t="s">
        <v>987</v>
      </c>
      <c r="B31" s="302" t="n">
        <f aca="false">'Balance Sheet'!B8*20%*75%</f>
        <v>3007820.245095</v>
      </c>
      <c r="C31" s="302" t="n">
        <f aca="false">'Balance Sheet'!C8*20%*75%</f>
        <v>65853623.0391</v>
      </c>
      <c r="D31" s="302" t="n">
        <f aca="false">'Balance Sheet'!D8*20%*75%</f>
        <v>126084673.82346</v>
      </c>
      <c r="E31" s="302" t="n">
        <f aca="false">'Balance Sheet'!E8*20%*75%</f>
        <v>242612054.294076</v>
      </c>
      <c r="F31" s="302" t="n">
        <f aca="false">'Balance Sheet'!F8*20%*75%</f>
        <v>454754732.576446</v>
      </c>
    </row>
    <row r="32" customFormat="false" ht="15" hidden="false" customHeight="true" outlineLevel="0" collapsed="false">
      <c r="A32" s="301" t="s">
        <v>988</v>
      </c>
      <c r="B32" s="302" t="n">
        <f aca="false">'Balance Sheet'!B8*10%*50%</f>
        <v>1002606.748365</v>
      </c>
      <c r="C32" s="302" t="n">
        <f aca="false">'Balance Sheet'!C8*10%*50%</f>
        <v>21951207.6797</v>
      </c>
      <c r="D32" s="302" t="n">
        <f aca="false">'Balance Sheet'!D8*10%*50%</f>
        <v>42028224.60782</v>
      </c>
      <c r="E32" s="302" t="n">
        <f aca="false">'Balance Sheet'!E8*10%*50%</f>
        <v>80870684.764692</v>
      </c>
      <c r="F32" s="302" t="n">
        <f aca="false">'Balance Sheet'!F8*10%*50%</f>
        <v>151584910.858815</v>
      </c>
    </row>
    <row r="33" customFormat="false" ht="15" hidden="false" customHeight="true" outlineLevel="0" collapsed="false">
      <c r="A33" s="301" t="s">
        <v>989</v>
      </c>
      <c r="B33" s="302" t="n">
        <f aca="false">'Balance Sheet'!B9+'Balance Sheet'!B10</f>
        <v>4560076.28</v>
      </c>
      <c r="C33" s="302" t="n">
        <f aca="false">'Balance Sheet'!C9+'Balance Sheet'!C10</f>
        <v>5060076.28</v>
      </c>
      <c r="D33" s="302" t="n">
        <f aca="false">'Balance Sheet'!D9+'Balance Sheet'!D10</f>
        <v>5060076.28</v>
      </c>
      <c r="E33" s="302" t="n">
        <f aca="false">'Balance Sheet'!E9+'Balance Sheet'!E10</f>
        <v>5060076.28</v>
      </c>
      <c r="F33" s="302" t="n">
        <f aca="false">'Balance Sheet'!F9+'Balance Sheet'!F10</f>
        <v>5060076.28</v>
      </c>
    </row>
    <row r="34" customFormat="false" ht="15" hidden="false" customHeight="true" outlineLevel="0" collapsed="false">
      <c r="A34" s="301" t="s">
        <v>990</v>
      </c>
      <c r="B34" s="302" t="n">
        <f aca="false">SUM(B30:B33)</f>
        <v>22606997.75057</v>
      </c>
      <c r="C34" s="302" t="n">
        <f aca="false">SUM(C30:C33)</f>
        <v>400181814.5146</v>
      </c>
      <c r="D34" s="302" t="n">
        <f aca="false">SUM(D30:D33)</f>
        <v>761568119.22076</v>
      </c>
      <c r="E34" s="302" t="n">
        <f aca="false">SUM(E30:E33)</f>
        <v>1460732402.04446</v>
      </c>
      <c r="F34" s="302" t="n">
        <f aca="false">SUM(F30:F33)</f>
        <v>2733588471.73867</v>
      </c>
    </row>
    <row r="35" customFormat="false" ht="15" hidden="false" customHeight="true" outlineLevel="0" collapsed="false">
      <c r="A35" s="301" t="s">
        <v>991</v>
      </c>
      <c r="B35" s="316" t="n">
        <f aca="false">IFERROR(B29/B34,0)</f>
        <v>1.09847090318191</v>
      </c>
      <c r="C35" s="316" t="n">
        <f aca="false">IFERROR(C29/C34,0)</f>
        <v>1.07785194045871</v>
      </c>
      <c r="D35" s="316" t="n">
        <f aca="false">IFERROR(D29/D34,0)</f>
        <v>1.09144938707704</v>
      </c>
      <c r="E35" s="316" t="n">
        <f aca="false">IFERROR(E29/E34,0)</f>
        <v>1.11906457965729</v>
      </c>
      <c r="F35" s="316" t="n">
        <f aca="false">IFERROR(F29/F34,0)</f>
        <v>1.16149116948356</v>
      </c>
    </row>
    <row r="36" customFormat="false" ht="36" hidden="false" customHeight="true" outlineLevel="0" collapsed="false">
      <c r="A36" s="301" t="s">
        <v>992</v>
      </c>
      <c r="B36" s="301" t="str">
        <f aca="false">IF(B35&lt;100%,"فجوة تخطيطية","استرشادي - جداول ASF/RSF الفعلية مطلوبة")</f>
        <v>استرشادي - جداول ASF/RSF الفعلية مطلوبة</v>
      </c>
      <c r="C36" s="301" t="str">
        <f aca="false">IF(C35&lt;100%,"فجوة تخطيطية","استرشادي - جداول ASF/RSF الفعلية مطلوبة")</f>
        <v>استرشادي - جداول ASF/RSF الفعلية مطلوبة</v>
      </c>
      <c r="D36" s="301" t="str">
        <f aca="false">IF(D35&lt;100%,"فجوة تخطيطية","استرشادي - جداول ASF/RSF الفعلية مطلوبة")</f>
        <v>استرشادي - جداول ASF/RSF الفعلية مطلوبة</v>
      </c>
      <c r="E36" s="301" t="str">
        <f aca="false">IF(E35&lt;100%,"فجوة تخطيطية","استرشادي - جداول ASF/RSF الفعلية مطلوبة")</f>
        <v>استرشادي - جداول ASF/RSF الفعلية مطلوبة</v>
      </c>
      <c r="F36" s="301" t="str">
        <f aca="false">IF(F35&lt;100%,"فجوة تخطيطية","استرشادي - جداول ASF/RSF الفعلية مطلوبة")</f>
        <v>استرشادي - جداول ASF/RSF الفعلية مطلوبة</v>
      </c>
    </row>
    <row r="37" customFormat="false" ht="33.75" hidden="false" customHeight="true" outlineLevel="0" collapsed="false">
      <c r="A37" s="318" t="s">
        <v>993</v>
      </c>
      <c r="B37" s="318"/>
      <c r="C37" s="318"/>
      <c r="D37" s="318"/>
      <c r="E37" s="318"/>
      <c r="F37" s="318"/>
      <c r="G37" s="109"/>
    </row>
    <row r="38" customFormat="false" ht="15" hidden="false" customHeight="true" outlineLevel="0" collapsed="false">
      <c r="A38" s="288" t="s">
        <v>994</v>
      </c>
      <c r="B38" s="288"/>
      <c r="C38" s="288"/>
      <c r="D38" s="288"/>
      <c r="E38" s="288"/>
      <c r="F38" s="288"/>
    </row>
    <row r="39" customFormat="false" ht="23.25" hidden="false" customHeight="true" outlineLevel="0" collapsed="false">
      <c r="A39" s="299" t="s">
        <v>660</v>
      </c>
      <c r="B39" s="299" t="s">
        <v>995</v>
      </c>
      <c r="C39" s="299" t="s">
        <v>574</v>
      </c>
      <c r="D39" s="299" t="s">
        <v>580</v>
      </c>
      <c r="E39" s="299" t="s">
        <v>996</v>
      </c>
      <c r="F39" s="299" t="s">
        <v>997</v>
      </c>
    </row>
    <row r="40" customFormat="false" ht="15" hidden="false" customHeight="true" outlineLevel="0" collapsed="false">
      <c r="A40" s="283" t="s">
        <v>998</v>
      </c>
      <c r="B40" s="289" t="n">
        <v>0.35</v>
      </c>
      <c r="C40" s="283" t="n">
        <v>3</v>
      </c>
      <c r="D40" s="283" t="n">
        <v>4</v>
      </c>
      <c r="E40" s="283" t="n">
        <v>5</v>
      </c>
      <c r="F40" s="283" t="s">
        <v>999</v>
      </c>
    </row>
    <row r="41" customFormat="false" ht="15" hidden="false" customHeight="true" outlineLevel="0" collapsed="false">
      <c r="A41" s="283" t="s">
        <v>1000</v>
      </c>
      <c r="B41" s="289" t="n">
        <v>0.3</v>
      </c>
      <c r="C41" s="283" t="n">
        <v>2</v>
      </c>
      <c r="D41" s="283" t="n">
        <v>5</v>
      </c>
      <c r="E41" s="283" t="n">
        <v>5</v>
      </c>
      <c r="F41" s="283" t="s">
        <v>1001</v>
      </c>
    </row>
    <row r="42" customFormat="false" ht="15" hidden="false" customHeight="true" outlineLevel="0" collapsed="false">
      <c r="A42" s="283" t="s">
        <v>1002</v>
      </c>
      <c r="B42" s="289" t="n">
        <v>0.2</v>
      </c>
      <c r="C42" s="283" t="n">
        <v>5</v>
      </c>
      <c r="D42" s="283" t="n">
        <v>3</v>
      </c>
      <c r="E42" s="283" t="n">
        <v>2</v>
      </c>
      <c r="F42" s="283" t="s">
        <v>1003</v>
      </c>
    </row>
    <row r="43" customFormat="false" ht="15" hidden="false" customHeight="true" outlineLevel="0" collapsed="false">
      <c r="A43" s="283" t="s">
        <v>1004</v>
      </c>
      <c r="B43" s="289" t="n">
        <v>0.15</v>
      </c>
      <c r="C43" s="283" t="n">
        <v>4</v>
      </c>
      <c r="D43" s="283" t="n">
        <v>3</v>
      </c>
      <c r="E43" s="283" t="n">
        <v>3</v>
      </c>
      <c r="F43" s="283" t="s">
        <v>1005</v>
      </c>
    </row>
    <row r="44" customFormat="false" ht="15" hidden="false" customHeight="true" outlineLevel="0" collapsed="false"/>
    <row r="45" customFormat="false" ht="42" hidden="false" customHeight="true" outlineLevel="0" collapsed="false">
      <c r="A45" s="60" t="s">
        <v>1006</v>
      </c>
      <c r="B45" s="60"/>
      <c r="C45" s="60"/>
      <c r="D45" s="60"/>
      <c r="E45" s="60"/>
      <c r="F45" s="60"/>
      <c r="G45" s="109"/>
    </row>
    <row r="46" customFormat="false" ht="15" hidden="false" customHeight="true" outlineLevel="0" collapsed="false"/>
    <row r="47" customFormat="false" ht="15" hidden="false" customHeight="true" outlineLevel="0" collapsed="false">
      <c r="A47" s="282" t="s">
        <v>1007</v>
      </c>
      <c r="B47" s="282"/>
      <c r="C47" s="282"/>
      <c r="D47" s="282"/>
      <c r="E47" s="282"/>
      <c r="F47" s="282"/>
      <c r="G47" s="282"/>
      <c r="H47" s="282"/>
      <c r="I47" s="282"/>
      <c r="J47" s="282"/>
      <c r="K47" s="282"/>
    </row>
    <row r="48" customFormat="false" ht="23.25" hidden="false" customHeight="true" outlineLevel="0" collapsed="false">
      <c r="A48" s="299" t="s">
        <v>1008</v>
      </c>
      <c r="B48" s="299" t="s">
        <v>1009</v>
      </c>
      <c r="C48" s="299" t="s">
        <v>219</v>
      </c>
      <c r="D48" s="299" t="s">
        <v>1010</v>
      </c>
      <c r="E48" s="299" t="s">
        <v>1011</v>
      </c>
      <c r="F48" s="299" t="s">
        <v>1012</v>
      </c>
      <c r="G48" s="299" t="s">
        <v>1013</v>
      </c>
      <c r="H48" s="299" t="s">
        <v>1014</v>
      </c>
      <c r="I48" s="299" t="s">
        <v>1015</v>
      </c>
      <c r="J48" s="299" t="s">
        <v>1016</v>
      </c>
      <c r="K48" s="299" t="s">
        <v>1017</v>
      </c>
    </row>
    <row r="49" customFormat="false" ht="15" hidden="false" customHeight="true" outlineLevel="0" collapsed="false">
      <c r="A49" s="321" t="n">
        <f aca="false">'Monthly Model'!N3</f>
        <v>46753</v>
      </c>
      <c r="B49" s="284" t="n">
        <f aca="false">Assumptions!$B$21+SUM('Monthly Model'!$B$22:N22)</f>
        <v>45000000</v>
      </c>
      <c r="C49" s="284" t="n">
        <f aca="false">SUM('Monthly Model'!$B$30:N30)</f>
        <v>-7549963.02446333</v>
      </c>
      <c r="D49" s="284" t="n">
        <f aca="false">Assumptions!$B$93+(Assumptions!$C$93-Assumptions!$B$93)*1/12</f>
        <v>38556.7336397916</v>
      </c>
      <c r="E49" s="284" t="n">
        <f aca="false">'Regulatory Capital Plan'!$B$9+('Regulatory Capital Plan'!$C$9-'Regulatory Capital Plan'!$B$9)*1/12</f>
        <v>2606200</v>
      </c>
      <c r="F49" s="284" t="n">
        <f aca="false">B49+C49</f>
        <v>37450036.9755367</v>
      </c>
      <c r="G49" s="284" t="n">
        <f aca="false">'Monthly Model'!N33</f>
        <v>24666666.6666667</v>
      </c>
      <c r="H49" s="284" t="n">
        <f aca="false">IFERROR(G49/F49,0)</f>
        <v>0.658655335448122</v>
      </c>
      <c r="I49" s="284" t="n">
        <f aca="false">'Monthly Model'!N34</f>
        <v>4</v>
      </c>
      <c r="J49" s="284" t="n">
        <f aca="false">I49-H49</f>
        <v>3.34134466455188</v>
      </c>
      <c r="K49" s="284" t="str">
        <f aca="false">IF(H49&lt;=I49,"متوافق","فجوة")</f>
        <v>متوافق</v>
      </c>
    </row>
    <row r="50" customFormat="false" ht="15" hidden="false" customHeight="true" outlineLevel="0" collapsed="false">
      <c r="A50" s="322" t="n">
        <f aca="false">'Monthly Model'!O3</f>
        <v>46784</v>
      </c>
      <c r="B50" s="284" t="n">
        <f aca="false">Assumptions!$B$21+SUM('Monthly Model'!$B$22:O22)</f>
        <v>45000000</v>
      </c>
      <c r="C50" s="284" t="n">
        <f aca="false">SUM('Monthly Model'!$B$30:O30)</f>
        <v>-6933055.28622667</v>
      </c>
      <c r="D50" s="284" t="n">
        <f aca="false">Assumptions!$B$93+(Assumptions!$C$93-Assumptions!$B$93)*2/12</f>
        <v>77113.4672795832</v>
      </c>
      <c r="E50" s="284" t="n">
        <f aca="false">'Regulatory Capital Plan'!$B$9+('Regulatory Capital Plan'!$C$9-'Regulatory Capital Plan'!$B$9)*2/12</f>
        <v>2631200</v>
      </c>
      <c r="F50" s="284" t="n">
        <f aca="false">B50+C50</f>
        <v>38066944.7137733</v>
      </c>
      <c r="G50" s="284" t="n">
        <f aca="false">'Monthly Model'!O33</f>
        <v>49333333.3333334</v>
      </c>
      <c r="H50" s="284" t="n">
        <f aca="false">IFERROR(G50/F50,0)</f>
        <v>1.29596251299579</v>
      </c>
      <c r="I50" s="284" t="n">
        <f aca="false">'Monthly Model'!O34</f>
        <v>4</v>
      </c>
      <c r="J50" s="284" t="n">
        <f aca="false">I50-H50</f>
        <v>2.70403748700421</v>
      </c>
      <c r="K50" s="284" t="str">
        <f aca="false">IF(H50&lt;=I50,"متوافق","فجوة")</f>
        <v>متوافق</v>
      </c>
    </row>
    <row r="51" customFormat="false" ht="15" hidden="false" customHeight="true" outlineLevel="0" collapsed="false">
      <c r="A51" s="323" t="n">
        <f aca="false">'Monthly Model'!P3</f>
        <v>46813</v>
      </c>
      <c r="B51" s="284" t="n">
        <f aca="false">Assumptions!$B$21+SUM('Monthly Model'!$B$22:P22)</f>
        <v>45000000</v>
      </c>
      <c r="C51" s="284" t="n">
        <f aca="false">SUM('Monthly Model'!$B$30:P30)</f>
        <v>-6316147.54799</v>
      </c>
      <c r="D51" s="284" t="n">
        <f aca="false">Assumptions!$B$93+(Assumptions!$C$93-Assumptions!$B$93)*3/12</f>
        <v>115670.200919375</v>
      </c>
      <c r="E51" s="284" t="n">
        <f aca="false">'Regulatory Capital Plan'!$B$9+('Regulatory Capital Plan'!$C$9-'Regulatory Capital Plan'!$B$9)*3/12</f>
        <v>2656200</v>
      </c>
      <c r="F51" s="284" t="n">
        <f aca="false">B51+C51</f>
        <v>38683852.45201</v>
      </c>
      <c r="G51" s="284" t="n">
        <f aca="false">'Monthly Model'!P33</f>
        <v>74000000</v>
      </c>
      <c r="H51" s="284" t="n">
        <f aca="false">IFERROR(G51/F51,0)</f>
        <v>1.91294287692267</v>
      </c>
      <c r="I51" s="284" t="n">
        <f aca="false">'Monthly Model'!P34</f>
        <v>4</v>
      </c>
      <c r="J51" s="284" t="n">
        <f aca="false">I51-H51</f>
        <v>2.08705712307733</v>
      </c>
      <c r="K51" s="284" t="str">
        <f aca="false">IF(H51&lt;=I51,"متوافق","فجوة")</f>
        <v>متوافق</v>
      </c>
    </row>
    <row r="52" customFormat="false" ht="15" hidden="false" customHeight="true" outlineLevel="0" collapsed="false">
      <c r="A52" s="324" t="n">
        <f aca="false">'Monthly Model'!Q3</f>
        <v>46844</v>
      </c>
      <c r="B52" s="284" t="n">
        <f aca="false">Assumptions!$B$21+SUM('Monthly Model'!$B$22:Q22)</f>
        <v>45000000</v>
      </c>
      <c r="C52" s="284" t="n">
        <f aca="false">SUM('Monthly Model'!$B$30:Q30)</f>
        <v>-5606703.64901784</v>
      </c>
      <c r="D52" s="284" t="n">
        <f aca="false">Assumptions!$B$93+(Assumptions!$C$93-Assumptions!$B$93)*4/12</f>
        <v>154226.934559166</v>
      </c>
      <c r="E52" s="284" t="n">
        <f aca="false">'Regulatory Capital Plan'!$B$9+('Regulatory Capital Plan'!$C$9-'Regulatory Capital Plan'!$B$9)*4/12</f>
        <v>2681200</v>
      </c>
      <c r="F52" s="284" t="n">
        <f aca="false">B52+C52</f>
        <v>39393296.3509822</v>
      </c>
      <c r="G52" s="284" t="n">
        <f aca="false">'Monthly Model'!Q33</f>
        <v>102366666.666667</v>
      </c>
      <c r="H52" s="284" t="n">
        <f aca="false">IFERROR(G52/F52,0)</f>
        <v>2.59858087920877</v>
      </c>
      <c r="I52" s="284" t="n">
        <f aca="false">'Monthly Model'!Q34</f>
        <v>4</v>
      </c>
      <c r="J52" s="284" t="n">
        <f aca="false">I52-H52</f>
        <v>1.40141912079123</v>
      </c>
      <c r="K52" s="284" t="str">
        <f aca="false">IF(H52&lt;=I52,"متوافق","فجوة")</f>
        <v>متوافق</v>
      </c>
    </row>
    <row r="53" customFormat="false" ht="15" hidden="false" customHeight="true" outlineLevel="0" collapsed="false">
      <c r="A53" s="325" t="n">
        <f aca="false">'Monthly Model'!R3</f>
        <v>46874</v>
      </c>
      <c r="B53" s="284" t="n">
        <f aca="false">Assumptions!$B$21+SUM('Monthly Model'!$B$22:R22)</f>
        <v>60000000</v>
      </c>
      <c r="C53" s="284" t="n">
        <f aca="false">SUM('Monthly Model'!$B$30:R30)</f>
        <v>-4897259.75004567</v>
      </c>
      <c r="D53" s="284" t="n">
        <f aca="false">Assumptions!$B$93+(Assumptions!$C$93-Assumptions!$B$93)*5/12</f>
        <v>192783.668198958</v>
      </c>
      <c r="E53" s="284" t="n">
        <f aca="false">'Regulatory Capital Plan'!$B$9+('Regulatory Capital Plan'!$C$9-'Regulatory Capital Plan'!$B$9)*5/12</f>
        <v>2706200</v>
      </c>
      <c r="F53" s="284" t="n">
        <f aca="false">B53+C53</f>
        <v>55102740.2499543</v>
      </c>
      <c r="G53" s="284" t="n">
        <f aca="false">'Monthly Model'!R33</f>
        <v>130733333.333333</v>
      </c>
      <c r="H53" s="284" t="n">
        <f aca="false">IFERROR(G53/F53,0)</f>
        <v>2.3725377856039</v>
      </c>
      <c r="I53" s="284" t="n">
        <f aca="false">'Monthly Model'!R34</f>
        <v>4</v>
      </c>
      <c r="J53" s="284" t="n">
        <f aca="false">I53-H53</f>
        <v>1.6274622143961</v>
      </c>
      <c r="K53" s="284" t="str">
        <f aca="false">IF(H53&lt;=I53,"متوافق","فجوة")</f>
        <v>متوافق</v>
      </c>
    </row>
    <row r="54" customFormat="false" ht="15" hidden="false" customHeight="true" outlineLevel="0" collapsed="false">
      <c r="A54" s="326" t="n">
        <f aca="false">'Monthly Model'!S3</f>
        <v>46905</v>
      </c>
      <c r="B54" s="284" t="n">
        <f aca="false">Assumptions!$B$21+SUM('Monthly Model'!$B$22:S22)</f>
        <v>60000000</v>
      </c>
      <c r="C54" s="284" t="n">
        <f aca="false">SUM('Monthly Model'!$B$30:S30)</f>
        <v>-4187815.85107351</v>
      </c>
      <c r="D54" s="284" t="n">
        <f aca="false">Assumptions!$B$93+(Assumptions!$C$93-Assumptions!$B$93)*6/12</f>
        <v>231340.40183875</v>
      </c>
      <c r="E54" s="284" t="n">
        <f aca="false">'Regulatory Capital Plan'!$B$9+('Regulatory Capital Plan'!$C$9-'Regulatory Capital Plan'!$B$9)*6/12</f>
        <v>2731200</v>
      </c>
      <c r="F54" s="284" t="n">
        <f aca="false">B54+C54</f>
        <v>55812184.1489265</v>
      </c>
      <c r="G54" s="284" t="n">
        <f aca="false">'Monthly Model'!S33</f>
        <v>159100000</v>
      </c>
      <c r="H54" s="284" t="n">
        <f aca="false">IFERROR(G54/F54,0)</f>
        <v>2.85063203359799</v>
      </c>
      <c r="I54" s="284" t="n">
        <f aca="false">'Monthly Model'!S34</f>
        <v>4</v>
      </c>
      <c r="J54" s="284" t="n">
        <f aca="false">I54-H54</f>
        <v>1.14936796640201</v>
      </c>
      <c r="K54" s="284" t="str">
        <f aca="false">IF(H54&lt;=I54,"متوافق","فجوة")</f>
        <v>متوافق</v>
      </c>
    </row>
    <row r="55" customFormat="false" ht="15" hidden="false" customHeight="true" outlineLevel="0" collapsed="false">
      <c r="A55" s="327" t="n">
        <f aca="false">'Monthly Model'!T3</f>
        <v>46935</v>
      </c>
      <c r="B55" s="284" t="n">
        <f aca="false">Assumptions!$B$21+SUM('Monthly Model'!$B$22:T22)</f>
        <v>60000000</v>
      </c>
      <c r="C55" s="284" t="n">
        <f aca="false">SUM('Monthly Model'!$B$30:T30)</f>
        <v>-3354990.40445401</v>
      </c>
      <c r="D55" s="284" t="n">
        <f aca="false">Assumptions!$B$93+(Assumptions!$C$93-Assumptions!$B$93)*7/12</f>
        <v>269897.135478541</v>
      </c>
      <c r="E55" s="284" t="n">
        <f aca="false">'Regulatory Capital Plan'!$B$9+('Regulatory Capital Plan'!$C$9-'Regulatory Capital Plan'!$B$9)*7/12</f>
        <v>2756200</v>
      </c>
      <c r="F55" s="284" t="n">
        <f aca="false">B55+C55</f>
        <v>56645009.595546</v>
      </c>
      <c r="G55" s="284" t="n">
        <f aca="false">'Monthly Model'!T33</f>
        <v>192400000</v>
      </c>
      <c r="H55" s="284" t="n">
        <f aca="false">IFERROR(G55/F55,0)</f>
        <v>3.39659223952411</v>
      </c>
      <c r="I55" s="284" t="n">
        <f aca="false">'Monthly Model'!T34</f>
        <v>4</v>
      </c>
      <c r="J55" s="284" t="n">
        <f aca="false">I55-H55</f>
        <v>0.603407760475893</v>
      </c>
      <c r="K55" s="284" t="str">
        <f aca="false">IF(H55&lt;=I55,"متوافق","فجوة")</f>
        <v>متوافق</v>
      </c>
    </row>
    <row r="56" customFormat="false" ht="15" hidden="false" customHeight="true" outlineLevel="0" collapsed="false">
      <c r="A56" s="328" t="n">
        <f aca="false">'Monthly Model'!U3</f>
        <v>46966</v>
      </c>
      <c r="B56" s="284" t="n">
        <f aca="false">Assumptions!$B$21+SUM('Monthly Model'!$B$22:U22)</f>
        <v>60000000</v>
      </c>
      <c r="C56" s="284" t="n">
        <f aca="false">SUM('Monthly Model'!$B$30:U30)</f>
        <v>-2522164.95783451</v>
      </c>
      <c r="D56" s="284" t="n">
        <f aca="false">Assumptions!$B$93+(Assumptions!$C$93-Assumptions!$B$93)*8/12</f>
        <v>308453.869118333</v>
      </c>
      <c r="E56" s="284" t="n">
        <f aca="false">'Regulatory Capital Plan'!$B$9+('Regulatory Capital Plan'!$C$9-'Regulatory Capital Plan'!$B$9)*8/12</f>
        <v>2781200</v>
      </c>
      <c r="F56" s="284" t="n">
        <f aca="false">B56+C56</f>
        <v>57477835.0421655</v>
      </c>
      <c r="G56" s="284" t="n">
        <f aca="false">'Monthly Model'!U33</f>
        <v>225700000</v>
      </c>
      <c r="H56" s="284" t="n">
        <f aca="false">IFERROR(G56/F56,0)</f>
        <v>3.92673105788392</v>
      </c>
      <c r="I56" s="284" t="n">
        <f aca="false">'Monthly Model'!U34</f>
        <v>4</v>
      </c>
      <c r="J56" s="284" t="n">
        <f aca="false">I56-H56</f>
        <v>0.0732689421160773</v>
      </c>
      <c r="K56" s="284" t="str">
        <f aca="false">IF(H56&lt;=I56,"متوافق","فجوة")</f>
        <v>متوافق</v>
      </c>
    </row>
    <row r="57" customFormat="false" ht="15" hidden="false" customHeight="true" outlineLevel="0" collapsed="false">
      <c r="A57" s="329" t="n">
        <f aca="false">'Monthly Model'!V3</f>
        <v>46997</v>
      </c>
      <c r="B57" s="284" t="n">
        <f aca="false">Assumptions!$B$21+SUM('Monthly Model'!$B$22:V22)</f>
        <v>75000000</v>
      </c>
      <c r="C57" s="284" t="n">
        <f aca="false">SUM('Monthly Model'!$B$30:V30)</f>
        <v>-1689339.51121501</v>
      </c>
      <c r="D57" s="284" t="n">
        <f aca="false">Assumptions!$B$93+(Assumptions!$C$93-Assumptions!$B$93)*9/12</f>
        <v>347010.602758124</v>
      </c>
      <c r="E57" s="284" t="n">
        <f aca="false">'Regulatory Capital Plan'!$B$9+('Regulatory Capital Plan'!$C$9-'Regulatory Capital Plan'!$B$9)*9/12</f>
        <v>2806200</v>
      </c>
      <c r="F57" s="284" t="n">
        <f aca="false">B57+C57</f>
        <v>73310660.488785</v>
      </c>
      <c r="G57" s="284" t="n">
        <f aca="false">'Monthly Model'!V33</f>
        <v>259000000</v>
      </c>
      <c r="H57" s="284" t="n">
        <f aca="false">IFERROR(G57/F57,0)</f>
        <v>3.53291046995303</v>
      </c>
      <c r="I57" s="284" t="n">
        <f aca="false">'Monthly Model'!V34</f>
        <v>4</v>
      </c>
      <c r="J57" s="284" t="n">
        <f aca="false">I57-H57</f>
        <v>0.467089530046974</v>
      </c>
      <c r="K57" s="284" t="str">
        <f aca="false">IF(H57&lt;=I57,"متوافق","فجوة")</f>
        <v>متوافق</v>
      </c>
    </row>
    <row r="58" customFormat="false" ht="15" hidden="false" customHeight="true" outlineLevel="0" collapsed="false">
      <c r="A58" s="330" t="n">
        <f aca="false">'Monthly Model'!W3</f>
        <v>47027</v>
      </c>
      <c r="B58" s="284" t="n">
        <f aca="false">Assumptions!$B$21+SUM('Monthly Model'!$B$22:W22)</f>
        <v>75000000</v>
      </c>
      <c r="C58" s="284" t="n">
        <f aca="false">SUM('Monthly Model'!$B$30:W30)</f>
        <v>-763977.903860014</v>
      </c>
      <c r="D58" s="284" t="n">
        <f aca="false">Assumptions!$B$93+(Assumptions!$C$93-Assumptions!$B$93)*10/12</f>
        <v>385567.336397916</v>
      </c>
      <c r="E58" s="284" t="n">
        <f aca="false">'Regulatory Capital Plan'!$B$9+('Regulatory Capital Plan'!$C$9-'Regulatory Capital Plan'!$B$9)*10/12</f>
        <v>2831200</v>
      </c>
      <c r="F58" s="284" t="n">
        <f aca="false">B58+C58</f>
        <v>74236022.09614</v>
      </c>
      <c r="G58" s="284" t="n">
        <f aca="false">'Monthly Model'!W33</f>
        <v>296000000</v>
      </c>
      <c r="H58" s="284" t="n">
        <f aca="false">IFERROR(G58/F58,0)</f>
        <v>3.98728261081477</v>
      </c>
      <c r="I58" s="284" t="n">
        <f aca="false">'Monthly Model'!W34</f>
        <v>4</v>
      </c>
      <c r="J58" s="284" t="n">
        <f aca="false">I58-H58</f>
        <v>0.0127173891852284</v>
      </c>
      <c r="K58" s="284" t="str">
        <f aca="false">IF(H58&lt;=I58,"متوافق","فجوة")</f>
        <v>متوافق</v>
      </c>
    </row>
    <row r="59" customFormat="false" ht="15" hidden="false" customHeight="true" outlineLevel="0" collapsed="false">
      <c r="A59" s="331" t="n">
        <f aca="false">'Monthly Model'!X3</f>
        <v>47058</v>
      </c>
      <c r="B59" s="284" t="n">
        <f aca="false">Assumptions!$B$21+SUM('Monthly Model'!$B$22:X22)</f>
        <v>75000000</v>
      </c>
      <c r="C59" s="284" t="n">
        <f aca="false">SUM('Monthly Model'!$B$30:X30)</f>
        <v>161383.703494984</v>
      </c>
      <c r="D59" s="284" t="n">
        <f aca="false">Assumptions!$B$93+(Assumptions!$C$93-Assumptions!$B$93)*11/12</f>
        <v>424124.070037707</v>
      </c>
      <c r="E59" s="284" t="n">
        <f aca="false">'Regulatory Capital Plan'!$B$9+('Regulatory Capital Plan'!$C$9-'Regulatory Capital Plan'!$B$9)*11/12</f>
        <v>2856200</v>
      </c>
      <c r="F59" s="284" t="n">
        <f aca="false">B59+C59</f>
        <v>75161383.703495</v>
      </c>
      <c r="G59" s="284" t="n">
        <f aca="false">'Monthly Model'!X33</f>
        <v>333000000</v>
      </c>
      <c r="H59" s="284" t="n">
        <f aca="false">IFERROR(G59/F59,0)</f>
        <v>4.43046659856151</v>
      </c>
      <c r="I59" s="284" t="n">
        <f aca="false">'Monthly Model'!X34</f>
        <v>4</v>
      </c>
      <c r="J59" s="284" t="n">
        <f aca="false">I59-H59</f>
        <v>-0.430466598561512</v>
      </c>
      <c r="K59" s="284" t="str">
        <f aca="false">IF(H59&lt;=I59,"متوافق","فجوة")</f>
        <v>فجوة</v>
      </c>
    </row>
    <row r="60" customFormat="false" ht="15" hidden="false" customHeight="true" outlineLevel="0" collapsed="false">
      <c r="A60" s="332" t="n">
        <f aca="false">'Monthly Model'!Y3</f>
        <v>47088</v>
      </c>
      <c r="B60" s="284" t="n">
        <f aca="false">Assumptions!$B$21+SUM('Monthly Model'!$B$22:Y22)</f>
        <v>75000000</v>
      </c>
      <c r="C60" s="284" t="n">
        <f aca="false">SUM('Monthly Model'!$B$30:Y30)</f>
        <v>1086745.31084998</v>
      </c>
      <c r="D60" s="284" t="n">
        <f aca="false">Assumptions!$B$93+(Assumptions!$C$93-Assumptions!$B$93)*12/12</f>
        <v>462680.803677499</v>
      </c>
      <c r="E60" s="284" t="n">
        <f aca="false">'Regulatory Capital Plan'!$B$9+('Regulatory Capital Plan'!$C$9-'Regulatory Capital Plan'!$B$9)*12/12</f>
        <v>2881200</v>
      </c>
      <c r="F60" s="284" t="n">
        <f aca="false">B60+C60</f>
        <v>76086745.31085</v>
      </c>
      <c r="G60" s="284" t="n">
        <f aca="false">'Monthly Model'!Y33</f>
        <v>370000000</v>
      </c>
      <c r="H60" s="284" t="n">
        <f aca="false">IFERROR(G60/F60,0)</f>
        <v>4.86287064177048</v>
      </c>
      <c r="I60" s="284" t="n">
        <f aca="false">'Monthly Model'!Y34</f>
        <v>4</v>
      </c>
      <c r="J60" s="284" t="n">
        <f aca="false">I60-H60</f>
        <v>-0.86287064177048</v>
      </c>
      <c r="K60" s="284" t="str">
        <f aca="false">IF(H60&lt;=I60,"متوافق","فجوة")</f>
        <v>فجوة</v>
      </c>
    </row>
    <row r="61" customFormat="false" ht="15" hidden="false" customHeight="true" outlineLevel="0" collapsed="false"/>
    <row r="62" customFormat="false" ht="15" hidden="false" customHeight="true" outlineLevel="0" collapsed="false">
      <c r="A62" s="282" t="s">
        <v>1018</v>
      </c>
      <c r="B62" s="282"/>
      <c r="C62" s="282"/>
      <c r="D62" s="282"/>
      <c r="E62" s="282"/>
      <c r="F62" s="282"/>
    </row>
    <row r="63" customFormat="false" ht="45.75" hidden="false" customHeight="true" outlineLevel="0" collapsed="false">
      <c r="A63" s="299" t="s">
        <v>627</v>
      </c>
      <c r="B63" s="299" t="s">
        <v>1019</v>
      </c>
      <c r="C63" s="299" t="s">
        <v>1020</v>
      </c>
      <c r="D63" s="299" t="s">
        <v>1021</v>
      </c>
      <c r="E63" s="299" t="s">
        <v>1014</v>
      </c>
      <c r="F63" s="299" t="s">
        <v>657</v>
      </c>
    </row>
    <row r="64" customFormat="false" ht="34.5" hidden="false" customHeight="true" outlineLevel="0" collapsed="false">
      <c r="A64" s="60" t="s">
        <v>1022</v>
      </c>
      <c r="B64" s="284" t="n">
        <f aca="false">'Regulatory Capital Plan'!C10</f>
        <v>73205545.31085</v>
      </c>
      <c r="C64" s="284" t="n">
        <f aca="false">G60</f>
        <v>370000000</v>
      </c>
      <c r="D64" s="284" t="n">
        <v>9</v>
      </c>
      <c r="E64" s="284" t="n">
        <f aca="false">C64/B64</f>
        <v>5.05426192003465</v>
      </c>
      <c r="F64" s="284" t="str">
        <f aca="false">IF(E64&lt;=D64,"متوافق","فجوة")</f>
        <v>متوافق</v>
      </c>
    </row>
    <row r="65" customFormat="false" ht="45.75" hidden="false" customHeight="true" outlineLevel="0" collapsed="false">
      <c r="A65" s="60" t="s">
        <v>1023</v>
      </c>
      <c r="B65" s="284" t="n">
        <f aca="false">'Regulatory Capital Plan'!C7</f>
        <v>76086745.31085</v>
      </c>
      <c r="C65" s="284" t="n">
        <f aca="false">G60</f>
        <v>370000000</v>
      </c>
      <c r="D65" s="284" t="n">
        <v>4</v>
      </c>
      <c r="E65" s="284" t="n">
        <f aca="false">C65/B65</f>
        <v>4.86287064177048</v>
      </c>
      <c r="F65" s="284" t="str">
        <f aca="false">IF(E65&lt;=D65,"متوافق","فجوة")</f>
        <v>فجوة</v>
      </c>
    </row>
    <row r="66" customFormat="false" ht="42" hidden="false" customHeight="true" outlineLevel="0" collapsed="false">
      <c r="A66" s="60" t="s">
        <v>1024</v>
      </c>
      <c r="B66" s="60"/>
      <c r="C66" s="60"/>
      <c r="D66" s="60"/>
      <c r="E66" s="60"/>
      <c r="F66" s="60"/>
      <c r="G66" s="109"/>
    </row>
    <row r="67" customFormat="false" ht="15" hidden="false" customHeight="true" outlineLevel="0" collapsed="false"/>
    <row r="68" customFormat="false" ht="15" hidden="false" customHeight="true" outlineLevel="0" collapsed="false">
      <c r="A68" s="282" t="s">
        <v>1025</v>
      </c>
      <c r="B68" s="282"/>
      <c r="C68" s="282"/>
      <c r="D68" s="282"/>
      <c r="E68" s="282"/>
      <c r="F68" s="282"/>
    </row>
    <row r="69" customFormat="false" ht="15" hidden="false" customHeight="true" outlineLevel="0" collapsed="false">
      <c r="A69" s="281" t="s">
        <v>83</v>
      </c>
      <c r="B69" s="281" t="s">
        <v>84</v>
      </c>
      <c r="C69" s="281" t="s">
        <v>85</v>
      </c>
      <c r="D69" s="281" t="s">
        <v>86</v>
      </c>
      <c r="E69" s="281" t="s">
        <v>87</v>
      </c>
      <c r="F69" s="281" t="s">
        <v>88</v>
      </c>
    </row>
    <row r="70" customFormat="false" ht="15" hidden="false" customHeight="true" outlineLevel="0" collapsed="false">
      <c r="A70" s="283" t="s">
        <v>1026</v>
      </c>
      <c r="B70" s="284" t="n">
        <f aca="false">'Balance Sheet'!B5</f>
        <v>3220917.99</v>
      </c>
      <c r="C70" s="284" t="n">
        <f aca="false">'Balance Sheet'!C5</f>
        <v>9502515.43684994</v>
      </c>
      <c r="D70" s="284" t="n">
        <f aca="false">'Balance Sheet'!D5</f>
        <v>13213488.5045099</v>
      </c>
      <c r="E70" s="284" t="n">
        <f aca="false">'Balance Sheet'!E5</f>
        <v>65805119.911818</v>
      </c>
      <c r="F70" s="284" t="n">
        <f aca="false">'Balance Sheet'!F5</f>
        <v>240780577.47023</v>
      </c>
    </row>
    <row r="71" customFormat="false" ht="15" hidden="false" customHeight="true" outlineLevel="0" collapsed="false">
      <c r="A71" s="283" t="s">
        <v>1027</v>
      </c>
      <c r="B71" s="284" t="n">
        <v>0</v>
      </c>
      <c r="C71" s="284" t="n">
        <v>0</v>
      </c>
      <c r="D71" s="284" t="n">
        <v>0</v>
      </c>
      <c r="E71" s="284" t="n">
        <v>0</v>
      </c>
      <c r="F71" s="284" t="n">
        <v>0</v>
      </c>
    </row>
    <row r="72" customFormat="false" ht="15" hidden="false" customHeight="true" outlineLevel="0" collapsed="false">
      <c r="A72" s="283" t="s">
        <v>1028</v>
      </c>
      <c r="B72" s="284" t="n">
        <v>0</v>
      </c>
      <c r="C72" s="284" t="n">
        <v>0</v>
      </c>
      <c r="D72" s="284" t="n">
        <v>0</v>
      </c>
      <c r="E72" s="284" t="n">
        <v>0</v>
      </c>
      <c r="F72" s="284" t="n">
        <v>0</v>
      </c>
    </row>
    <row r="73" customFormat="false" ht="15" hidden="false" customHeight="true" outlineLevel="0" collapsed="false">
      <c r="A73" s="283" t="s">
        <v>1029</v>
      </c>
      <c r="B73" s="284" t="n">
        <f aca="false">SUM(B70:B72)</f>
        <v>3220917.99</v>
      </c>
      <c r="C73" s="284" t="n">
        <f aca="false">SUM(C70:C72)</f>
        <v>9502515.43684994</v>
      </c>
      <c r="D73" s="284" t="n">
        <f aca="false">SUM(D70:D72)</f>
        <v>13213488.5045099</v>
      </c>
      <c r="E73" s="284" t="n">
        <f aca="false">SUM(E70:E72)</f>
        <v>65805119.911818</v>
      </c>
      <c r="F73" s="284" t="n">
        <f aca="false">SUM(F70:F72)</f>
        <v>240780577.47023</v>
      </c>
    </row>
    <row r="74" customFormat="false" ht="15" hidden="false" customHeight="true" outlineLevel="0" collapsed="false">
      <c r="A74" s="283" t="s">
        <v>1030</v>
      </c>
      <c r="B74" s="284" t="n">
        <f aca="false">Assumptions!B78/12</f>
        <v>589807.9925</v>
      </c>
      <c r="C74" s="284" t="n">
        <f aca="false">Assumptions!C78/12</f>
        <v>7964173.65666667</v>
      </c>
      <c r="D74" s="284" t="n">
        <f aca="false">Assumptions!D78/12</f>
        <v>32500000</v>
      </c>
      <c r="E74" s="284" t="n">
        <f aca="false">Assumptions!E78/12</f>
        <v>68333333.3333333</v>
      </c>
      <c r="F74" s="284" t="n">
        <f aca="false">Assumptions!F78/12</f>
        <v>129166666.666667</v>
      </c>
    </row>
    <row r="75" customFormat="false" ht="15" hidden="false" customHeight="true" outlineLevel="0" collapsed="false">
      <c r="A75" s="283" t="s">
        <v>1031</v>
      </c>
      <c r="B75" s="284" t="n">
        <f aca="false">B12/12</f>
        <v>0</v>
      </c>
      <c r="C75" s="284" t="n">
        <f aca="false">C12/12</f>
        <v>5973130.2425</v>
      </c>
      <c r="D75" s="284" t="n">
        <f aca="false">D12/12</f>
        <v>24375000</v>
      </c>
      <c r="E75" s="284" t="n">
        <f aca="false">E12/12</f>
        <v>51250000</v>
      </c>
      <c r="F75" s="284" t="n">
        <f aca="false">F12/12</f>
        <v>96875000</v>
      </c>
    </row>
    <row r="76" customFormat="false" ht="15" hidden="false" customHeight="true" outlineLevel="0" collapsed="false">
      <c r="A76" s="283" t="s">
        <v>1032</v>
      </c>
      <c r="B76" s="284" t="n">
        <f aca="false">'Income Statement'!B15/12</f>
        <v>0</v>
      </c>
      <c r="C76" s="284" t="n">
        <f aca="false">'Income Statement'!C15/12</f>
        <v>3103375</v>
      </c>
      <c r="D76" s="284" t="n">
        <f aca="false">'Income Statement'!D15/12</f>
        <v>8568541.66666667</v>
      </c>
      <c r="E76" s="284" t="n">
        <f aca="false">'Income Statement'!E15/12</f>
        <v>14735625</v>
      </c>
      <c r="F76" s="284" t="n">
        <f aca="false">'Income Statement'!F15/12</f>
        <v>27111281.25</v>
      </c>
    </row>
    <row r="77" customFormat="false" ht="15" hidden="false" customHeight="true" outlineLevel="0" collapsed="false">
      <c r="A77" s="283" t="s">
        <v>1033</v>
      </c>
      <c r="B77" s="284" t="n">
        <f aca="false">('Income Statement'!B17+'Income Statement'!B18)/12</f>
        <v>1299276</v>
      </c>
      <c r="C77" s="284" t="n">
        <f aca="false">('Income Statement'!C17+'Income Statement'!C18)/12</f>
        <v>1919260</v>
      </c>
      <c r="D77" s="284" t="n">
        <f aca="false">('Income Statement'!D17+'Income Statement'!D18)/12</f>
        <v>2516609.08333333</v>
      </c>
      <c r="E77" s="284" t="n">
        <f aca="false">('Income Statement'!E17+'Income Statement'!E18)/12</f>
        <v>3152558.66666667</v>
      </c>
      <c r="F77" s="284" t="n">
        <f aca="false">('Income Statement'!F17+'Income Statement'!F18)/12</f>
        <v>4009739.7</v>
      </c>
    </row>
    <row r="78" customFormat="false" ht="15" hidden="false" customHeight="true" outlineLevel="0" collapsed="false">
      <c r="A78" s="283" t="s">
        <v>1034</v>
      </c>
      <c r="B78" s="284" t="n">
        <f aca="false">'Balance Sheet'!B14*(1-Assumptions!B102)*10%</f>
        <v>0</v>
      </c>
      <c r="C78" s="284" t="n">
        <f aca="false">'Balance Sheet'!C14*(1-Assumptions!C102)*10%</f>
        <v>5550000</v>
      </c>
      <c r="D78" s="284" t="n">
        <f aca="false">'Balance Sheet'!D14*(1-Assumptions!D102)*10%</f>
        <v>6850000</v>
      </c>
      <c r="E78" s="284" t="n">
        <f aca="false">'Balance Sheet'!E14*(1-Assumptions!E102)*10%</f>
        <v>13350000</v>
      </c>
      <c r="F78" s="284" t="n">
        <f aca="false">'Balance Sheet'!F14*(1-Assumptions!F102)*10%</f>
        <v>26000000</v>
      </c>
    </row>
    <row r="79" customFormat="false" ht="15" hidden="false" customHeight="true" outlineLevel="0" collapsed="false">
      <c r="A79" s="283" t="s">
        <v>1035</v>
      </c>
      <c r="B79" s="284" t="n">
        <f aca="false">SUM(B75:B78)</f>
        <v>1299276</v>
      </c>
      <c r="C79" s="284" t="n">
        <f aca="false">SUM(C75:C78)</f>
        <v>16545765.2425</v>
      </c>
      <c r="D79" s="284" t="n">
        <f aca="false">SUM(D75:D78)</f>
        <v>42310150.75</v>
      </c>
      <c r="E79" s="284" t="n">
        <f aca="false">SUM(E75:E78)</f>
        <v>82488183.6666667</v>
      </c>
      <c r="F79" s="284" t="n">
        <f aca="false">SUM(F75:F78)</f>
        <v>153996020.95</v>
      </c>
    </row>
    <row r="80" customFormat="false" ht="15" hidden="false" customHeight="true" outlineLevel="0" collapsed="false">
      <c r="A80" s="283" t="s">
        <v>1036</v>
      </c>
      <c r="B80" s="284" t="n">
        <v>0</v>
      </c>
      <c r="C80" s="284" t="n">
        <v>0</v>
      </c>
      <c r="D80" s="284" t="n">
        <v>0</v>
      </c>
      <c r="E80" s="284" t="n">
        <v>0</v>
      </c>
      <c r="F80" s="284" t="n">
        <v>0</v>
      </c>
    </row>
    <row r="81" customFormat="false" ht="15" hidden="false" customHeight="true" outlineLevel="0" collapsed="false">
      <c r="A81" s="283" t="s">
        <v>1037</v>
      </c>
      <c r="B81" s="284" t="n">
        <f aca="false">B79+B80</f>
        <v>1299276</v>
      </c>
      <c r="C81" s="284" t="n">
        <f aca="false">C79+C80</f>
        <v>16545765.2425</v>
      </c>
      <c r="D81" s="284" t="n">
        <f aca="false">D79+D80</f>
        <v>42310150.75</v>
      </c>
      <c r="E81" s="284" t="n">
        <f aca="false">E79+E80</f>
        <v>82488183.6666667</v>
      </c>
      <c r="F81" s="284" t="n">
        <f aca="false">F79+F80</f>
        <v>153996020.95</v>
      </c>
    </row>
    <row r="82" customFormat="false" ht="15" hidden="false" customHeight="true" outlineLevel="0" collapsed="false">
      <c r="A82" s="283" t="s">
        <v>1038</v>
      </c>
      <c r="B82" s="284" t="n">
        <f aca="false">B74</f>
        <v>589807.9925</v>
      </c>
      <c r="C82" s="284" t="n">
        <f aca="false">C74</f>
        <v>7964173.65666667</v>
      </c>
      <c r="D82" s="284" t="n">
        <f aca="false">D74</f>
        <v>32500000</v>
      </c>
      <c r="E82" s="284" t="n">
        <f aca="false">E74</f>
        <v>68333333.3333333</v>
      </c>
      <c r="F82" s="284" t="n">
        <f aca="false">F74</f>
        <v>129166666.666667</v>
      </c>
    </row>
    <row r="83" customFormat="false" ht="15" hidden="false" customHeight="true" outlineLevel="0" collapsed="false">
      <c r="A83" s="283" t="s">
        <v>1039</v>
      </c>
      <c r="B83" s="284" t="n">
        <f aca="false">B81*90%</f>
        <v>1169348.4</v>
      </c>
      <c r="C83" s="284" t="n">
        <f aca="false">C81*90%</f>
        <v>14891188.71825</v>
      </c>
      <c r="D83" s="284" t="n">
        <f aca="false">D81*90%</f>
        <v>38079135.675</v>
      </c>
      <c r="E83" s="284" t="n">
        <f aca="false">E81*90%</f>
        <v>74239365.3</v>
      </c>
      <c r="F83" s="284" t="n">
        <f aca="false">F81*90%</f>
        <v>138596418.855</v>
      </c>
    </row>
    <row r="84" customFormat="false" ht="15" hidden="false" customHeight="true" outlineLevel="0" collapsed="false">
      <c r="A84" s="283" t="s">
        <v>977</v>
      </c>
      <c r="B84" s="284" t="n">
        <f aca="false">MAX(1,B81-MIN(B82,B83))</f>
        <v>709468.0075</v>
      </c>
      <c r="C84" s="284" t="n">
        <f aca="false">MAX(1,C81-MIN(C82,C83))</f>
        <v>8581591.58583334</v>
      </c>
      <c r="D84" s="284" t="n">
        <f aca="false">MAX(1,D81-MIN(D82,D83))</f>
        <v>9810150.75</v>
      </c>
      <c r="E84" s="284" t="n">
        <f aca="false">MAX(1,E81-MIN(E82,E83))</f>
        <v>14154850.3333333</v>
      </c>
      <c r="F84" s="284" t="n">
        <f aca="false">MAX(1,F81-MIN(F82,F83))</f>
        <v>24829354.2833333</v>
      </c>
    </row>
    <row r="85" customFormat="false" ht="15" hidden="false" customHeight="true" outlineLevel="0" collapsed="false">
      <c r="A85" s="283" t="s">
        <v>1040</v>
      </c>
      <c r="B85" s="290" t="n">
        <f aca="false">IFERROR(B73/B84,0)</f>
        <v>4.53990589561574</v>
      </c>
      <c r="C85" s="290" t="n">
        <f aca="false">IFERROR(C73/C84,0)</f>
        <v>1.10731387549798</v>
      </c>
      <c r="D85" s="290" t="n">
        <f aca="false">IFERROR(D73/D84,0)</f>
        <v>1.34692002612802</v>
      </c>
      <c r="E85" s="290" t="n">
        <f aca="false">IFERROR(E73/E84,0)</f>
        <v>4.64894494552536</v>
      </c>
      <c r="F85" s="290" t="n">
        <f aca="false">IFERROR(F73/F84,0)</f>
        <v>9.69741599892725</v>
      </c>
    </row>
    <row r="86" customFormat="false" ht="15" hidden="false" customHeight="true" outlineLevel="0" collapsed="false">
      <c r="A86" s="283" t="s">
        <v>1041</v>
      </c>
      <c r="B86" s="284" t="n">
        <f aca="false">ROUND(B85-B21,6)</f>
        <v>0</v>
      </c>
      <c r="C86" s="284" t="n">
        <f aca="false">ROUND(C85-C21,6)</f>
        <v>0</v>
      </c>
      <c r="D86" s="284" t="n">
        <f aca="false">ROUND(D85-D21,6)</f>
        <v>0</v>
      </c>
      <c r="E86" s="284" t="n">
        <f aca="false">ROUND(E85-E21,6)</f>
        <v>0</v>
      </c>
      <c r="F86" s="284" t="n">
        <f aca="false">ROUND(F85-F21,6)</f>
        <v>0</v>
      </c>
    </row>
    <row r="87" customFormat="false" ht="42" hidden="false" customHeight="true" outlineLevel="0" collapsed="false">
      <c r="A87" s="60" t="s">
        <v>1042</v>
      </c>
      <c r="B87" s="60"/>
      <c r="C87" s="60"/>
      <c r="D87" s="60"/>
      <c r="E87" s="60"/>
      <c r="F87" s="60"/>
      <c r="G87" s="109"/>
    </row>
    <row r="88" customFormat="false" ht="15" hidden="false" customHeight="true" outlineLevel="0" collapsed="false"/>
    <row r="89" customFormat="false" ht="15" hidden="false" customHeight="true" outlineLevel="0" collapsed="false">
      <c r="A89" s="282" t="s">
        <v>1043</v>
      </c>
      <c r="B89" s="282"/>
      <c r="C89" s="282"/>
      <c r="D89" s="282"/>
      <c r="E89" s="282"/>
      <c r="F89" s="282"/>
    </row>
    <row r="90" customFormat="false" ht="15" hidden="false" customHeight="true" outlineLevel="0" collapsed="false">
      <c r="A90" s="281" t="s">
        <v>83</v>
      </c>
      <c r="B90" s="281" t="s">
        <v>1044</v>
      </c>
      <c r="C90" s="281" t="s">
        <v>1045</v>
      </c>
      <c r="D90" s="281" t="s">
        <v>1046</v>
      </c>
      <c r="E90" s="281" t="s">
        <v>1047</v>
      </c>
      <c r="F90" s="312" t="s">
        <v>1048</v>
      </c>
      <c r="G90" s="312" t="s">
        <v>1049</v>
      </c>
    </row>
    <row r="91" customFormat="false" ht="15" hidden="false" customHeight="true" outlineLevel="0" collapsed="false">
      <c r="A91" s="283" t="s">
        <v>1050</v>
      </c>
      <c r="B91" s="284" t="n">
        <f aca="false">'Regulatory Capital Plan'!C7</f>
        <v>76086745.31085</v>
      </c>
      <c r="C91" s="283" t="s">
        <v>1051</v>
      </c>
      <c r="D91" s="333" t="n">
        <v>1</v>
      </c>
      <c r="E91" s="284" t="n">
        <f aca="false">B91*D91</f>
        <v>76086745.31085</v>
      </c>
      <c r="F91" s="301" t="s">
        <v>1052</v>
      </c>
      <c r="G91" s="301" t="s">
        <v>1053</v>
      </c>
    </row>
    <row r="92" customFormat="false" ht="15" hidden="false" customHeight="true" outlineLevel="0" collapsed="false">
      <c r="A92" s="283" t="s">
        <v>1054</v>
      </c>
      <c r="B92" s="284" t="n">
        <f aca="false">'Balance Sheet'!C14*Assumptions!C102</f>
        <v>314500000</v>
      </c>
      <c r="C92" s="283" t="s">
        <v>1051</v>
      </c>
      <c r="D92" s="333" t="n">
        <v>1</v>
      </c>
      <c r="E92" s="284" t="n">
        <f aca="false">B92*D92</f>
        <v>314500000</v>
      </c>
      <c r="F92" s="301" t="s">
        <v>1055</v>
      </c>
      <c r="G92" s="301" t="s">
        <v>1056</v>
      </c>
    </row>
    <row r="93" customFormat="false" ht="15" hidden="false" customHeight="true" outlineLevel="0" collapsed="false">
      <c r="A93" s="283" t="s">
        <v>1057</v>
      </c>
      <c r="B93" s="284" t="n">
        <f aca="false">'Balance Sheet'!C14*10%</f>
        <v>37000000</v>
      </c>
      <c r="C93" s="283" t="s">
        <v>1058</v>
      </c>
      <c r="D93" s="333" t="n">
        <v>0.75</v>
      </c>
      <c r="E93" s="284" t="n">
        <f aca="false">B93*D93</f>
        <v>27750000</v>
      </c>
      <c r="F93" s="301" t="s">
        <v>1059</v>
      </c>
      <c r="G93" s="301" t="s">
        <v>1056</v>
      </c>
    </row>
    <row r="94" customFormat="false" ht="15" hidden="false" customHeight="true" outlineLevel="0" collapsed="false">
      <c r="A94" s="283" t="s">
        <v>1060</v>
      </c>
      <c r="B94" s="284" t="n">
        <f aca="false">'Balance Sheet'!C14*MAX(0,1-Assumptions!C102-10%)</f>
        <v>18500000</v>
      </c>
      <c r="C94" s="283" t="s">
        <v>1061</v>
      </c>
      <c r="D94" s="333" t="n">
        <v>0.5</v>
      </c>
      <c r="E94" s="284" t="n">
        <f aca="false">B94*D94</f>
        <v>9250000</v>
      </c>
      <c r="F94" s="301" t="s">
        <v>1062</v>
      </c>
      <c r="G94" s="301" t="s">
        <v>1056</v>
      </c>
    </row>
    <row r="95" customFormat="false" ht="15" hidden="false" customHeight="true" outlineLevel="0" collapsed="false">
      <c r="A95" s="283" t="s">
        <v>1063</v>
      </c>
      <c r="B95" s="284" t="n">
        <f aca="false">'Balance Sheet'!C15</f>
        <v>7500000</v>
      </c>
      <c r="C95" s="283" t="s">
        <v>1064</v>
      </c>
      <c r="D95" s="333" t="n">
        <v>0.5</v>
      </c>
      <c r="E95" s="284" t="n">
        <f aca="false">B95*D95</f>
        <v>3750000</v>
      </c>
      <c r="F95" s="301" t="s">
        <v>42</v>
      </c>
      <c r="G95" s="301" t="s">
        <v>1056</v>
      </c>
    </row>
    <row r="96" customFormat="false" ht="15" hidden="false" customHeight="true" outlineLevel="0" collapsed="false">
      <c r="A96" s="283" t="s">
        <v>985</v>
      </c>
      <c r="B96" s="284" t="n">
        <f aca="false">B91+B92+B93+B94+B95</f>
        <v>453586745.31085</v>
      </c>
      <c r="C96" s="283" t="s">
        <v>708</v>
      </c>
      <c r="D96" s="333"/>
      <c r="E96" s="284" t="n">
        <f aca="false">SUM(E91:E95)</f>
        <v>431336745.31085</v>
      </c>
      <c r="F96" s="301" t="s">
        <v>708</v>
      </c>
      <c r="G96" s="301" t="s">
        <v>708</v>
      </c>
    </row>
    <row r="97" customFormat="false" ht="15" hidden="false" customHeight="true" outlineLevel="0" collapsed="false">
      <c r="A97" s="283" t="s">
        <v>1065</v>
      </c>
      <c r="B97" s="284" t="n">
        <f aca="false">'Balance Sheet'!C8*70%</f>
        <v>307316907.5158</v>
      </c>
      <c r="C97" s="283" t="s">
        <v>1066</v>
      </c>
      <c r="D97" s="333" t="n">
        <v>1</v>
      </c>
      <c r="E97" s="284" t="n">
        <f aca="false">B97*D97</f>
        <v>307316907.5158</v>
      </c>
      <c r="F97" s="301" t="s">
        <v>1067</v>
      </c>
      <c r="G97" s="301" t="s">
        <v>1056</v>
      </c>
    </row>
    <row r="98" customFormat="false" ht="15" hidden="false" customHeight="true" outlineLevel="0" collapsed="false">
      <c r="A98" s="283" t="s">
        <v>1068</v>
      </c>
      <c r="B98" s="284" t="n">
        <f aca="false">'Balance Sheet'!C8*20%</f>
        <v>87804830.7188</v>
      </c>
      <c r="C98" s="283" t="s">
        <v>1069</v>
      </c>
      <c r="D98" s="333" t="n">
        <v>0.75</v>
      </c>
      <c r="E98" s="284" t="n">
        <f aca="false">B98*D98</f>
        <v>65853623.0391</v>
      </c>
      <c r="F98" s="301" t="s">
        <v>1070</v>
      </c>
      <c r="G98" s="301" t="s">
        <v>1056</v>
      </c>
    </row>
    <row r="99" customFormat="false" ht="15" hidden="false" customHeight="true" outlineLevel="0" collapsed="false">
      <c r="A99" s="283" t="s">
        <v>1071</v>
      </c>
      <c r="B99" s="284" t="n">
        <f aca="false">'Balance Sheet'!C8*10%</f>
        <v>43902415.3594</v>
      </c>
      <c r="C99" s="283" t="s">
        <v>1064</v>
      </c>
      <c r="D99" s="333" t="n">
        <v>0.5</v>
      </c>
      <c r="E99" s="284" t="n">
        <f aca="false">B99*D99</f>
        <v>21951207.6797</v>
      </c>
      <c r="F99" s="301" t="s">
        <v>1059</v>
      </c>
      <c r="G99" s="301" t="s">
        <v>1056</v>
      </c>
    </row>
    <row r="100" customFormat="false" ht="15" hidden="false" customHeight="true" outlineLevel="0" collapsed="false">
      <c r="A100" s="283" t="s">
        <v>1072</v>
      </c>
      <c r="B100" s="284" t="n">
        <f aca="false">'Balance Sheet'!C9+'Balance Sheet'!C10</f>
        <v>5060076.28</v>
      </c>
      <c r="C100" s="283" t="s">
        <v>1066</v>
      </c>
      <c r="D100" s="333" t="n">
        <v>1</v>
      </c>
      <c r="E100" s="284" t="n">
        <f aca="false">B100*D100</f>
        <v>5060076.28</v>
      </c>
      <c r="F100" s="301" t="s">
        <v>42</v>
      </c>
      <c r="G100" s="301" t="s">
        <v>1056</v>
      </c>
    </row>
    <row r="101" customFormat="false" ht="15" hidden="false" customHeight="true" outlineLevel="0" collapsed="false">
      <c r="A101" s="283" t="s">
        <v>990</v>
      </c>
      <c r="B101" s="284" t="n">
        <f aca="false">SUM(B97:B100)</f>
        <v>444084229.874</v>
      </c>
      <c r="C101" s="283" t="s">
        <v>708</v>
      </c>
      <c r="D101" s="333"/>
      <c r="E101" s="284" t="n">
        <f aca="false">SUM(E97:E100)</f>
        <v>400181814.5146</v>
      </c>
      <c r="F101" s="301" t="s">
        <v>708</v>
      </c>
      <c r="G101" s="301" t="s">
        <v>708</v>
      </c>
    </row>
    <row r="102" customFormat="false" ht="15" hidden="false" customHeight="true" outlineLevel="0" collapsed="false">
      <c r="A102" s="284" t="s">
        <v>1073</v>
      </c>
      <c r="E102" s="290" t="n">
        <f aca="false">IFERROR(E96/E101,0)</f>
        <v>1.07785194045871</v>
      </c>
      <c r="F102" s="109"/>
      <c r="G102" s="109"/>
    </row>
    <row r="103" customFormat="false" ht="15" hidden="false" customHeight="true" outlineLevel="0" collapsed="false">
      <c r="A103" s="284" t="s">
        <v>1041</v>
      </c>
      <c r="E103" s="1" t="n">
        <f aca="false">ROUND(E102-C35,6)</f>
        <v>0</v>
      </c>
      <c r="F103" s="109"/>
      <c r="G103" s="109"/>
    </row>
    <row r="104" customFormat="false" ht="15" hidden="false" customHeight="true" outlineLevel="0" collapsed="false"/>
    <row r="105" customFormat="false" ht="45.75" hidden="false" customHeight="true" outlineLevel="0" collapsed="false">
      <c r="A105" s="60" t="s">
        <v>1074</v>
      </c>
      <c r="B105" s="60"/>
      <c r="C105" s="60"/>
      <c r="D105" s="60"/>
      <c r="E105" s="60"/>
      <c r="F105" s="60"/>
      <c r="G105" s="109"/>
    </row>
  </sheetData>
  <mergeCells count="14">
    <mergeCell ref="A1:F1"/>
    <mergeCell ref="A4:F4"/>
    <mergeCell ref="A15:F15"/>
    <mergeCell ref="A24:F24"/>
    <mergeCell ref="A37:F37"/>
    <mergeCell ref="A38:F38"/>
    <mergeCell ref="A45:F45"/>
    <mergeCell ref="A47:K47"/>
    <mergeCell ref="A62:F62"/>
    <mergeCell ref="A66:F66"/>
    <mergeCell ref="A68:F68"/>
    <mergeCell ref="A87:F87"/>
    <mergeCell ref="A89:F89"/>
    <mergeCell ref="A105:F10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0" t="s">
        <v>1075</v>
      </c>
      <c r="B1" s="280"/>
      <c r="C1" s="280"/>
      <c r="D1" s="280"/>
    </row>
    <row r="3" customFormat="false" ht="30" hidden="false" customHeight="true" outlineLevel="0" collapsed="false">
      <c r="A3" s="281" t="s">
        <v>83</v>
      </c>
      <c r="B3" s="281" t="s">
        <v>1076</v>
      </c>
      <c r="C3" s="281" t="s">
        <v>1077</v>
      </c>
      <c r="D3" s="281" t="s">
        <v>1078</v>
      </c>
    </row>
    <row r="4" customFormat="false" ht="30" hidden="false" customHeight="true" outlineLevel="0" collapsed="false">
      <c r="A4" s="283" t="s">
        <v>1079</v>
      </c>
      <c r="B4" s="283"/>
      <c r="C4" s="67" t="n">
        <v>0.89</v>
      </c>
      <c r="D4" s="283" t="s">
        <v>1080</v>
      </c>
    </row>
    <row r="6" customFormat="false" ht="21.75" hidden="false" customHeight="true" outlineLevel="0" collapsed="false">
      <c r="A6" s="27" t="s">
        <v>1081</v>
      </c>
      <c r="B6" s="27"/>
      <c r="C6" s="27"/>
      <c r="D6" s="27"/>
    </row>
    <row r="7" customFormat="false" ht="15" hidden="false" customHeight="true" outlineLevel="0" collapsed="false">
      <c r="A7" s="283" t="s">
        <v>89</v>
      </c>
      <c r="B7" s="284" t="n">
        <f aca="false">Assumptions!C4</f>
        <v>527500000</v>
      </c>
      <c r="C7" s="284" t="n">
        <f aca="false">B7*$C$4</f>
        <v>469475000</v>
      </c>
      <c r="D7" s="283"/>
    </row>
    <row r="8" customFormat="false" ht="15" hidden="false" customHeight="true" outlineLevel="0" collapsed="false">
      <c r="A8" s="283" t="s">
        <v>1082</v>
      </c>
      <c r="B8" s="285" t="n">
        <f aca="false">Assumptions!C77</f>
        <v>1670</v>
      </c>
      <c r="C8" s="285" t="n">
        <f aca="false">ROUND(B8*$C$4,0)</f>
        <v>1486</v>
      </c>
      <c r="D8" s="283"/>
    </row>
    <row r="9" customFormat="false" ht="15" hidden="false" customHeight="true" outlineLevel="0" collapsed="false">
      <c r="A9" s="283" t="s">
        <v>206</v>
      </c>
      <c r="B9" s="284" t="n">
        <f aca="false">Assumptions!C78</f>
        <v>95570083.88</v>
      </c>
      <c r="C9" s="284" t="n">
        <f aca="false">B9*$C$4</f>
        <v>85057374.6532</v>
      </c>
      <c r="D9" s="283"/>
    </row>
    <row r="10" customFormat="false" ht="15" hidden="false" customHeight="true" outlineLevel="0" collapsed="false">
      <c r="A10" s="283" t="s">
        <v>1083</v>
      </c>
      <c r="B10" s="284" t="n">
        <f aca="false">Assumptions!C79</f>
        <v>452602220.2</v>
      </c>
      <c r="C10" s="284" t="n">
        <f aca="false">Assumptions!B79+(B10-Assumptions!B79)*$C$4</f>
        <v>405089929.4279</v>
      </c>
      <c r="D10" s="283" t="s">
        <v>1084</v>
      </c>
    </row>
    <row r="11" customFormat="false" ht="15" hidden="false" customHeight="true" outlineLevel="0" collapsed="false">
      <c r="A11" s="283" t="s">
        <v>1085</v>
      </c>
      <c r="B11" s="284" t="n">
        <f aca="false">Assumptions!C90</f>
        <v>370000000</v>
      </c>
      <c r="C11" s="284" t="n">
        <f aca="false">Assumptions!B90+(B11-Assumptions!B90)*$C$4</f>
        <v>329300000</v>
      </c>
      <c r="D11" s="283" t="s">
        <v>1086</v>
      </c>
    </row>
    <row r="13" customFormat="false" ht="21.75" hidden="false" customHeight="true" outlineLevel="0" collapsed="false">
      <c r="A13" s="27" t="s">
        <v>1087</v>
      </c>
      <c r="B13" s="27"/>
      <c r="C13" s="27"/>
      <c r="D13" s="27"/>
    </row>
    <row r="14" customFormat="false" ht="15" hidden="false" customHeight="true" outlineLevel="0" collapsed="false">
      <c r="A14" s="283" t="s">
        <v>208</v>
      </c>
      <c r="B14" s="284" t="n">
        <f aca="false">Assumptions!C80</f>
        <v>45873640.26</v>
      </c>
      <c r="C14" s="284" t="n">
        <f aca="false">B14*$C$4</f>
        <v>40827539.8314</v>
      </c>
      <c r="D14" s="283"/>
    </row>
    <row r="15" customFormat="false" ht="15" hidden="false" customHeight="true" outlineLevel="0" collapsed="false">
      <c r="A15" s="283" t="s">
        <v>209</v>
      </c>
      <c r="B15" s="284" t="n">
        <f aca="false">Assumptions!C81</f>
        <v>36925000</v>
      </c>
      <c r="C15" s="284" t="n">
        <f aca="false">B15*$C$4</f>
        <v>32863250</v>
      </c>
      <c r="D15" s="283"/>
    </row>
    <row r="16" customFormat="false" ht="15" hidden="false" customHeight="true" outlineLevel="0" collapsed="false">
      <c r="A16" s="283" t="s">
        <v>1088</v>
      </c>
      <c r="B16" s="284" t="n">
        <f aca="false">Assumptions!C82</f>
        <v>0</v>
      </c>
      <c r="C16" s="284" t="n">
        <f aca="false">B16*$C$4</f>
        <v>0</v>
      </c>
      <c r="D16" s="283"/>
    </row>
    <row r="17" customFormat="false" ht="15" hidden="false" customHeight="true" outlineLevel="0" collapsed="false">
      <c r="A17" s="283" t="s">
        <v>211</v>
      </c>
      <c r="B17" s="284" t="n">
        <f aca="false">Assumptions!C83</f>
        <v>37240500</v>
      </c>
      <c r="C17" s="284" t="n">
        <f aca="false">B17*$C$4</f>
        <v>33144045</v>
      </c>
      <c r="D17" s="283"/>
    </row>
    <row r="18" customFormat="false" ht="15" hidden="false" customHeight="true" outlineLevel="0" collapsed="false">
      <c r="A18" s="283" t="s">
        <v>481</v>
      </c>
      <c r="B18" s="284" t="n">
        <f aca="false">Assumptions!C84</f>
        <v>12957897.4833</v>
      </c>
      <c r="C18" s="284" t="n">
        <f aca="false">B18*$C$4</f>
        <v>11532528.760137</v>
      </c>
      <c r="D18" s="283"/>
    </row>
    <row r="19" customFormat="false" ht="15" hidden="false" customHeight="true" outlineLevel="0" collapsed="false">
      <c r="A19" s="283" t="s">
        <v>1089</v>
      </c>
      <c r="B19" s="284" t="n">
        <f aca="false">Assumptions!C85</f>
        <v>15618000</v>
      </c>
      <c r="C19" s="284" t="n">
        <f aca="false">B19</f>
        <v>15618000</v>
      </c>
      <c r="D19" s="283" t="s">
        <v>1090</v>
      </c>
    </row>
    <row r="20" customFormat="false" ht="15" hidden="false" customHeight="true" outlineLevel="0" collapsed="false">
      <c r="A20" s="283" t="s">
        <v>1091</v>
      </c>
      <c r="B20" s="284" t="n">
        <f aca="false">Assumptions!C86</f>
        <v>7413120</v>
      </c>
      <c r="C20" s="284" t="n">
        <f aca="false">B20</f>
        <v>7413120</v>
      </c>
      <c r="D20" s="283"/>
    </row>
    <row r="21" customFormat="false" ht="15" hidden="false" customHeight="true" outlineLevel="0" collapsed="false">
      <c r="A21" s="283" t="s">
        <v>1092</v>
      </c>
      <c r="B21" s="284" t="n">
        <f aca="false">Assumptions!C87</f>
        <v>0</v>
      </c>
      <c r="C21" s="284" t="n">
        <f aca="false">B21</f>
        <v>0</v>
      </c>
      <c r="D21" s="283"/>
    </row>
    <row r="22" customFormat="false" ht="15" hidden="false" customHeight="true" outlineLevel="0" collapsed="false">
      <c r="A22" s="283" t="s">
        <v>216</v>
      </c>
      <c r="B22" s="284" t="n">
        <f aca="false">Assumptions!C89</f>
        <v>9253616.07354998</v>
      </c>
      <c r="C22" s="284" t="n">
        <f aca="false">C14+C15+C16-C17-C18-C19-C20-C21</f>
        <v>5983096.07126299</v>
      </c>
      <c r="D22" s="283" t="s">
        <v>1093</v>
      </c>
    </row>
    <row r="24" customFormat="false" ht="21.75" hidden="false" customHeight="true" outlineLevel="0" collapsed="false">
      <c r="A24" s="27" t="s">
        <v>1094</v>
      </c>
      <c r="B24" s="27"/>
      <c r="C24" s="27"/>
      <c r="D24" s="27"/>
    </row>
    <row r="25" customFormat="false" ht="15" hidden="false" customHeight="true" outlineLevel="0" collapsed="false">
      <c r="A25" s="283" t="s">
        <v>1095</v>
      </c>
      <c r="B25" s="284" t="n">
        <f aca="false">Assumptions!C91</f>
        <v>75000000</v>
      </c>
      <c r="C25" s="284" t="n">
        <f aca="false">B25</f>
        <v>75000000</v>
      </c>
      <c r="D25" s="283" t="s">
        <v>1096</v>
      </c>
    </row>
    <row r="26" customFormat="false" ht="15" hidden="false" customHeight="true" outlineLevel="0" collapsed="false">
      <c r="A26" s="283" t="s">
        <v>1097</v>
      </c>
      <c r="B26" s="284" t="n">
        <f aca="false">'Regulatory Capital Plan'!C7</f>
        <v>76086745.31085</v>
      </c>
      <c r="C26" s="284" t="n">
        <f aca="false">C25+Assumptions!B92+C22</f>
        <v>72816225.308563</v>
      </c>
      <c r="D26" s="283" t="s">
        <v>1098</v>
      </c>
    </row>
    <row r="27" customFormat="false" ht="15" hidden="false" customHeight="true" outlineLevel="0" collapsed="false">
      <c r="A27" s="283" t="s">
        <v>902</v>
      </c>
      <c r="B27" s="298" t="n">
        <f aca="false">B11/B26</f>
        <v>4.86287064177048</v>
      </c>
      <c r="C27" s="298" t="n">
        <f aca="false">C11/C26</f>
        <v>4.52234373046079</v>
      </c>
      <c r="D27" s="283" t="s">
        <v>1099</v>
      </c>
    </row>
    <row r="28" customFormat="false" ht="15" hidden="false" customHeight="true" outlineLevel="0" collapsed="false">
      <c r="A28" s="283" t="s">
        <v>1100</v>
      </c>
      <c r="B28" s="298" t="n">
        <f aca="false">4</f>
        <v>4</v>
      </c>
      <c r="C28" s="298" t="n">
        <f aca="false">4</f>
        <v>4</v>
      </c>
      <c r="D28" s="283" t="s">
        <v>1101</v>
      </c>
    </row>
    <row r="29" customFormat="false" ht="15" hidden="false" customHeight="true" outlineLevel="0" collapsed="false">
      <c r="A29" s="283" t="s">
        <v>465</v>
      </c>
      <c r="B29" s="283" t="str">
        <f aca="false">IF(B27&lt;=B28,"متوافق","فجوة")</f>
        <v>فجوة</v>
      </c>
      <c r="C29" s="283" t="str">
        <f aca="false">IF(C27&lt;=C28,"متوافق","فجوة")</f>
        <v>فجوة</v>
      </c>
      <c r="D29" s="283"/>
    </row>
    <row r="31" customFormat="false" ht="21.75" hidden="false" customHeight="true" outlineLevel="0" collapsed="false">
      <c r="A31" s="27" t="s">
        <v>1102</v>
      </c>
      <c r="B31" s="27"/>
      <c r="C31" s="27"/>
      <c r="D31" s="27"/>
    </row>
    <row r="32" customFormat="false" ht="15" hidden="false" customHeight="true" outlineLevel="0" collapsed="false">
      <c r="A32" s="283" t="s">
        <v>1103</v>
      </c>
      <c r="B32" s="284" t="n">
        <f aca="false">'Cash Flow'!B25</f>
        <v>3220917.99</v>
      </c>
      <c r="C32" s="284" t="n">
        <f aca="false">B32</f>
        <v>3220917.99</v>
      </c>
      <c r="D32" s="283"/>
    </row>
    <row r="33" customFormat="false" ht="15" hidden="false" customHeight="true" outlineLevel="0" collapsed="false">
      <c r="A33" s="283" t="s">
        <v>849</v>
      </c>
      <c r="B33" s="284" t="n">
        <f aca="false">'Cash Flow'!C11</f>
        <v>-408218402.55315</v>
      </c>
      <c r="C33" s="284" t="n">
        <f aca="false">C22+(C10*Assumptions!$B$31-'Balance Sheet'!B7)-(C10-Assumptions!B79)+(Assumptions!C100-Assumptions!B100)</f>
        <v>-365402000.5065</v>
      </c>
      <c r="D33" s="283"/>
    </row>
    <row r="34" customFormat="false" ht="15" hidden="false" customHeight="true" outlineLevel="0" collapsed="false">
      <c r="A34" s="283" t="s">
        <v>1104</v>
      </c>
      <c r="B34" s="284" t="n">
        <f aca="false">'Cash Flow'!C15</f>
        <v>-500000</v>
      </c>
      <c r="C34" s="284" t="n">
        <f aca="false">B34</f>
        <v>-500000</v>
      </c>
      <c r="D34" s="283"/>
    </row>
    <row r="35" customFormat="false" ht="15" hidden="false" customHeight="true" outlineLevel="0" collapsed="false">
      <c r="A35" s="283" t="s">
        <v>1105</v>
      </c>
      <c r="B35" s="284" t="n">
        <f aca="false">'Cash Flow'!C21</f>
        <v>415000000</v>
      </c>
      <c r="C35" s="284" t="n">
        <f aca="false">(C11-Assumptions!B90)+45000000</f>
        <v>374300000</v>
      </c>
      <c r="D35" s="283" t="s">
        <v>1106</v>
      </c>
    </row>
    <row r="36" customFormat="false" ht="15" hidden="false" customHeight="true" outlineLevel="0" collapsed="false">
      <c r="A36" s="283" t="s">
        <v>454</v>
      </c>
      <c r="B36" s="284" t="n">
        <f aca="false">B33+B34+B35</f>
        <v>6281597.44684994</v>
      </c>
      <c r="C36" s="284" t="n">
        <f aca="false">C33+C34+C35</f>
        <v>8397999.49349994</v>
      </c>
      <c r="D36" s="283"/>
    </row>
    <row r="37" customFormat="false" ht="15" hidden="false" customHeight="true" outlineLevel="0" collapsed="false">
      <c r="A37" s="283" t="s">
        <v>224</v>
      </c>
      <c r="B37" s="284" t="n">
        <f aca="false">B32+B36</f>
        <v>9502515.43684994</v>
      </c>
      <c r="C37" s="284" t="n">
        <f aca="false">C32+C36</f>
        <v>11618917.4834999</v>
      </c>
      <c r="D37" s="283"/>
    </row>
    <row r="38" customFormat="false" ht="15" hidden="false" customHeight="true" outlineLevel="0" collapsed="false">
      <c r="A38" s="283" t="s">
        <v>1107</v>
      </c>
      <c r="B38" s="284" t="n">
        <f aca="false">'Funding &amp; Liquidity'!C17</f>
        <v>16545765.2425</v>
      </c>
      <c r="C38" s="284" t="n">
        <f aca="false">(C19+C20+C17)/12+(C9*Assumptions!$B$32)/12+C11*(1-Assumptions!$C$102)*10%</f>
        <v>14936849.665825</v>
      </c>
      <c r="D38" s="283"/>
    </row>
    <row r="39" customFormat="false" ht="15" hidden="false" customHeight="true" outlineLevel="0" collapsed="false">
      <c r="A39" s="283" t="s">
        <v>1108</v>
      </c>
      <c r="B39" s="284" t="n">
        <f aca="false">MIN('Funding &amp; Liquidity'!C18,'Funding &amp; Liquidity'!C19)</f>
        <v>7964173.65666667</v>
      </c>
      <c r="C39" s="284" t="n">
        <f aca="false">MIN(C9/12,C38*90%)</f>
        <v>7088114.55443333</v>
      </c>
      <c r="D39" s="283"/>
    </row>
    <row r="40" customFormat="false" ht="15" hidden="false" customHeight="true" outlineLevel="0" collapsed="false">
      <c r="A40" s="283" t="s">
        <v>977</v>
      </c>
      <c r="B40" s="284" t="n">
        <f aca="false">MAX(1,B38-B39)</f>
        <v>8581591.58583333</v>
      </c>
      <c r="C40" s="284" t="n">
        <f aca="false">MAX(1,C38-C39)</f>
        <v>7848735.11139167</v>
      </c>
      <c r="D40" s="283"/>
    </row>
    <row r="41" customFormat="false" ht="15" hidden="false" customHeight="true" outlineLevel="0" collapsed="false">
      <c r="A41" s="283" t="s">
        <v>595</v>
      </c>
      <c r="B41" s="289" t="n">
        <f aca="false">B37/B40</f>
        <v>1.10731387549798</v>
      </c>
      <c r="C41" s="289" t="n">
        <f aca="false">C37/C40</f>
        <v>1.48035540996105</v>
      </c>
      <c r="D41" s="283"/>
    </row>
    <row r="42" customFormat="false" ht="15" hidden="false" customHeight="true" outlineLevel="0" collapsed="false">
      <c r="A42" s="283" t="s">
        <v>1109</v>
      </c>
      <c r="B42" s="283" t="str">
        <f aca="false">IF(B41&gt;=1,"استرشادي - بيانات آجال تعاقدية مطلوبة","فجوة تخطيطية")</f>
        <v>استرشادي - بيانات آجال تعاقدية مطلوبة</v>
      </c>
      <c r="C42" s="283" t="str">
        <f aca="false">IF(C41&gt;=1,"استرشادي - بيانات آجال تعاقدية مطلوبة","فجوة تخطيطية")</f>
        <v>استرشادي - بيانات آجال تعاقدية مطلوبة</v>
      </c>
      <c r="D42" s="283"/>
    </row>
    <row r="44" customFormat="false" ht="91.5" hidden="false" customHeight="true" outlineLevel="0" collapsed="false">
      <c r="A44" s="301" t="s">
        <v>1110</v>
      </c>
      <c r="B44" s="301"/>
      <c r="C44" s="301"/>
      <c r="D44" s="301"/>
    </row>
    <row r="46" customFormat="false" ht="60" hidden="false" customHeight="true" outlineLevel="0" collapsed="false">
      <c r="A46" s="301" t="s">
        <v>1111</v>
      </c>
      <c r="B46" s="301"/>
      <c r="C46" s="301"/>
      <c r="D46" s="301"/>
    </row>
    <row r="48" customFormat="false" ht="12" hidden="false" customHeight="true" outlineLevel="0" collapsed="false">
      <c r="A48" s="27" t="s">
        <v>1112</v>
      </c>
      <c r="B48" s="27"/>
      <c r="C48" s="27"/>
      <c r="D48" s="27"/>
    </row>
    <row r="49" customFormat="false" ht="15" hidden="false" customHeight="true" outlineLevel="0" collapsed="false">
      <c r="A49" s="283" t="s">
        <v>1113</v>
      </c>
      <c r="B49" s="284" t="n">
        <f aca="false">'Regulatory Capital Plan'!C19</f>
        <v>439024153.594</v>
      </c>
      <c r="C49" s="284" t="n">
        <f aca="false">C10*(1-Assumptions!$B$31)</f>
        <v>392937231.545063</v>
      </c>
    </row>
    <row r="50" customFormat="false" ht="15" hidden="false" customHeight="true" outlineLevel="0" collapsed="false">
      <c r="A50" s="283" t="s">
        <v>1114</v>
      </c>
      <c r="B50" s="284" t="n">
        <f aca="false">'Regulatory Capital Plan'!C28</f>
        <v>63134412.3694719</v>
      </c>
      <c r="C50" s="284" t="n">
        <f aca="false">'Regulatory Capital Plan'!C28</f>
        <v>63134412.3694719</v>
      </c>
      <c r="D50" s="283" t="s">
        <v>1115</v>
      </c>
    </row>
    <row r="51" customFormat="false" ht="15" hidden="false" customHeight="true" outlineLevel="0" collapsed="false">
      <c r="A51" s="283" t="s">
        <v>1116</v>
      </c>
      <c r="B51" s="284" t="n">
        <f aca="false">'Regulatory Capital Plan'!C30</f>
        <v>507218642.243472</v>
      </c>
      <c r="C51" s="284" t="n">
        <f aca="false">B49+C50+'Regulatory Capital Plan'!C29</f>
        <v>502158565.963472</v>
      </c>
    </row>
    <row r="52" customFormat="false" ht="15" hidden="false" customHeight="true" outlineLevel="0" collapsed="false">
      <c r="A52" s="283" t="s">
        <v>1117</v>
      </c>
      <c r="B52" s="290" t="n">
        <f aca="false">'Regulatory Capital Plan'!C31</f>
        <v>0.144327394961383</v>
      </c>
      <c r="C52" s="290" t="n">
        <f aca="false">IFERROR(C26/C51,0)</f>
        <v>0.145006438691041</v>
      </c>
    </row>
    <row r="53" customFormat="false" ht="15" hidden="false" customHeight="true" outlineLevel="0" collapsed="false">
      <c r="A53" s="283" t="s">
        <v>1118</v>
      </c>
      <c r="B53" s="283" t="str">
        <f aca="false">IF(B52&gt;=12%,"استرشادي - اعتماد مدخلات رقابية مطلوب","فجوة تخطيطية")</f>
        <v>استرشادي - اعتماد مدخلات رقابية مطلوب</v>
      </c>
      <c r="C53" s="283" t="str">
        <f aca="false">IF(C52&gt;=12%,"استرشادي - اعتماد مدخلات رقابية مطلوب","فجوة تخطيطية")</f>
        <v>استرشادي - اعتماد مدخلات رقابية مطلوب</v>
      </c>
    </row>
    <row r="55" customFormat="false" ht="15" hidden="false" customHeight="true" outlineLevel="0" collapsed="false">
      <c r="A55" s="283" t="s">
        <v>1119</v>
      </c>
      <c r="B55" s="290" t="n">
        <f aca="false">'Funding &amp; Liquidity'!C35</f>
        <v>1.07785194045871</v>
      </c>
      <c r="C55" s="290" t="n">
        <f aca="false">IFERROR((C26+'Balance Sheet'!C14*Assumptions!$C$102+'Balance Sheet'!C14*10%*75%+'Balance Sheet'!C14*MAX(0,1-Assumptions!$C$102-10%)*50%+'Balance Sheet'!C15*50%)/(C10*Assumptions!$B$31*0+C10*70%+C10*20%*75%+C10*10%*50%+'Balance Sheet'!C9+'Balance Sheet'!C10),0)</f>
        <v>1.15805933466744</v>
      </c>
    </row>
    <row r="56" customFormat="false" ht="15" hidden="false" customHeight="true" outlineLevel="0" collapsed="false">
      <c r="A56" s="283" t="s">
        <v>1120</v>
      </c>
      <c r="B56" s="283" t="str">
        <f aca="false">IF(B55&gt;=100%,"استرشادي - بيانات آجال تعاقدية مطلوبة","فجوة تخطيطية")</f>
        <v>استرشادي - بيانات آجال تعاقدية مطلوبة</v>
      </c>
      <c r="C56" s="283" t="str">
        <f aca="false">IF(C55&gt;=100%,"استرشادي - بيانات آجال تعاقدية مطلوبة","فجوة تخطيطية")</f>
        <v>استرشادي - بيانات آجال تعاقدية مطلوبة</v>
      </c>
    </row>
    <row r="58" customFormat="false" ht="34.5" hidden="false" customHeight="true" outlineLevel="0" collapsed="false">
      <c r="A58" s="301" t="s">
        <v>1121</v>
      </c>
      <c r="B58" s="301"/>
      <c r="C58" s="301"/>
      <c r="D58" s="301"/>
    </row>
  </sheetData>
  <mergeCells count="5">
    <mergeCell ref="A1:D1"/>
    <mergeCell ref="A44:D44"/>
    <mergeCell ref="A46:D46"/>
    <mergeCell ref="A48:D48"/>
    <mergeCell ref="A58:D5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0" t="s">
        <v>1122</v>
      </c>
      <c r="B1" s="280"/>
      <c r="C1" s="280"/>
      <c r="D1" s="280"/>
    </row>
    <row r="3" customFormat="false" ht="30" hidden="false" customHeight="true" outlineLevel="0" collapsed="false">
      <c r="A3" s="281" t="s">
        <v>83</v>
      </c>
      <c r="B3" s="281" t="s">
        <v>1123</v>
      </c>
      <c r="C3" s="281" t="s">
        <v>1124</v>
      </c>
      <c r="D3" s="281" t="s">
        <v>1078</v>
      </c>
    </row>
    <row r="4" customFormat="false" ht="43.5" hidden="false" customHeight="true" outlineLevel="0" collapsed="false">
      <c r="A4" s="283" t="s">
        <v>1125</v>
      </c>
      <c r="B4" s="283"/>
      <c r="C4" s="65" t="n">
        <v>1</v>
      </c>
      <c r="D4" s="283" t="s">
        <v>1126</v>
      </c>
    </row>
    <row r="6" customFormat="false" ht="21.75" hidden="false" customHeight="true" outlineLevel="0" collapsed="false">
      <c r="A6" s="27" t="s">
        <v>1127</v>
      </c>
      <c r="B6" s="27"/>
      <c r="C6" s="27"/>
      <c r="D6" s="27"/>
    </row>
    <row r="7" customFormat="false" ht="15" hidden="false" customHeight="true" outlineLevel="0" collapsed="false">
      <c r="A7" s="283" t="s">
        <v>1128</v>
      </c>
      <c r="B7" s="284" t="n">
        <f aca="false">'Regulatory Capital Plan'!C12</f>
        <v>370000000</v>
      </c>
      <c r="C7" s="284" t="n">
        <f aca="false">B7</f>
        <v>370000000</v>
      </c>
      <c r="D7" s="283" t="s">
        <v>1129</v>
      </c>
    </row>
    <row r="8" customFormat="false" ht="15" hidden="false" customHeight="true" outlineLevel="0" collapsed="false">
      <c r="A8" s="283" t="s">
        <v>1130</v>
      </c>
      <c r="B8" s="284" t="n">
        <f aca="false">'Regulatory Capital Plan'!C10</f>
        <v>73205545.31085</v>
      </c>
      <c r="C8" s="284" t="n">
        <f aca="false">IF(C4=1,'Regulatory Capital Plan'!C7,'Regulatory Capital Plan'!C10)</f>
        <v>76086745.31085</v>
      </c>
      <c r="D8" s="283" t="s">
        <v>1131</v>
      </c>
    </row>
    <row r="10" customFormat="false" ht="21.75" hidden="false" customHeight="true" outlineLevel="0" collapsed="false">
      <c r="A10" s="27" t="s">
        <v>1132</v>
      </c>
      <c r="B10" s="27"/>
      <c r="C10" s="27"/>
      <c r="D10" s="27"/>
    </row>
    <row r="11" customFormat="false" ht="15" hidden="false" customHeight="true" outlineLevel="0" collapsed="false">
      <c r="A11" s="283" t="s">
        <v>1133</v>
      </c>
      <c r="B11" s="298" t="n">
        <f aca="false">'Regulatory Capital Plan'!C14</f>
        <v>4</v>
      </c>
      <c r="C11" s="298" t="n">
        <f aca="false">IF(C4=1,4,9)</f>
        <v>4</v>
      </c>
      <c r="D11" s="283" t="s">
        <v>1134</v>
      </c>
    </row>
    <row r="12" customFormat="false" ht="15" hidden="false" customHeight="true" outlineLevel="0" collapsed="false">
      <c r="A12" s="283" t="s">
        <v>1135</v>
      </c>
      <c r="B12" s="298" t="n">
        <f aca="false">B7/B8</f>
        <v>5.05426192003465</v>
      </c>
      <c r="C12" s="298" t="n">
        <f aca="false">B7/C8</f>
        <v>4.86287064177048</v>
      </c>
      <c r="D12" s="283" t="s">
        <v>1136</v>
      </c>
    </row>
    <row r="13" customFormat="false" ht="15" hidden="false" customHeight="true" outlineLevel="0" collapsed="false">
      <c r="A13" s="283" t="s">
        <v>1137</v>
      </c>
      <c r="B13" s="283" t="str">
        <f aca="false">IF(B12&lt;=B11,"متوافق","فجوة")</f>
        <v>فجوة</v>
      </c>
      <c r="C13" s="283" t="str">
        <f aca="false">IF(C12&lt;=C11,"متوافق","فجوة")</f>
        <v>فجوة</v>
      </c>
      <c r="D13" s="283"/>
    </row>
    <row r="15" customFormat="false" ht="21.75" hidden="false" customHeight="true" outlineLevel="0" collapsed="false">
      <c r="A15" s="27" t="s">
        <v>1138</v>
      </c>
      <c r="B15" s="27"/>
      <c r="C15" s="27"/>
      <c r="D15" s="27"/>
    </row>
    <row r="16" customFormat="false" ht="15" hidden="false" customHeight="true" outlineLevel="0" collapsed="false">
      <c r="A16" s="283" t="s">
        <v>1139</v>
      </c>
      <c r="B16" s="284" t="n">
        <f aca="false">B7/B11</f>
        <v>92500000</v>
      </c>
      <c r="C16" s="284" t="n">
        <f aca="false">B7/C11</f>
        <v>92500000</v>
      </c>
      <c r="D16" s="283" t="s">
        <v>1140</v>
      </c>
    </row>
    <row r="17" customFormat="false" ht="15" hidden="false" customHeight="true" outlineLevel="0" collapsed="false">
      <c r="A17" s="283" t="s">
        <v>1141</v>
      </c>
      <c r="B17" s="284" t="n">
        <f aca="false">MAX(0,B16-B8)</f>
        <v>19294454.68915</v>
      </c>
      <c r="C17" s="284" t="n">
        <f aca="false">MAX(0,C16-C8)</f>
        <v>16413254.68915</v>
      </c>
      <c r="D17" s="283"/>
    </row>
    <row r="18" customFormat="false" ht="42" hidden="false" customHeight="true" outlineLevel="0" collapsed="false">
      <c r="A18" s="301" t="s">
        <v>1142</v>
      </c>
      <c r="B18" s="284" t="n">
        <f aca="false">B17</f>
        <v>19294454.68915</v>
      </c>
      <c r="C18" s="284" t="n">
        <f aca="false">C17</f>
        <v>16413254.68915</v>
      </c>
      <c r="D18" s="301"/>
    </row>
    <row r="19" customFormat="false" ht="42" hidden="false" customHeight="true" outlineLevel="0" collapsed="false">
      <c r="A19" s="301" t="s">
        <v>1143</v>
      </c>
      <c r="B19" s="66" t="n">
        <v>0</v>
      </c>
      <c r="C19" s="66" t="n">
        <f aca="false">C18</f>
        <v>16413254.68915</v>
      </c>
      <c r="D19" s="301" t="s">
        <v>1144</v>
      </c>
    </row>
    <row r="20" customFormat="false" ht="23.85" hidden="false" customHeight="false" outlineLevel="0" collapsed="false">
      <c r="A20" s="109" t="s">
        <v>1145</v>
      </c>
      <c r="B20" s="109"/>
      <c r="C20" s="109" t="n">
        <f aca="false">MAX(0,C7-C11*C8)</f>
        <v>65653018.7566001</v>
      </c>
      <c r="D20" s="109" t="s">
        <v>1146</v>
      </c>
    </row>
    <row r="21" customFormat="false" ht="21.75" hidden="false" customHeight="true" outlineLevel="0" collapsed="false">
      <c r="A21" s="27" t="s">
        <v>1147</v>
      </c>
      <c r="B21" s="27"/>
      <c r="C21" s="27"/>
      <c r="D21" s="27"/>
    </row>
    <row r="22" customFormat="false" ht="15" hidden="false" customHeight="true" outlineLevel="0" collapsed="false">
      <c r="A22" s="283" t="s">
        <v>1148</v>
      </c>
      <c r="B22" s="284" t="n">
        <f aca="false">B8+B19</f>
        <v>73205545.31085</v>
      </c>
      <c r="C22" s="284" t="n">
        <f aca="false">C8+C19</f>
        <v>92500000</v>
      </c>
      <c r="D22" s="283"/>
    </row>
    <row r="23" customFormat="false" ht="15" hidden="false" customHeight="true" outlineLevel="0" collapsed="false">
      <c r="A23" s="283" t="s">
        <v>1149</v>
      </c>
      <c r="B23" s="298" t="n">
        <f aca="false">B7/B22</f>
        <v>5.05426192003465</v>
      </c>
      <c r="C23" s="298" t="n">
        <f aca="false">B7/C22</f>
        <v>4</v>
      </c>
      <c r="D23" s="283"/>
    </row>
    <row r="24" customFormat="false" ht="15" hidden="false" customHeight="true" outlineLevel="0" collapsed="false">
      <c r="A24" s="283" t="s">
        <v>1150</v>
      </c>
      <c r="B24" s="283" t="str">
        <f aca="false">IF(B23&lt;=B11,"متوافق","فجوة")</f>
        <v>فجوة</v>
      </c>
      <c r="C24" s="283" t="str">
        <f aca="false">IF(C23&lt;=C11,"متوافق","فجوة")</f>
        <v>متوافق</v>
      </c>
      <c r="D24" s="283"/>
    </row>
    <row r="26" customFormat="false" ht="21.75" hidden="false" customHeight="true" outlineLevel="0" collapsed="false">
      <c r="A26" s="27" t="s">
        <v>1151</v>
      </c>
      <c r="B26" s="27"/>
      <c r="C26" s="27"/>
      <c r="D26" s="27"/>
    </row>
    <row r="27" customFormat="false" ht="15" hidden="false" customHeight="true" outlineLevel="0" collapsed="false">
      <c r="A27" s="283" t="s">
        <v>1152</v>
      </c>
      <c r="B27" s="284" t="n">
        <f aca="false">'Funding &amp; Liquidity'!C16</f>
        <v>9502515.43684994</v>
      </c>
      <c r="C27" s="284" t="n">
        <f aca="false">B27</f>
        <v>9502515.43684994</v>
      </c>
      <c r="D27" s="283"/>
    </row>
    <row r="28" customFormat="false" ht="15" hidden="false" customHeight="true" outlineLevel="0" collapsed="false">
      <c r="A28" s="283" t="s">
        <v>1153</v>
      </c>
      <c r="B28" s="284" t="n">
        <f aca="false">B27+B19</f>
        <v>9502515.43684994</v>
      </c>
      <c r="C28" s="284" t="n">
        <f aca="false">B27+C19</f>
        <v>25915770.126</v>
      </c>
      <c r="D28" s="283"/>
    </row>
    <row r="29" customFormat="false" ht="15" hidden="false" customHeight="true" outlineLevel="0" collapsed="false">
      <c r="A29" s="283" t="s">
        <v>1154</v>
      </c>
      <c r="B29" s="284" t="n">
        <f aca="false">'Funding &amp; Liquidity'!C20</f>
        <v>8581591.58583333</v>
      </c>
      <c r="C29" s="284" t="n">
        <f aca="false">B29</f>
        <v>8581591.58583333</v>
      </c>
      <c r="D29" s="283"/>
    </row>
    <row r="30" customFormat="false" ht="15" hidden="false" customHeight="true" outlineLevel="0" collapsed="false">
      <c r="A30" s="283" t="s">
        <v>1155</v>
      </c>
      <c r="B30" s="289" t="n">
        <f aca="false">B27/B29</f>
        <v>1.10731387549798</v>
      </c>
      <c r="C30" s="289" t="n">
        <f aca="false">B27/C29</f>
        <v>1.10731387549798</v>
      </c>
      <c r="D30" s="283"/>
    </row>
    <row r="31" customFormat="false" ht="15" hidden="false" customHeight="true" outlineLevel="0" collapsed="false">
      <c r="A31" s="283" t="s">
        <v>1156</v>
      </c>
      <c r="B31" s="289" t="n">
        <f aca="false">B28/B29</f>
        <v>1.10731387549798</v>
      </c>
      <c r="C31" s="289" t="n">
        <f aca="false">C28/C29</f>
        <v>3.01992583389569</v>
      </c>
      <c r="D31" s="283" t="s">
        <v>1157</v>
      </c>
    </row>
    <row r="32" customFormat="false" ht="15" hidden="false" customHeight="true" outlineLevel="0" collapsed="false">
      <c r="A32" s="283" t="s">
        <v>1158</v>
      </c>
      <c r="B32" s="283" t="str">
        <f aca="false">IF(B31&gt;=1,"استرشادي - بيانات آجال تعاقدية مطلوبة","فجوة تخطيطية")</f>
        <v>استرشادي - بيانات آجال تعاقدية مطلوبة</v>
      </c>
      <c r="C32" s="283" t="str">
        <f aca="false">IF(C31&gt;=1,"استرشادي - بيانات آجال تعاقدية مطلوبة","فجوة تخطيطية")</f>
        <v>استرشادي - بيانات آجال تعاقدية مطلوبة</v>
      </c>
      <c r="D32" s="283"/>
    </row>
    <row r="34" customFormat="false" ht="99.75" hidden="false" customHeight="true" outlineLevel="0" collapsed="false">
      <c r="A34" s="301" t="s">
        <v>1159</v>
      </c>
      <c r="B34" s="301"/>
      <c r="C34" s="301"/>
      <c r="D34" s="301"/>
    </row>
    <row r="36" customFormat="false" ht="69.75" hidden="false" customHeight="true" outlineLevel="0" collapsed="false">
      <c r="A36" s="301" t="s">
        <v>1160</v>
      </c>
      <c r="B36" s="301"/>
      <c r="C36" s="301"/>
      <c r="D36" s="301"/>
    </row>
    <row r="38" customFormat="false" ht="12" hidden="false" customHeight="true" outlineLevel="0" collapsed="false">
      <c r="A38" s="27" t="s">
        <v>1161</v>
      </c>
      <c r="B38" s="27"/>
      <c r="C38" s="27"/>
      <c r="D38" s="27"/>
    </row>
    <row r="39" customFormat="false" ht="15" hidden="false" customHeight="true" outlineLevel="0" collapsed="false">
      <c r="A39" s="1" t="s">
        <v>1162</v>
      </c>
      <c r="B39" s="290" t="n">
        <f aca="false">'Regulatory Capital Plan'!C31</f>
        <v>0.144327394961383</v>
      </c>
      <c r="C39" s="290" t="n">
        <f aca="false">'Regulatory Capital Plan'!C31</f>
        <v>0.144327394961383</v>
      </c>
    </row>
    <row r="40" customFormat="false" ht="15" hidden="false" customHeight="true" outlineLevel="0" collapsed="false">
      <c r="A40" s="1" t="s">
        <v>1163</v>
      </c>
      <c r="B40" s="290" t="n">
        <f aca="false">('Regulatory Capital Plan'!C10+B19)/'Regulatory Capital Plan'!$C$30</f>
        <v>0.144327394961383</v>
      </c>
      <c r="C40" s="290" t="n">
        <f aca="false">('Regulatory Capital Plan'!C10+C19)/'Regulatory Capital Plan'!$C$30</f>
        <v>0.176686723507654</v>
      </c>
    </row>
    <row r="41" customFormat="false" ht="15" hidden="false" customHeight="true" outlineLevel="0" collapsed="false">
      <c r="A41" s="283" t="s">
        <v>1164</v>
      </c>
      <c r="B41" s="283" t="str">
        <f aca="false">IF(B40&gt;=12%,"استرشادي - اعتماد مدخلات رقابية مطلوب","فجوة تخطيطية")</f>
        <v>استرشادي - اعتماد مدخلات رقابية مطلوب</v>
      </c>
      <c r="C41" s="283" t="str">
        <f aca="false">IF(C40&gt;=12%,"استرشادي - اعتماد مدخلات رقابية مطلوب","فجوة تخطيطية")</f>
        <v>استرشادي - اعتماد مدخلات رقابية مطلوب</v>
      </c>
    </row>
    <row r="43" customFormat="false" ht="12" hidden="false" customHeight="true" outlineLevel="0" collapsed="false">
      <c r="A43" s="27" t="s">
        <v>1165</v>
      </c>
      <c r="B43" s="27"/>
      <c r="C43" s="27"/>
      <c r="D43" s="27"/>
    </row>
    <row r="44" customFormat="false" ht="12" hidden="false" customHeight="true" outlineLevel="0" collapsed="false">
      <c r="A44" s="283" t="s">
        <v>1166</v>
      </c>
      <c r="B44" s="283"/>
      <c r="C44" s="283"/>
      <c r="D44" s="283"/>
    </row>
  </sheetData>
  <mergeCells count="6">
    <mergeCell ref="A1:D1"/>
    <mergeCell ref="A34:D34"/>
    <mergeCell ref="A36:D36"/>
    <mergeCell ref="A38:D38"/>
    <mergeCell ref="A43:D43"/>
    <mergeCell ref="A44:D4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39"/>
    <col collapsed="false" customWidth="true" hidden="false" outlineLevel="0" max="3" min="3" style="1" width="58"/>
    <col collapsed="false" customWidth="true" hidden="false" outlineLevel="0" max="4" min="4" style="1" width="25"/>
  </cols>
  <sheetData>
    <row r="1" customFormat="false" ht="33.75" hidden="false" customHeight="true" outlineLevel="0" collapsed="false">
      <c r="A1" s="307" t="s">
        <v>1167</v>
      </c>
      <c r="B1" s="307"/>
      <c r="C1" s="307"/>
      <c r="D1" s="307"/>
    </row>
    <row r="2" customFormat="false" ht="15" hidden="false" customHeight="false" outlineLevel="0" collapsed="false">
      <c r="A2" s="109"/>
      <c r="B2" s="109"/>
      <c r="C2" s="109"/>
      <c r="D2" s="109"/>
    </row>
    <row r="3" customFormat="false" ht="30" hidden="false" customHeight="true" outlineLevel="0" collapsed="false">
      <c r="A3" s="312" t="s">
        <v>1168</v>
      </c>
      <c r="B3" s="312" t="s">
        <v>1169</v>
      </c>
      <c r="C3" s="312" t="s">
        <v>1170</v>
      </c>
      <c r="D3" s="312" t="s">
        <v>1171</v>
      </c>
    </row>
    <row r="4" customFormat="false" ht="15" hidden="false" customHeight="false" outlineLevel="0" collapsed="false">
      <c r="A4" s="109"/>
      <c r="B4" s="109"/>
      <c r="C4" s="109"/>
      <c r="D4" s="109"/>
    </row>
    <row r="5" customFormat="false" ht="24" hidden="false" customHeight="true" outlineLevel="0" collapsed="false">
      <c r="A5" s="334" t="s">
        <v>1172</v>
      </c>
      <c r="B5" s="334"/>
      <c r="C5" s="334"/>
      <c r="D5" s="334"/>
    </row>
    <row r="6" customFormat="false" ht="49.5" hidden="false" customHeight="true" outlineLevel="0" collapsed="false">
      <c r="A6" s="335" t="n">
        <v>1</v>
      </c>
      <c r="B6" s="336" t="s">
        <v>1173</v>
      </c>
      <c r="C6" s="336" t="s">
        <v>1174</v>
      </c>
      <c r="D6" s="337" t="s">
        <v>40</v>
      </c>
    </row>
    <row r="7" customFormat="false" ht="49.5" hidden="false" customHeight="true" outlineLevel="0" collapsed="false">
      <c r="A7" s="335" t="n">
        <v>2</v>
      </c>
      <c r="B7" s="336" t="s">
        <v>1175</v>
      </c>
      <c r="C7" s="336" t="s">
        <v>1176</v>
      </c>
      <c r="D7" s="337" t="s">
        <v>42</v>
      </c>
    </row>
    <row r="8" customFormat="false" ht="49.5" hidden="false" customHeight="true" outlineLevel="0" collapsed="false">
      <c r="A8" s="335" t="n">
        <v>3</v>
      </c>
      <c r="B8" s="336" t="s">
        <v>1177</v>
      </c>
      <c r="C8" s="336" t="s">
        <v>1178</v>
      </c>
      <c r="D8" s="337" t="s">
        <v>44</v>
      </c>
    </row>
    <row r="9" customFormat="false" ht="69.75" hidden="false" customHeight="true" outlineLevel="0" collapsed="false">
      <c r="A9" s="335" t="n">
        <v>4</v>
      </c>
      <c r="B9" s="336" t="s">
        <v>1179</v>
      </c>
      <c r="C9" s="336" t="s">
        <v>1180</v>
      </c>
      <c r="D9" s="337" t="s">
        <v>20</v>
      </c>
    </row>
    <row r="10" customFormat="false" ht="49.5" hidden="false" customHeight="true" outlineLevel="0" collapsed="false">
      <c r="A10" s="335" t="n">
        <v>5</v>
      </c>
      <c r="B10" s="336" t="s">
        <v>1181</v>
      </c>
      <c r="C10" s="336" t="s">
        <v>1182</v>
      </c>
      <c r="D10" s="337" t="s">
        <v>20</v>
      </c>
    </row>
    <row r="11" customFormat="false" ht="49.5" hidden="false" customHeight="true" outlineLevel="0" collapsed="false">
      <c r="A11" s="335" t="n">
        <v>6</v>
      </c>
      <c r="B11" s="336" t="s">
        <v>1183</v>
      </c>
      <c r="C11" s="336" t="s">
        <v>1184</v>
      </c>
      <c r="D11" s="337" t="s">
        <v>28</v>
      </c>
    </row>
    <row r="12" customFormat="false" ht="69.75" hidden="false" customHeight="true" outlineLevel="0" collapsed="false">
      <c r="A12" s="335" t="n">
        <v>7</v>
      </c>
      <c r="B12" s="336" t="s">
        <v>1185</v>
      </c>
      <c r="C12" s="336" t="s">
        <v>1186</v>
      </c>
      <c r="D12" s="337" t="s">
        <v>26</v>
      </c>
    </row>
    <row r="13" customFormat="false" ht="15" hidden="false" customHeight="false" outlineLevel="0" collapsed="false">
      <c r="A13" s="338"/>
      <c r="B13" s="338"/>
      <c r="C13" s="338"/>
      <c r="D13" s="338"/>
    </row>
    <row r="14" customFormat="false" ht="24" hidden="false" customHeight="true" outlineLevel="0" collapsed="false">
      <c r="A14" s="334" t="s">
        <v>1187</v>
      </c>
      <c r="B14" s="334"/>
      <c r="C14" s="334"/>
      <c r="D14" s="334"/>
    </row>
    <row r="15" customFormat="false" ht="57.75" hidden="false" customHeight="true" outlineLevel="0" collapsed="false">
      <c r="A15" s="335" t="n">
        <v>8</v>
      </c>
      <c r="B15" s="336" t="s">
        <v>1188</v>
      </c>
      <c r="C15" s="336" t="s">
        <v>1189</v>
      </c>
      <c r="D15" s="337" t="s">
        <v>22</v>
      </c>
    </row>
    <row r="16" customFormat="false" ht="57.75" hidden="false" customHeight="true" outlineLevel="0" collapsed="false">
      <c r="A16" s="335" t="n">
        <v>9</v>
      </c>
      <c r="B16" s="336" t="s">
        <v>1190</v>
      </c>
      <c r="C16" s="336" t="s">
        <v>1191</v>
      </c>
      <c r="D16" s="337" t="s">
        <v>22</v>
      </c>
    </row>
    <row r="17" customFormat="false" ht="49.5" hidden="false" customHeight="true" outlineLevel="0" collapsed="false">
      <c r="A17" s="335" t="n">
        <v>10</v>
      </c>
      <c r="B17" s="336" t="s">
        <v>1192</v>
      </c>
      <c r="C17" s="336" t="s">
        <v>1193</v>
      </c>
      <c r="D17" s="337" t="s">
        <v>22</v>
      </c>
    </row>
    <row r="18" customFormat="false" ht="57.75" hidden="false" customHeight="true" outlineLevel="0" collapsed="false">
      <c r="A18" s="335" t="n">
        <v>11</v>
      </c>
      <c r="B18" s="336" t="s">
        <v>1194</v>
      </c>
      <c r="C18" s="336" t="s">
        <v>1195</v>
      </c>
      <c r="D18" s="337" t="s">
        <v>48</v>
      </c>
    </row>
    <row r="19" customFormat="false" ht="57.75" hidden="false" customHeight="true" outlineLevel="0" collapsed="false">
      <c r="A19" s="335" t="n">
        <v>12</v>
      </c>
      <c r="B19" s="336" t="s">
        <v>1196</v>
      </c>
      <c r="C19" s="336" t="s">
        <v>1197</v>
      </c>
      <c r="D19" s="337" t="s">
        <v>68</v>
      </c>
    </row>
    <row r="20" customFormat="false" ht="57.75" hidden="false" customHeight="true" outlineLevel="0" collapsed="false">
      <c r="A20" s="335" t="n">
        <v>13</v>
      </c>
      <c r="B20" s="336" t="s">
        <v>1198</v>
      </c>
      <c r="C20" s="336" t="s">
        <v>1199</v>
      </c>
      <c r="D20" s="337" t="s">
        <v>68</v>
      </c>
    </row>
    <row r="21" customFormat="false" ht="57.75" hidden="false" customHeight="true" outlineLevel="0" collapsed="false">
      <c r="A21" s="335" t="n">
        <v>14</v>
      </c>
      <c r="B21" s="336" t="s">
        <v>1200</v>
      </c>
      <c r="C21" s="336" t="s">
        <v>1201</v>
      </c>
      <c r="D21" s="337" t="s">
        <v>22</v>
      </c>
    </row>
    <row r="22" customFormat="false" ht="69.75" hidden="false" customHeight="true" outlineLevel="0" collapsed="false">
      <c r="A22" s="335" t="n">
        <v>15</v>
      </c>
      <c r="B22" s="336" t="s">
        <v>1202</v>
      </c>
      <c r="C22" s="336" t="s">
        <v>1203</v>
      </c>
      <c r="D22" s="337" t="s">
        <v>46</v>
      </c>
    </row>
    <row r="23" customFormat="false" ht="49.5" hidden="false" customHeight="true" outlineLevel="0" collapsed="false">
      <c r="A23" s="335" t="n">
        <v>16</v>
      </c>
      <c r="B23" s="336" t="s">
        <v>1204</v>
      </c>
      <c r="C23" s="336" t="s">
        <v>1205</v>
      </c>
      <c r="D23" s="337" t="s">
        <v>30</v>
      </c>
    </row>
    <row r="24" customFormat="false" ht="15" hidden="false" customHeight="false" outlineLevel="0" collapsed="false">
      <c r="A24" s="338"/>
      <c r="B24" s="338"/>
      <c r="C24" s="338"/>
      <c r="D24" s="338"/>
    </row>
    <row r="25" customFormat="false" ht="24" hidden="false" customHeight="true" outlineLevel="0" collapsed="false">
      <c r="A25" s="334" t="s">
        <v>1206</v>
      </c>
      <c r="B25" s="334"/>
      <c r="C25" s="334"/>
      <c r="D25" s="334"/>
    </row>
    <row r="26" customFormat="false" ht="57.75" hidden="false" customHeight="true" outlineLevel="0" collapsed="false">
      <c r="A26" s="335" t="n">
        <v>17</v>
      </c>
      <c r="B26" s="336" t="s">
        <v>1207</v>
      </c>
      <c r="C26" s="336" t="s">
        <v>1208</v>
      </c>
      <c r="D26" s="337" t="s">
        <v>48</v>
      </c>
    </row>
    <row r="27" customFormat="false" ht="57.75" hidden="false" customHeight="true" outlineLevel="0" collapsed="false">
      <c r="A27" s="335" t="n">
        <v>18</v>
      </c>
      <c r="B27" s="336" t="s">
        <v>1209</v>
      </c>
      <c r="C27" s="336" t="s">
        <v>1210</v>
      </c>
      <c r="D27" s="337" t="s">
        <v>48</v>
      </c>
    </row>
    <row r="28" customFormat="false" ht="57.75" hidden="false" customHeight="true" outlineLevel="0" collapsed="false">
      <c r="A28" s="335" t="n">
        <v>19</v>
      </c>
      <c r="B28" s="336" t="s">
        <v>1211</v>
      </c>
      <c r="C28" s="336" t="s">
        <v>1212</v>
      </c>
      <c r="D28" s="337" t="s">
        <v>48</v>
      </c>
    </row>
    <row r="29" customFormat="false" ht="57.75" hidden="false" customHeight="true" outlineLevel="0" collapsed="false">
      <c r="A29" s="335" t="n">
        <v>20</v>
      </c>
      <c r="B29" s="336" t="s">
        <v>1213</v>
      </c>
      <c r="C29" s="336" t="s">
        <v>1214</v>
      </c>
      <c r="D29" s="337" t="s">
        <v>48</v>
      </c>
    </row>
    <row r="30" customFormat="false" ht="57.75" hidden="false" customHeight="true" outlineLevel="0" collapsed="false">
      <c r="A30" s="335" t="n">
        <v>21</v>
      </c>
      <c r="B30" s="336" t="s">
        <v>1215</v>
      </c>
      <c r="C30" s="336" t="s">
        <v>1216</v>
      </c>
      <c r="D30" s="337" t="s">
        <v>48</v>
      </c>
    </row>
    <row r="31" customFormat="false" ht="57.75" hidden="false" customHeight="true" outlineLevel="0" collapsed="false">
      <c r="A31" s="335" t="n">
        <v>22</v>
      </c>
      <c r="B31" s="336" t="s">
        <v>1217</v>
      </c>
      <c r="C31" s="336" t="s">
        <v>1218</v>
      </c>
      <c r="D31" s="337" t="s">
        <v>48</v>
      </c>
    </row>
    <row r="32" customFormat="false" ht="57.75" hidden="false" customHeight="true" outlineLevel="0" collapsed="false">
      <c r="A32" s="335" t="n">
        <v>23</v>
      </c>
      <c r="B32" s="336" t="s">
        <v>1219</v>
      </c>
      <c r="C32" s="336" t="s">
        <v>1220</v>
      </c>
      <c r="D32" s="337" t="s">
        <v>48</v>
      </c>
    </row>
    <row r="33" customFormat="false" ht="57.75" hidden="false" customHeight="true" outlineLevel="0" collapsed="false">
      <c r="A33" s="335" t="n">
        <v>24</v>
      </c>
      <c r="B33" s="336" t="s">
        <v>1221</v>
      </c>
      <c r="C33" s="336" t="s">
        <v>1222</v>
      </c>
      <c r="D33" s="337" t="s">
        <v>56</v>
      </c>
    </row>
    <row r="34" customFormat="false" ht="57.75" hidden="false" customHeight="true" outlineLevel="0" collapsed="false">
      <c r="A34" s="335" t="n">
        <v>25</v>
      </c>
      <c r="B34" s="336" t="s">
        <v>1223</v>
      </c>
      <c r="C34" s="336" t="s">
        <v>1224</v>
      </c>
      <c r="D34" s="337" t="s">
        <v>54</v>
      </c>
    </row>
    <row r="35" customFormat="false" ht="57.75" hidden="false" customHeight="true" outlineLevel="0" collapsed="false">
      <c r="A35" s="335" t="n">
        <v>26</v>
      </c>
      <c r="B35" s="336" t="s">
        <v>1225</v>
      </c>
      <c r="C35" s="336" t="s">
        <v>1226</v>
      </c>
      <c r="D35" s="337" t="s">
        <v>52</v>
      </c>
    </row>
    <row r="36" customFormat="false" ht="15" hidden="false" customHeight="false" outlineLevel="0" collapsed="false">
      <c r="A36" s="338"/>
      <c r="B36" s="338"/>
      <c r="C36" s="338"/>
      <c r="D36" s="338"/>
    </row>
    <row r="37" customFormat="false" ht="24" hidden="false" customHeight="true" outlineLevel="0" collapsed="false">
      <c r="A37" s="334" t="s">
        <v>1227</v>
      </c>
      <c r="B37" s="334"/>
      <c r="C37" s="334"/>
      <c r="D37" s="334"/>
    </row>
    <row r="38" customFormat="false" ht="57.75" hidden="false" customHeight="true" outlineLevel="0" collapsed="false">
      <c r="A38" s="335" t="n">
        <v>27</v>
      </c>
      <c r="B38" s="336" t="s">
        <v>1228</v>
      </c>
      <c r="C38" s="336" t="s">
        <v>1229</v>
      </c>
      <c r="D38" s="337" t="s">
        <v>50</v>
      </c>
    </row>
    <row r="39" customFormat="false" ht="30" hidden="false" customHeight="true" outlineLevel="0" collapsed="false">
      <c r="A39" s="335" t="n">
        <v>28</v>
      </c>
      <c r="B39" s="336" t="s">
        <v>1230</v>
      </c>
      <c r="C39" s="336" t="s">
        <v>1231</v>
      </c>
      <c r="D39" s="337" t="s">
        <v>50</v>
      </c>
    </row>
    <row r="40" customFormat="false" ht="30" hidden="false" customHeight="true" outlineLevel="0" collapsed="false">
      <c r="A40" s="335" t="n">
        <v>29</v>
      </c>
      <c r="B40" s="336" t="s">
        <v>1232</v>
      </c>
      <c r="C40" s="336" t="s">
        <v>1233</v>
      </c>
      <c r="D40" s="337" t="s">
        <v>50</v>
      </c>
    </row>
    <row r="41" customFormat="false" ht="49.5" hidden="false" customHeight="true" outlineLevel="0" collapsed="false">
      <c r="A41" s="335" t="n">
        <v>30</v>
      </c>
      <c r="B41" s="336" t="s">
        <v>1234</v>
      </c>
      <c r="C41" s="336" t="s">
        <v>1235</v>
      </c>
      <c r="D41" s="337" t="s">
        <v>50</v>
      </c>
    </row>
    <row r="42" customFormat="false" ht="57.75" hidden="false" customHeight="true" outlineLevel="0" collapsed="false">
      <c r="A42" s="335" t="n">
        <v>31</v>
      </c>
      <c r="B42" s="336" t="s">
        <v>1236</v>
      </c>
      <c r="C42" s="336" t="s">
        <v>1237</v>
      </c>
      <c r="D42" s="337" t="s">
        <v>66</v>
      </c>
    </row>
    <row r="43" customFormat="false" ht="57.75" hidden="false" customHeight="true" outlineLevel="0" collapsed="false">
      <c r="A43" s="335" t="n">
        <v>32</v>
      </c>
      <c r="B43" s="336" t="s">
        <v>1238</v>
      </c>
      <c r="C43" s="336" t="s">
        <v>1239</v>
      </c>
      <c r="D43" s="337" t="s">
        <v>70</v>
      </c>
    </row>
    <row r="44" customFormat="false" ht="57.75" hidden="false" customHeight="true" outlineLevel="0" collapsed="false">
      <c r="A44" s="335" t="n">
        <v>33</v>
      </c>
      <c r="B44" s="336" t="s">
        <v>1240</v>
      </c>
      <c r="C44" s="336" t="s">
        <v>1241</v>
      </c>
      <c r="D44" s="337" t="s">
        <v>72</v>
      </c>
    </row>
    <row r="45" customFormat="false" ht="15" hidden="false" customHeight="false" outlineLevel="0" collapsed="false">
      <c r="A45" s="338"/>
      <c r="B45" s="338"/>
      <c r="C45" s="338"/>
      <c r="D45" s="338"/>
    </row>
    <row r="46" customFormat="false" ht="24" hidden="false" customHeight="true" outlineLevel="0" collapsed="false">
      <c r="A46" s="334" t="s">
        <v>1242</v>
      </c>
      <c r="B46" s="334"/>
      <c r="C46" s="334"/>
      <c r="D46" s="334"/>
    </row>
    <row r="47" customFormat="false" ht="57.75" hidden="false" customHeight="true" outlineLevel="0" collapsed="false">
      <c r="A47" s="335" t="n">
        <v>34</v>
      </c>
      <c r="B47" s="336" t="s">
        <v>1243</v>
      </c>
      <c r="C47" s="336" t="s">
        <v>1244</v>
      </c>
      <c r="D47" s="337" t="s">
        <v>26</v>
      </c>
    </row>
    <row r="48" customFormat="false" ht="15" hidden="false" customHeight="false" outlineLevel="0" collapsed="false">
      <c r="A48" s="338"/>
      <c r="B48" s="338"/>
      <c r="C48" s="338"/>
      <c r="D48" s="338"/>
    </row>
    <row r="49" customFormat="false" ht="48" hidden="false" customHeight="true" outlineLevel="0" collapsed="false">
      <c r="A49" s="339" t="s">
        <v>1245</v>
      </c>
      <c r="B49" s="339"/>
      <c r="C49" s="339"/>
      <c r="D49" s="339"/>
    </row>
    <row r="50" customFormat="false" ht="15" hidden="false" customHeight="true" outlineLevel="0" collapsed="false">
      <c r="A50" s="27"/>
    </row>
    <row r="51" customFormat="false" ht="258.75" hidden="false" customHeight="true" outlineLevel="0" collapsed="false">
      <c r="A51" s="285"/>
      <c r="B51" s="301"/>
      <c r="C51" s="301"/>
      <c r="D51" s="340"/>
    </row>
    <row r="52" customFormat="false" ht="45.75" hidden="false" customHeight="true" outlineLevel="0" collapsed="false">
      <c r="A52" s="301"/>
      <c r="B52" s="301"/>
      <c r="C52" s="301"/>
      <c r="D52" s="301"/>
    </row>
    <row r="54" customFormat="false" ht="12" hidden="false" customHeight="true" outlineLevel="0" collapsed="false">
      <c r="A54" s="27"/>
      <c r="B54" s="27"/>
      <c r="C54" s="27"/>
      <c r="D54" s="27"/>
    </row>
    <row r="55" customFormat="false" ht="113.25" hidden="false" customHeight="true" outlineLevel="0" collapsed="false">
      <c r="A55" s="285"/>
      <c r="B55" s="301"/>
      <c r="C55" s="301"/>
      <c r="D55" s="340"/>
    </row>
    <row r="56" customFormat="false" ht="90.75" hidden="false" customHeight="true" outlineLevel="0" collapsed="false">
      <c r="A56" s="301"/>
      <c r="B56" s="301"/>
      <c r="C56" s="301"/>
      <c r="D56" s="301"/>
    </row>
  </sheetData>
  <mergeCells count="5">
    <mergeCell ref="A1:D1"/>
    <mergeCell ref="A49:D49"/>
    <mergeCell ref="A52:D52"/>
    <mergeCell ref="A54:D54"/>
    <mergeCell ref="A56:D56"/>
  </mergeCells>
  <hyperlinks>
    <hyperlink ref="D6" location="'Income Statement'!A1" display="Income Statement"/>
    <hyperlink ref="D7" location="'Balance Sheet'!A1" display="Balance Sheet"/>
    <hyperlink ref="D8" location="'Cash Flow'!A1" display="Cash Flow"/>
    <hyperlink ref="D9" location="Assumptions!A1" display="Assumptions"/>
    <hyperlink ref="D10" location="Assumptions!A1" display="Assumptions"/>
    <hyperlink ref="D11" location="Opex!A1" display="Opex"/>
    <hyperlink ref="D12" location="Staff!A1" display="Staff"/>
    <hyperlink ref="D15" location="Capital!B14" display="Capital"/>
    <hyperlink ref="D16" location="Capital!B19" display="Capital"/>
    <hyperlink ref="D17" location="Capital!B17" display="Capital"/>
    <hyperlink ref="D18" location="Feasibility!A24" display="Feasibility"/>
    <hyperlink ref="D19" location="'Funding &amp; Liquidity'!A13" display="Funding &amp; Liquidity"/>
    <hyperlink ref="D20" location="'Funding &amp; Liquidity'!A38" display="Funding &amp; Liquidity"/>
    <hyperlink ref="D21" location="Capital!A4" display="Capital"/>
    <hyperlink ref="D22" location="Investments!A1" display="Investments"/>
    <hyperlink ref="D23" location="Originations!A13" display="Originations"/>
    <hyperlink ref="D26" location="Feasibility!B13" display="Feasibility"/>
    <hyperlink ref="D27" location="Feasibility!B15" display="Feasibility"/>
    <hyperlink ref="D28" location="Feasibility!B16" display="Feasibility"/>
    <hyperlink ref="D29" location="Feasibility!B17" display="Feasibility"/>
    <hyperlink ref="D30" location="Feasibility!B14" display="Feasibility"/>
    <hyperlink ref="D31" location="Feasibility!B20" display="Feasibility"/>
    <hyperlink ref="D32" location="Feasibility!B18" display="Feasibility"/>
    <hyperlink ref="D33" location="'Break Even'!A17" display="Break Even"/>
    <hyperlink ref="D34" location="Sensitivity!A1" display="Sensitivity"/>
    <hyperlink ref="D35" location="Scenarios!A1" display="Scenarios"/>
    <hyperlink ref="D38" location="Ratios!A4" display="Ratios"/>
    <hyperlink ref="D39" location="Ratios!B11" display="Ratios"/>
    <hyperlink ref="D40" location="Ratios!B12" display="Ratios"/>
    <hyperlink ref="D41" location="Ratios!B13" display="Ratios"/>
    <hyperlink ref="D42" location="'Regulatory Capital Plan'!B13" display="Regulatory Capital Plan"/>
    <hyperlink ref="D43" location="'Scenario - Slower 2028'!A1" display="Scenario - Slower Year 2"/>
    <hyperlink ref="D44" location="'Scenario - Standby Capital'!A1" display="Scenario - Standby Capital"/>
    <hyperlink ref="D47" location="Staff!A12" display="Staf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341" width="57.29"/>
    <col collapsed="false" customWidth="true" hidden="false" outlineLevel="0" max="6" min="2" style="1" width="17"/>
    <col collapsed="false" customWidth="true" hidden="false" outlineLevel="0" max="9" min="7" style="1" width="16"/>
    <col collapsed="false" customWidth="true" hidden="false" outlineLevel="0" max="11" min="10" style="1" width="14"/>
    <col collapsed="false" customWidth="true" hidden="false" outlineLevel="0" max="12" min="12" style="1" width="16"/>
  </cols>
  <sheetData>
    <row r="1" customFormat="false" ht="30" hidden="false" customHeight="true" outlineLevel="0" collapsed="false">
      <c r="A1" s="280" t="s">
        <v>1246</v>
      </c>
      <c r="B1" s="280"/>
      <c r="C1" s="280"/>
      <c r="D1" s="280"/>
      <c r="E1" s="280"/>
      <c r="F1" s="280"/>
    </row>
    <row r="3" customFormat="false" ht="21.75" hidden="false" customHeight="true" outlineLevel="0" collapsed="false">
      <c r="A3" s="342" t="s">
        <v>83</v>
      </c>
      <c r="B3" s="281" t="s">
        <v>84</v>
      </c>
      <c r="C3" s="281" t="s">
        <v>85</v>
      </c>
      <c r="D3" s="281" t="s">
        <v>86</v>
      </c>
      <c r="E3" s="281" t="s">
        <v>87</v>
      </c>
      <c r="F3" s="281" t="s">
        <v>88</v>
      </c>
    </row>
    <row r="4" customFormat="false" ht="21.75" hidden="false" customHeight="true" outlineLevel="0" collapsed="false">
      <c r="A4" s="343" t="s">
        <v>1050</v>
      </c>
      <c r="B4" s="27"/>
      <c r="C4" s="27"/>
      <c r="D4" s="27"/>
      <c r="E4" s="27"/>
      <c r="F4" s="27"/>
    </row>
    <row r="5" customFormat="false" ht="18" hidden="false" customHeight="true" outlineLevel="0" collapsed="false">
      <c r="A5" s="344" t="s">
        <v>897</v>
      </c>
      <c r="B5" s="284" t="n">
        <f aca="false">'Regulatory Capital Plan'!B4</f>
        <v>30000000</v>
      </c>
      <c r="C5" s="284" t="n">
        <f aca="false">'Regulatory Capital Plan'!C4</f>
        <v>75000000</v>
      </c>
      <c r="D5" s="284" t="n">
        <f aca="false">'Regulatory Capital Plan'!D4</f>
        <v>75000000</v>
      </c>
      <c r="E5" s="284" t="n">
        <f aca="false">'Regulatory Capital Plan'!E4</f>
        <v>75000000</v>
      </c>
      <c r="F5" s="284" t="n">
        <f aca="false">'Regulatory Capital Plan'!F4</f>
        <v>75000000</v>
      </c>
    </row>
    <row r="6" customFormat="false" ht="18" hidden="false" customHeight="true" outlineLevel="0" collapsed="false">
      <c r="A6" s="344" t="s">
        <v>1247</v>
      </c>
      <c r="B6" s="284" t="n">
        <f aca="false">'Regulatory Capital Plan'!B5</f>
        <v>0</v>
      </c>
      <c r="C6" s="284" t="n">
        <f aca="false">'Regulatory Capital Plan'!C5</f>
        <v>462680.803677499</v>
      </c>
      <c r="D6" s="284" t="n">
        <f aca="false">'Regulatory Capital Plan'!D5</f>
        <v>4300246.3851805</v>
      </c>
      <c r="E6" s="284" t="n">
        <f aca="false">'Regulatory Capital Plan'!E5</f>
        <v>12297288.1124179</v>
      </c>
      <c r="F6" s="284" t="n">
        <f aca="false">'Regulatory Capital Plan'!F5</f>
        <v>26785287.0844617</v>
      </c>
    </row>
    <row r="7" customFormat="false" ht="18" hidden="false" customHeight="true" outlineLevel="0" collapsed="false">
      <c r="A7" s="344" t="s">
        <v>1248</v>
      </c>
      <c r="B7" s="284" t="n">
        <f aca="false">'Regulatory Capital Plan'!B6</f>
        <v>-8166870.7627</v>
      </c>
      <c r="C7" s="284" t="n">
        <f aca="false">'Regulatory Capital Plan'!C6</f>
        <v>624064.507172481</v>
      </c>
      <c r="D7" s="284" t="n">
        <f aca="false">'Regulatory Capital Plan'!D6</f>
        <v>73537810.5557294</v>
      </c>
      <c r="E7" s="284" t="n">
        <f aca="false">'Regulatory Capital Plan'!E6</f>
        <v>225481603.37324</v>
      </c>
      <c r="F7" s="284" t="n">
        <f aca="false">'Regulatory Capital Plan'!F6</f>
        <v>500753583.842072</v>
      </c>
    </row>
    <row r="8" customFormat="false" ht="18" hidden="false" customHeight="true" outlineLevel="0" collapsed="false">
      <c r="A8" s="344" t="s">
        <v>1249</v>
      </c>
      <c r="B8" s="284" t="n">
        <f aca="false">'Regulatory Capital Plan'!B7</f>
        <v>21833129.2373</v>
      </c>
      <c r="C8" s="284" t="n">
        <f aca="false">'Regulatory Capital Plan'!C7</f>
        <v>76086745.31085</v>
      </c>
      <c r="D8" s="284" t="n">
        <f aca="false">'Regulatory Capital Plan'!D7</f>
        <v>152838056.94091</v>
      </c>
      <c r="E8" s="284" t="n">
        <f aca="false">'Regulatory Capital Plan'!E7</f>
        <v>312778891.485658</v>
      </c>
      <c r="F8" s="284" t="n">
        <f aca="false">'Regulatory Capital Plan'!F7</f>
        <v>602538870.926534</v>
      </c>
    </row>
    <row r="9" customFormat="false" ht="18" hidden="false" customHeight="true" outlineLevel="0" collapsed="false">
      <c r="A9" s="344" t="s">
        <v>1250</v>
      </c>
      <c r="B9" s="284" t="n">
        <f aca="false">'Regulatory Capital Plan'!B8</f>
        <v>2581200</v>
      </c>
      <c r="C9" s="284" t="n">
        <f aca="false">'Regulatory Capital Plan'!C8</f>
        <v>2881200</v>
      </c>
      <c r="D9" s="284" t="n">
        <f aca="false">'Regulatory Capital Plan'!D8</f>
        <v>2881200</v>
      </c>
      <c r="E9" s="284" t="n">
        <f aca="false">'Regulatory Capital Plan'!E8</f>
        <v>2881200</v>
      </c>
      <c r="F9" s="284" t="n">
        <f aca="false">'Regulatory Capital Plan'!F8</f>
        <v>2881200</v>
      </c>
    </row>
    <row r="10" customFormat="false" ht="18" hidden="false" customHeight="true" outlineLevel="0" collapsed="false">
      <c r="A10" s="344" t="s">
        <v>1251</v>
      </c>
      <c r="B10" s="284" t="n">
        <f aca="false">'Regulatory Capital Plan'!B10</f>
        <v>19251929.2373</v>
      </c>
      <c r="C10" s="284" t="n">
        <f aca="false">'Regulatory Capital Plan'!C10</f>
        <v>73205545.31085</v>
      </c>
      <c r="D10" s="284" t="n">
        <f aca="false">'Regulatory Capital Plan'!D10</f>
        <v>149956856.94091</v>
      </c>
      <c r="E10" s="284" t="n">
        <f aca="false">'Regulatory Capital Plan'!E10</f>
        <v>309897691.485658</v>
      </c>
      <c r="F10" s="284" t="n">
        <f aca="false">'Regulatory Capital Plan'!F10</f>
        <v>599657670.926534</v>
      </c>
    </row>
    <row r="11" customFormat="false" ht="18" hidden="false" customHeight="true" outlineLevel="0" collapsed="false">
      <c r="A11" s="344" t="s">
        <v>937</v>
      </c>
      <c r="B11" s="289" t="n">
        <f aca="false">'Regulatory Capital Plan'!B31</f>
        <v>0.398280956375838</v>
      </c>
      <c r="C11" s="289" t="n">
        <f aca="false">'Regulatory Capital Plan'!C31</f>
        <v>0.144327394961383</v>
      </c>
      <c r="D11" s="289" t="n">
        <f aca="false">'Regulatory Capital Plan'!D31</f>
        <v>0.159763521005685</v>
      </c>
      <c r="E11" s="289" t="n">
        <f aca="false">'Regulatory Capital Plan'!E31</f>
        <v>0.172007504825977</v>
      </c>
      <c r="F11" s="289" t="n">
        <f aca="false">'Regulatory Capital Plan'!F31</f>
        <v>0.177928765545992</v>
      </c>
    </row>
    <row r="13" customFormat="false" ht="21.75" hidden="false" customHeight="true" outlineLevel="0" collapsed="false">
      <c r="A13" s="343" t="s">
        <v>1252</v>
      </c>
      <c r="B13" s="27"/>
      <c r="C13" s="27"/>
      <c r="D13" s="27"/>
      <c r="E13" s="27"/>
      <c r="F13" s="27"/>
    </row>
    <row r="14" customFormat="false" ht="18" hidden="false" customHeight="true" outlineLevel="0" collapsed="false">
      <c r="A14" s="344" t="s">
        <v>1253</v>
      </c>
      <c r="B14" s="284" t="n">
        <f aca="false">'Regulatory Capital Plan'!B19</f>
        <v>20052134.9673</v>
      </c>
      <c r="C14" s="284" t="n">
        <f aca="false">'Regulatory Capital Plan'!C19</f>
        <v>439024153.594</v>
      </c>
      <c r="D14" s="284" t="n">
        <f aca="false">'Regulatory Capital Plan'!D19</f>
        <v>840564492.1564</v>
      </c>
      <c r="E14" s="284" t="n">
        <f aca="false">'Regulatory Capital Plan'!E19</f>
        <v>1617413695.29384</v>
      </c>
      <c r="F14" s="284" t="n">
        <f aca="false">'Regulatory Capital Plan'!F19</f>
        <v>3031698217.1763</v>
      </c>
    </row>
    <row r="15" customFormat="false" ht="18" hidden="false" customHeight="true" outlineLevel="0" collapsed="false">
      <c r="A15" s="344" t="s">
        <v>1254</v>
      </c>
      <c r="B15" s="284" t="n">
        <f aca="false">'Regulatory Capital Plan'!B20</f>
        <v>4560076.28</v>
      </c>
      <c r="C15" s="284" t="n">
        <f aca="false">'Regulatory Capital Plan'!C20</f>
        <v>5060076.28</v>
      </c>
      <c r="D15" s="284" t="n">
        <f aca="false">'Regulatory Capital Plan'!D20</f>
        <v>5060076.28</v>
      </c>
      <c r="E15" s="284" t="n">
        <f aca="false">'Regulatory Capital Plan'!E20</f>
        <v>5060076.28</v>
      </c>
      <c r="F15" s="284" t="n">
        <f aca="false">'Regulatory Capital Plan'!F20</f>
        <v>5060076.28</v>
      </c>
    </row>
    <row r="16" customFormat="false" ht="18" hidden="false" customHeight="true" outlineLevel="0" collapsed="false">
      <c r="A16" s="344" t="s">
        <v>1255</v>
      </c>
      <c r="B16" s="284" t="n">
        <f aca="false">'Regulatory Capital Plan'!B19+'Regulatory Capital Plan'!B20</f>
        <v>24612211.2473</v>
      </c>
      <c r="C16" s="284" t="n">
        <f aca="false">'Regulatory Capital Plan'!C19+'Regulatory Capital Plan'!C20</f>
        <v>444084229.874</v>
      </c>
      <c r="D16" s="284" t="n">
        <f aca="false">'Regulatory Capital Plan'!D19+'Regulatory Capital Plan'!D20</f>
        <v>845624568.4364</v>
      </c>
      <c r="E16" s="284" t="n">
        <f aca="false">'Regulatory Capital Plan'!E19+'Regulatory Capital Plan'!E20</f>
        <v>1622473771.57384</v>
      </c>
      <c r="F16" s="284" t="n">
        <f aca="false">'Regulatory Capital Plan'!F19+'Regulatory Capital Plan'!F20</f>
        <v>3036758293.4563</v>
      </c>
    </row>
    <row r="18" customFormat="false" ht="21.75" hidden="false" customHeight="true" outlineLevel="0" collapsed="false">
      <c r="A18" s="343" t="s">
        <v>1256</v>
      </c>
      <c r="B18" s="27"/>
      <c r="C18" s="27"/>
      <c r="D18" s="27"/>
      <c r="E18" s="27"/>
      <c r="F18" s="27"/>
    </row>
    <row r="19" customFormat="false" ht="18" hidden="false" customHeight="true" outlineLevel="0" collapsed="false">
      <c r="A19" s="344" t="s">
        <v>1257</v>
      </c>
      <c r="B19" s="284" t="n">
        <f aca="false">'Regulatory Capital Plan'!B21</f>
        <v>225586.518382125</v>
      </c>
      <c r="C19" s="284" t="n">
        <f aca="false">'Regulatory Capital Plan'!C21</f>
        <v>5164608.24631462</v>
      </c>
      <c r="D19" s="284" t="n">
        <f aca="false">'Regulatory Capital Plan'!D21</f>
        <v>14395372.264692</v>
      </c>
      <c r="E19" s="284" t="n">
        <f aca="false">'Regulatory Capital Plan'!E21</f>
        <v>27652254.6088152</v>
      </c>
      <c r="F19" s="284" t="n">
        <f aca="false">'Regulatory Capital Plan'!F21</f>
        <v>52302509.0152891</v>
      </c>
    </row>
    <row r="20" customFormat="false" ht="18" hidden="false" customHeight="true" outlineLevel="0" collapsed="false">
      <c r="A20" s="344" t="s">
        <v>1258</v>
      </c>
      <c r="B20" s="284" t="n">
        <f aca="false">'Regulatory Capital Plan'!B22</f>
        <v>15591312</v>
      </c>
      <c r="C20" s="284" t="n">
        <f aca="false">'Regulatory Capital Plan'!C22</f>
        <v>36925000</v>
      </c>
      <c r="D20" s="284" t="n">
        <f aca="false">'Regulatory Capital Plan'!D22</f>
        <v>47600000</v>
      </c>
      <c r="E20" s="284" t="n">
        <f aca="false">'Regulatory Capital Plan'!E22</f>
        <v>91800000</v>
      </c>
      <c r="F20" s="284" t="n">
        <f aca="false">'Regulatory Capital Plan'!F22</f>
        <v>170000000</v>
      </c>
    </row>
    <row r="21" customFormat="false" ht="18" hidden="false" customHeight="true" outlineLevel="0" collapsed="false">
      <c r="A21" s="344" t="s">
        <v>1259</v>
      </c>
      <c r="B21" s="284" t="n">
        <f aca="false">'Regulatory Capital Plan'!B23</f>
        <v>0</v>
      </c>
      <c r="C21" s="284" t="n">
        <f aca="false">'Regulatory Capital Plan'!C23</f>
        <v>0</v>
      </c>
      <c r="D21" s="284" t="n">
        <f aca="false">'Regulatory Capital Plan'!D23</f>
        <v>0</v>
      </c>
      <c r="E21" s="284" t="n">
        <f aca="false">'Regulatory Capital Plan'!E23</f>
        <v>0</v>
      </c>
      <c r="F21" s="284" t="n">
        <f aca="false">'Regulatory Capital Plan'!F23</f>
        <v>0</v>
      </c>
    </row>
    <row r="22" customFormat="false" ht="18" hidden="false" customHeight="true" outlineLevel="0" collapsed="false">
      <c r="A22" s="344" t="s">
        <v>1260</v>
      </c>
      <c r="B22" s="284" t="n">
        <f aca="false">'Regulatory Capital Plan'!B24</f>
        <v>15816898.5183821</v>
      </c>
      <c r="C22" s="284" t="n">
        <f aca="false">'Regulatory Capital Plan'!C24</f>
        <v>42089608.2463146</v>
      </c>
      <c r="D22" s="284" t="n">
        <f aca="false">'Regulatory Capital Plan'!D24</f>
        <v>61995372.264692</v>
      </c>
      <c r="E22" s="284" t="n">
        <f aca="false">'Regulatory Capital Plan'!E24</f>
        <v>119452254.608815</v>
      </c>
      <c r="F22" s="284" t="n">
        <f aca="false">'Regulatory Capital Plan'!F24</f>
        <v>222302509.015289</v>
      </c>
    </row>
    <row r="23" customFormat="false" ht="18" hidden="false" customHeight="true" outlineLevel="0" collapsed="false">
      <c r="A23" s="344" t="s">
        <v>1261</v>
      </c>
      <c r="B23" s="289" t="n">
        <f aca="false">B96</f>
        <v>0.12</v>
      </c>
      <c r="C23" s="289" t="n">
        <f aca="false">C96</f>
        <v>0.12</v>
      </c>
      <c r="D23" s="289" t="n">
        <f aca="false">D96</f>
        <v>0.12</v>
      </c>
      <c r="E23" s="289" t="n">
        <f aca="false">E96</f>
        <v>0.12</v>
      </c>
      <c r="F23" s="289" t="n">
        <f aca="false">F96</f>
        <v>0.12</v>
      </c>
    </row>
    <row r="24" customFormat="false" ht="18" hidden="false" customHeight="true" outlineLevel="0" collapsed="false">
      <c r="A24" s="344" t="s">
        <v>1262</v>
      </c>
      <c r="B24" s="298" t="n">
        <f aca="false">1</f>
        <v>1</v>
      </c>
      <c r="C24" s="298" t="n">
        <f aca="false">1</f>
        <v>1</v>
      </c>
      <c r="D24" s="298" t="n">
        <f aca="false">1</f>
        <v>1</v>
      </c>
      <c r="E24" s="298" t="n">
        <f aca="false">1</f>
        <v>1</v>
      </c>
      <c r="F24" s="298" t="n">
        <f aca="false">1</f>
        <v>1</v>
      </c>
    </row>
    <row r="25" customFormat="false" ht="18" hidden="false" customHeight="true" outlineLevel="0" collapsed="false">
      <c r="A25" s="344" t="s">
        <v>1263</v>
      </c>
      <c r="B25" s="298" t="n">
        <f aca="false">Assumptions!B97</f>
        <v>12.5</v>
      </c>
      <c r="C25" s="298" t="n">
        <f aca="false">Assumptions!C97</f>
        <v>12.5</v>
      </c>
      <c r="D25" s="298" t="n">
        <f aca="false">Assumptions!D97</f>
        <v>12.5</v>
      </c>
      <c r="E25" s="298" t="n">
        <f aca="false">Assumptions!E97</f>
        <v>12.5</v>
      </c>
      <c r="F25" s="298" t="n">
        <f aca="false">Assumptions!F97</f>
        <v>12.5</v>
      </c>
    </row>
    <row r="26" customFormat="false" ht="18" hidden="false" customHeight="true" outlineLevel="0" collapsed="false">
      <c r="A26" s="344" t="s">
        <v>1264</v>
      </c>
      <c r="B26" s="284" t="n">
        <f aca="false">'Regulatory Capital Plan'!B28</f>
        <v>23725347.7775732</v>
      </c>
      <c r="C26" s="284" t="n">
        <f aca="false">'Regulatory Capital Plan'!C28</f>
        <v>63134412.3694719</v>
      </c>
      <c r="D26" s="284" t="n">
        <f aca="false">'Regulatory Capital Plan'!D28</f>
        <v>92993058.397038</v>
      </c>
      <c r="E26" s="284" t="n">
        <f aca="false">'Regulatory Capital Plan'!E28</f>
        <v>179178381.913223</v>
      </c>
      <c r="F26" s="284" t="n">
        <f aca="false">'Regulatory Capital Plan'!F28</f>
        <v>333453763.522934</v>
      </c>
    </row>
    <row r="28" customFormat="false" ht="21.75" hidden="false" customHeight="true" outlineLevel="0" collapsed="false">
      <c r="A28" s="343" t="s">
        <v>1265</v>
      </c>
      <c r="B28" s="27"/>
      <c r="C28" s="27"/>
      <c r="D28" s="27"/>
      <c r="E28" s="27"/>
      <c r="F28" s="27"/>
    </row>
    <row r="29" customFormat="false" ht="18" hidden="false" customHeight="true" outlineLevel="0" collapsed="false">
      <c r="A29" s="344" t="s">
        <v>1266</v>
      </c>
      <c r="B29" s="284" t="n">
        <f aca="false">'Regulatory Capital Plan'!B29</f>
        <v>0</v>
      </c>
      <c r="C29" s="284" t="n">
        <f aca="false">'Regulatory Capital Plan'!C29</f>
        <v>0</v>
      </c>
      <c r="D29" s="284" t="n">
        <f aca="false">'Regulatory Capital Plan'!D29</f>
        <v>0</v>
      </c>
      <c r="E29" s="284" t="n">
        <f aca="false">'Regulatory Capital Plan'!E29</f>
        <v>0</v>
      </c>
      <c r="F29" s="284" t="n">
        <f aca="false">'Regulatory Capital Plan'!F29</f>
        <v>0</v>
      </c>
    </row>
    <row r="31" customFormat="false" ht="21.75" hidden="false" customHeight="true" outlineLevel="0" collapsed="false">
      <c r="A31" s="343" t="s">
        <v>1267</v>
      </c>
      <c r="B31" s="27"/>
      <c r="C31" s="27"/>
      <c r="D31" s="27"/>
      <c r="E31" s="27"/>
      <c r="F31" s="27"/>
    </row>
    <row r="32" customFormat="false" ht="18" hidden="false" customHeight="true" outlineLevel="0" collapsed="false">
      <c r="A32" s="344" t="s">
        <v>1268</v>
      </c>
      <c r="B32" s="284" t="n">
        <f aca="false">'Regulatory Capital Plan'!B30</f>
        <v>48337559.0248732</v>
      </c>
      <c r="C32" s="284" t="n">
        <f aca="false">'Regulatory Capital Plan'!C30</f>
        <v>507218642.243472</v>
      </c>
      <c r="D32" s="284" t="n">
        <f aca="false">'Regulatory Capital Plan'!D30</f>
        <v>938617626.833438</v>
      </c>
      <c r="E32" s="284" t="n">
        <f aca="false">'Regulatory Capital Plan'!E30</f>
        <v>1801652153.48706</v>
      </c>
      <c r="F32" s="284" t="n">
        <f aca="false">'Regulatory Capital Plan'!F30</f>
        <v>3370212056.97924</v>
      </c>
    </row>
    <row r="33" customFormat="false" ht="18" hidden="false" customHeight="true" outlineLevel="0" collapsed="false">
      <c r="A33" s="344" t="s">
        <v>1269</v>
      </c>
      <c r="B33" s="289" t="n">
        <f aca="false">'Regulatory Capital Plan'!B31</f>
        <v>0.398280956375838</v>
      </c>
      <c r="C33" s="289" t="n">
        <f aca="false">'Regulatory Capital Plan'!C31</f>
        <v>0.144327394961383</v>
      </c>
      <c r="D33" s="289" t="n">
        <f aca="false">'Regulatory Capital Plan'!D31</f>
        <v>0.159763521005685</v>
      </c>
      <c r="E33" s="289" t="n">
        <f aca="false">'Regulatory Capital Plan'!E31</f>
        <v>0.172007504825977</v>
      </c>
      <c r="F33" s="289" t="n">
        <f aca="false">'Regulatory Capital Plan'!F31</f>
        <v>0.177928765545992</v>
      </c>
    </row>
    <row r="34" customFormat="false" ht="18" hidden="false" customHeight="true" outlineLevel="0" collapsed="false">
      <c r="A34" s="344" t="s">
        <v>1270</v>
      </c>
      <c r="B34" s="289" t="n">
        <f aca="false">Assumptions!B95</f>
        <v>0.12</v>
      </c>
      <c r="C34" s="289" t="n">
        <f aca="false">Assumptions!C95</f>
        <v>0.12</v>
      </c>
      <c r="D34" s="289" t="n">
        <f aca="false">Assumptions!D95</f>
        <v>0.12</v>
      </c>
      <c r="E34" s="289" t="n">
        <f aca="false">Assumptions!E95</f>
        <v>0.12</v>
      </c>
      <c r="F34" s="289" t="n">
        <f aca="false">Assumptions!F95</f>
        <v>0.12</v>
      </c>
    </row>
    <row r="35" customFormat="false" ht="18" hidden="false" customHeight="true" outlineLevel="0" collapsed="false">
      <c r="A35" s="344" t="s">
        <v>1271</v>
      </c>
      <c r="B35" s="289" t="n">
        <f aca="false">'Regulatory Capital Plan'!B31-'Regulatory Capital Plan'!B32</f>
        <v>0.278280956375838</v>
      </c>
      <c r="C35" s="289" t="n">
        <f aca="false">'Regulatory Capital Plan'!C31-'Regulatory Capital Plan'!C32</f>
        <v>0.024327394961383</v>
      </c>
      <c r="D35" s="289" t="n">
        <f aca="false">'Regulatory Capital Plan'!D31-'Regulatory Capital Plan'!D32</f>
        <v>0.0397635210056848</v>
      </c>
      <c r="E35" s="289" t="n">
        <f aca="false">'Regulatory Capital Plan'!E31-'Regulatory Capital Plan'!E32</f>
        <v>0.0520075048259771</v>
      </c>
      <c r="F35" s="289" t="n">
        <f aca="false">'Regulatory Capital Plan'!F31-'Regulatory Capital Plan'!F32</f>
        <v>0.0579287655459919</v>
      </c>
    </row>
    <row r="36" customFormat="false" ht="18" hidden="false" customHeight="true" outlineLevel="0" collapsed="false">
      <c r="A36" s="344" t="s">
        <v>1272</v>
      </c>
      <c r="B36" s="284" t="n">
        <f aca="false">'Regulatory Capital Plan'!B33</f>
        <v>13451422.1543152</v>
      </c>
      <c r="C36" s="284" t="n">
        <f aca="false">'Regulatory Capital Plan'!C33</f>
        <v>12339308.2416333</v>
      </c>
      <c r="D36" s="284" t="n">
        <f aca="false">'Regulatory Capital Plan'!D33</f>
        <v>37322741.7208974</v>
      </c>
      <c r="E36" s="284" t="n">
        <f aca="false">'Regulatory Capital Plan'!E33</f>
        <v>93699433.0672104</v>
      </c>
      <c r="F36" s="284" t="n">
        <f aca="false">'Regulatory Capital Plan'!F33</f>
        <v>195232224.089025</v>
      </c>
    </row>
    <row r="37" customFormat="false" ht="18" hidden="false" customHeight="true" outlineLevel="0" collapsed="false">
      <c r="A37" s="344" t="s">
        <v>1273</v>
      </c>
      <c r="B37" s="283" t="str">
        <f aca="false">IF(B33&lt;12%,"فجوة تخطيطية","استرشادي - يحتاج اعتماد مدخلات القاعدة/BI/ILM")</f>
        <v>استرشادي - يحتاج اعتماد مدخلات القاعدة/BI/ILM</v>
      </c>
      <c r="C37" s="283" t="str">
        <f aca="false">IF(C33&lt;12%,"فجوة تخطيطية","استرشادي - يحتاج اعتماد مدخلات القاعدة/BI/ILM")</f>
        <v>استرشادي - يحتاج اعتماد مدخلات القاعدة/BI/ILM</v>
      </c>
      <c r="D37" s="283" t="str">
        <f aca="false">IF(D33&lt;12%,"فجوة تخطيطية","استرشادي - يحتاج اعتماد مدخلات القاعدة/BI/ILM")</f>
        <v>استرشادي - يحتاج اعتماد مدخلات القاعدة/BI/ILM</v>
      </c>
      <c r="E37" s="283" t="str">
        <f aca="false">IF(E33&lt;12%,"فجوة تخطيطية","استرشادي - يحتاج اعتماد مدخلات القاعدة/BI/ILM")</f>
        <v>استرشادي - يحتاج اعتماد مدخلات القاعدة/BI/ILM</v>
      </c>
      <c r="F37" s="283" t="str">
        <f aca="false">IF(F33&lt;12%,"فجوة تخطيطية","استرشادي - يحتاج اعتماد مدخلات القاعدة/BI/ILM")</f>
        <v>استرشادي - يحتاج اعتماد مدخلات القاعدة/BI/ILM</v>
      </c>
    </row>
    <row r="39" customFormat="false" ht="21.75" hidden="false" customHeight="true" outlineLevel="0" collapsed="false">
      <c r="A39" s="343" t="s">
        <v>1274</v>
      </c>
      <c r="B39" s="27"/>
      <c r="C39" s="27"/>
      <c r="D39" s="27"/>
      <c r="E39" s="27"/>
      <c r="F39" s="27"/>
    </row>
    <row r="40" customFormat="false" ht="18" hidden="false" customHeight="true" outlineLevel="0" collapsed="false">
      <c r="A40" s="344" t="s">
        <v>1275</v>
      </c>
      <c r="B40" s="284" t="n">
        <f aca="false">'Regulatory Capital Plan'!B12</f>
        <v>0</v>
      </c>
      <c r="C40" s="284" t="n">
        <f aca="false">'Regulatory Capital Plan'!C12</f>
        <v>370000000</v>
      </c>
      <c r="D40" s="284" t="n">
        <f aca="false">'Regulatory Capital Plan'!D12</f>
        <v>685000000</v>
      </c>
      <c r="E40" s="284" t="n">
        <f aca="false">'Regulatory Capital Plan'!E12</f>
        <v>1335000000</v>
      </c>
      <c r="F40" s="284" t="n">
        <f aca="false">'Regulatory Capital Plan'!F12</f>
        <v>2600000000</v>
      </c>
    </row>
    <row r="41" customFormat="false" ht="18" hidden="false" customHeight="true" outlineLevel="0" collapsed="false">
      <c r="A41" s="344" t="s">
        <v>1276</v>
      </c>
      <c r="B41" s="284" t="n">
        <f aca="false">'Regulatory Capital Plan'!B10</f>
        <v>19251929.2373</v>
      </c>
      <c r="C41" s="284" t="n">
        <f aca="false">'Regulatory Capital Plan'!C10</f>
        <v>73205545.31085</v>
      </c>
      <c r="D41" s="284" t="n">
        <f aca="false">'Regulatory Capital Plan'!D10</f>
        <v>149956856.94091</v>
      </c>
      <c r="E41" s="284" t="n">
        <f aca="false">'Regulatory Capital Plan'!E10</f>
        <v>309897691.485658</v>
      </c>
      <c r="F41" s="284" t="n">
        <f aca="false">'Regulatory Capital Plan'!F10</f>
        <v>599657670.926534</v>
      </c>
    </row>
    <row r="42" customFormat="false" ht="18" hidden="false" customHeight="true" outlineLevel="0" collapsed="false">
      <c r="A42" s="344" t="s">
        <v>1277</v>
      </c>
      <c r="B42" s="298" t="n">
        <f aca="false">'Regulatory Capital Plan'!B13</f>
        <v>0</v>
      </c>
      <c r="C42" s="298" t="n">
        <f aca="false">'Regulatory Capital Plan'!C13</f>
        <v>5.05426192003465</v>
      </c>
      <c r="D42" s="298" t="n">
        <f aca="false">'Regulatory Capital Plan'!D13</f>
        <v>4.56798051102073</v>
      </c>
      <c r="E42" s="298" t="n">
        <f aca="false">'Regulatory Capital Plan'!E13</f>
        <v>4.30787332942035</v>
      </c>
      <c r="F42" s="298" t="n">
        <f aca="false">'Regulatory Capital Plan'!F13</f>
        <v>4.33580712139099</v>
      </c>
    </row>
    <row r="43" customFormat="false" ht="18" hidden="false" customHeight="true" outlineLevel="0" collapsed="false">
      <c r="A43" s="344" t="s">
        <v>1278</v>
      </c>
      <c r="B43" s="298" t="n">
        <f aca="false">Assumptions!B51</f>
        <v>4</v>
      </c>
      <c r="C43" s="298" t="n">
        <f aca="false">Assumptions!C51</f>
        <v>4</v>
      </c>
      <c r="D43" s="298" t="n">
        <f aca="false">Assumptions!D51</f>
        <v>9</v>
      </c>
      <c r="E43" s="298" t="n">
        <f aca="false">Assumptions!E51</f>
        <v>9</v>
      </c>
      <c r="F43" s="298" t="n">
        <f aca="false">Assumptions!F51</f>
        <v>9</v>
      </c>
    </row>
    <row r="44" customFormat="false" ht="18" hidden="false" customHeight="true" outlineLevel="0" collapsed="false">
      <c r="A44" s="344" t="s">
        <v>657</v>
      </c>
      <c r="B44" s="283" t="str">
        <f aca="false">'Regulatory Capital Plan'!B16</f>
        <v>متوافق</v>
      </c>
      <c r="C44" s="283" t="str">
        <f aca="false">'Regulatory Capital Plan'!C16</f>
        <v>فجوة</v>
      </c>
      <c r="D44" s="283" t="str">
        <f aca="false">'Regulatory Capital Plan'!D16</f>
        <v>متوافق</v>
      </c>
      <c r="E44" s="283" t="str">
        <f aca="false">'Regulatory Capital Plan'!E16</f>
        <v>متوافق</v>
      </c>
      <c r="F44" s="283" t="str">
        <f aca="false">'Regulatory Capital Plan'!F16</f>
        <v>متوافق</v>
      </c>
    </row>
    <row r="45" customFormat="false" ht="15.75" hidden="false" customHeight="true" outlineLevel="0" collapsed="false">
      <c r="A45" s="283" t="s">
        <v>1279</v>
      </c>
      <c r="B45" s="283"/>
      <c r="C45" s="283"/>
      <c r="D45" s="283"/>
      <c r="E45" s="283"/>
      <c r="F45" s="283"/>
    </row>
    <row r="47" customFormat="false" ht="14.25" hidden="false" customHeight="true" outlineLevel="0" collapsed="false">
      <c r="A47" s="345" t="s">
        <v>1280</v>
      </c>
      <c r="B47" s="345"/>
      <c r="C47" s="345"/>
      <c r="D47" s="345"/>
      <c r="E47" s="345"/>
      <c r="F47" s="345"/>
    </row>
    <row r="48" customFormat="false" ht="43.5" hidden="false" customHeight="true" outlineLevel="0" collapsed="false">
      <c r="A48" s="346" t="s">
        <v>1281</v>
      </c>
      <c r="B48" s="346"/>
      <c r="C48" s="346"/>
      <c r="D48" s="346"/>
      <c r="E48" s="346"/>
      <c r="F48" s="346"/>
    </row>
    <row r="49" customFormat="false" ht="15" hidden="false" customHeight="true" outlineLevel="0" collapsed="false">
      <c r="A49" s="347" t="s">
        <v>1282</v>
      </c>
      <c r="B49" s="284" t="n">
        <f aca="false">'Regulatory Capital Plan'!B10</f>
        <v>19251929.2373</v>
      </c>
      <c r="C49" s="284" t="n">
        <f aca="false">'Regulatory Capital Plan'!C10</f>
        <v>73205545.31085</v>
      </c>
      <c r="D49" s="284" t="n">
        <f aca="false">'Regulatory Capital Plan'!D10</f>
        <v>149956856.94091</v>
      </c>
      <c r="E49" s="284" t="n">
        <f aca="false">'Regulatory Capital Plan'!E10</f>
        <v>309897691.485658</v>
      </c>
      <c r="F49" s="284" t="n">
        <f aca="false">'Regulatory Capital Plan'!F10</f>
        <v>599657670.926534</v>
      </c>
    </row>
    <row r="50" customFormat="false" ht="15" hidden="false" customHeight="true" outlineLevel="0" collapsed="false">
      <c r="A50" s="348" t="s">
        <v>1283</v>
      </c>
      <c r="B50" s="284" t="n">
        <f aca="false">'Balance Sheet'!B11</f>
        <v>27833129.2373</v>
      </c>
      <c r="C50" s="284" t="n">
        <f aca="false">'Balance Sheet'!C11</f>
        <v>453586745.31085</v>
      </c>
      <c r="D50" s="284" t="n">
        <f aca="false">'Balance Sheet'!D11</f>
        <v>858838056.94091</v>
      </c>
      <c r="E50" s="284" t="n">
        <f aca="false">'Balance Sheet'!E11</f>
        <v>1688278891.48566</v>
      </c>
      <c r="F50" s="284" t="n">
        <f aca="false">'Balance Sheet'!F11</f>
        <v>3277538870.92653</v>
      </c>
    </row>
    <row r="51" customFormat="false" ht="15" hidden="false" customHeight="true" outlineLevel="0" collapsed="false">
      <c r="A51" s="348" t="s">
        <v>1284</v>
      </c>
      <c r="B51" s="284" t="n">
        <f aca="false">Assumptions!B121*Assumptions!B107</f>
        <v>0</v>
      </c>
      <c r="C51" s="284" t="n">
        <f aca="false">Assumptions!C121*Assumptions!C107</f>
        <v>0</v>
      </c>
      <c r="D51" s="284" t="n">
        <f aca="false">Assumptions!D121*Assumptions!D107</f>
        <v>0</v>
      </c>
      <c r="E51" s="284" t="n">
        <f aca="false">Assumptions!E121*Assumptions!E107</f>
        <v>0</v>
      </c>
      <c r="F51" s="284" t="n">
        <f aca="false">Assumptions!F121*Assumptions!F107</f>
        <v>0</v>
      </c>
    </row>
    <row r="52" customFormat="false" ht="15" hidden="false" customHeight="true" outlineLevel="0" collapsed="false">
      <c r="A52" s="348" t="s">
        <v>1285</v>
      </c>
      <c r="B52" s="284" t="n">
        <f aca="false">Assumptions!B124</f>
        <v>0</v>
      </c>
      <c r="C52" s="284" t="n">
        <f aca="false">Assumptions!C124</f>
        <v>0</v>
      </c>
      <c r="D52" s="284" t="n">
        <f aca="false">Assumptions!D124</f>
        <v>0</v>
      </c>
      <c r="E52" s="284" t="n">
        <f aca="false">Assumptions!E124</f>
        <v>0</v>
      </c>
      <c r="F52" s="284" t="n">
        <f aca="false">Assumptions!F124</f>
        <v>0</v>
      </c>
    </row>
    <row r="53" customFormat="false" ht="15" hidden="false" customHeight="true" outlineLevel="0" collapsed="false">
      <c r="A53" s="348" t="s">
        <v>1286</v>
      </c>
      <c r="B53" s="284" t="n">
        <f aca="false">SUM(B50:B52)</f>
        <v>27833129.2373</v>
      </c>
      <c r="C53" s="284" t="n">
        <f aca="false">SUM(C50:C52)</f>
        <v>453586745.31085</v>
      </c>
      <c r="D53" s="284" t="n">
        <f aca="false">SUM(D50:D52)</f>
        <v>858838056.94091</v>
      </c>
      <c r="E53" s="284" t="n">
        <f aca="false">SUM(E50:E52)</f>
        <v>1688278891.48566</v>
      </c>
      <c r="F53" s="284" t="n">
        <f aca="false">SUM(F50:F52)</f>
        <v>3277538870.92653</v>
      </c>
    </row>
    <row r="54" customFormat="false" ht="15" hidden="false" customHeight="true" outlineLevel="0" collapsed="false">
      <c r="A54" s="348" t="s">
        <v>1287</v>
      </c>
      <c r="B54" s="289" t="n">
        <f aca="false">IFERROR(B49/B53,0)</f>
        <v>0.69169115240912</v>
      </c>
      <c r="C54" s="289" t="n">
        <f aca="false">IFERROR(C49/C53,0)</f>
        <v>0.161392602556499</v>
      </c>
      <c r="D54" s="289" t="n">
        <f aca="false">IFERROR(D49/D53,0)</f>
        <v>0.174604345637687</v>
      </c>
      <c r="E54" s="289" t="n">
        <f aca="false">IFERROR(E49/E53,0)</f>
        <v>0.183558352265456</v>
      </c>
      <c r="F54" s="289" t="n">
        <f aca="false">IFERROR(F49/F53,0)</f>
        <v>0.182959743436091</v>
      </c>
    </row>
    <row r="55" customFormat="false" ht="15" hidden="false" customHeight="true" outlineLevel="0" collapsed="false">
      <c r="A55" s="347" t="s">
        <v>1288</v>
      </c>
      <c r="B55" s="289" t="n">
        <v>0.03</v>
      </c>
      <c r="C55" s="289" t="n">
        <v>0.03</v>
      </c>
      <c r="D55" s="289" t="n">
        <v>0.03</v>
      </c>
      <c r="E55" s="289" t="n">
        <v>0.03</v>
      </c>
      <c r="F55" s="289" t="n">
        <v>0.03</v>
      </c>
    </row>
    <row r="56" customFormat="false" ht="14.25" hidden="false" customHeight="true" outlineLevel="0" collapsed="false">
      <c r="A56" s="347" t="s">
        <v>1289</v>
      </c>
      <c r="B56" s="283" t="str">
        <f aca="false">IF(B54&gt;=B55,"متوافق استرشاديا بشرط تأكيد الانكشافات خارج الميزانية","فجوة")</f>
        <v>متوافق استرشاديا بشرط تأكيد الانكشافات خارج الميزانية</v>
      </c>
      <c r="C56" s="283" t="str">
        <f aca="false">IF(C54&gt;=C55,"متوافق استرشاديا بشرط تأكيد الانكشافات خارج الميزانية","فجوة")</f>
        <v>متوافق استرشاديا بشرط تأكيد الانكشافات خارج الميزانية</v>
      </c>
      <c r="D56" s="283" t="str">
        <f aca="false">IF(D54&gt;=D55,"متوافق استرشاديا بشرط تأكيد الانكشافات خارج الميزانية","فجوة")</f>
        <v>متوافق استرشاديا بشرط تأكيد الانكشافات خارج الميزانية</v>
      </c>
      <c r="E56" s="283" t="str">
        <f aca="false">IF(E54&gt;=E55,"متوافق استرشاديا بشرط تأكيد الانكشافات خارج الميزانية","فجوة")</f>
        <v>متوافق استرشاديا بشرط تأكيد الانكشافات خارج الميزانية</v>
      </c>
      <c r="F56" s="283" t="str">
        <f aca="false">IF(F54&gt;=F55,"متوافق استرشاديا بشرط تأكيد الانكشافات خارج الميزانية","فجوة")</f>
        <v>متوافق استرشاديا بشرط تأكيد الانكشافات خارج الميزانية</v>
      </c>
    </row>
    <row r="57" customFormat="false" ht="63.75" hidden="false" customHeight="true" outlineLevel="0" collapsed="false">
      <c r="A57" s="349" t="s">
        <v>1290</v>
      </c>
      <c r="B57" s="349"/>
      <c r="C57" s="349"/>
      <c r="D57" s="349"/>
      <c r="E57" s="349"/>
      <c r="F57" s="349"/>
    </row>
    <row r="59" customFormat="false" ht="21.75" hidden="false" customHeight="true" outlineLevel="0" collapsed="false">
      <c r="A59" s="343" t="s">
        <v>1291</v>
      </c>
      <c r="B59" s="27"/>
      <c r="C59" s="27"/>
      <c r="D59" s="27"/>
      <c r="E59" s="27"/>
      <c r="F59" s="27"/>
    </row>
    <row r="60" customFormat="false" ht="18" hidden="false" customHeight="true" outlineLevel="0" collapsed="false">
      <c r="A60" s="344" t="s">
        <v>1292</v>
      </c>
      <c r="B60" s="284" t="n">
        <f aca="false">'Funding &amp; Liquidity'!B16</f>
        <v>3220917.99</v>
      </c>
      <c r="C60" s="284" t="n">
        <f aca="false">'Funding &amp; Liquidity'!C16</f>
        <v>9502515.43684994</v>
      </c>
      <c r="D60" s="284" t="n">
        <f aca="false">'Funding &amp; Liquidity'!D16</f>
        <v>13213488.5045099</v>
      </c>
      <c r="E60" s="284" t="n">
        <f aca="false">'Funding &amp; Liquidity'!E16</f>
        <v>65805119.911818</v>
      </c>
      <c r="F60" s="284" t="n">
        <f aca="false">'Funding &amp; Liquidity'!F16</f>
        <v>240780577.47023</v>
      </c>
    </row>
    <row r="61" customFormat="false" ht="18" hidden="false" customHeight="true" outlineLevel="0" collapsed="false">
      <c r="A61" s="344" t="s">
        <v>1293</v>
      </c>
      <c r="B61" s="284" t="n">
        <f aca="false">'Funding &amp; Liquidity'!B17</f>
        <v>1299276</v>
      </c>
      <c r="C61" s="284" t="n">
        <f aca="false">'Funding &amp; Liquidity'!C17</f>
        <v>16545765.2425</v>
      </c>
      <c r="D61" s="284" t="n">
        <f aca="false">'Funding &amp; Liquidity'!D17</f>
        <v>42310150.75</v>
      </c>
      <c r="E61" s="284" t="n">
        <f aca="false">'Funding &amp; Liquidity'!E17</f>
        <v>82488183.6666667</v>
      </c>
      <c r="F61" s="284" t="n">
        <f aca="false">'Funding &amp; Liquidity'!F17</f>
        <v>153996020.95</v>
      </c>
    </row>
    <row r="62" customFormat="false" ht="18" hidden="false" customHeight="true" outlineLevel="0" collapsed="false">
      <c r="A62" s="344" t="s">
        <v>1294</v>
      </c>
      <c r="B62" s="284" t="n">
        <f aca="false">'Funding &amp; Liquidity'!B18</f>
        <v>589807.9925</v>
      </c>
      <c r="C62" s="284" t="n">
        <f aca="false">'Funding &amp; Liquidity'!C18</f>
        <v>7964173.65666667</v>
      </c>
      <c r="D62" s="284" t="n">
        <f aca="false">'Funding &amp; Liquidity'!D18</f>
        <v>32500000</v>
      </c>
      <c r="E62" s="284" t="n">
        <f aca="false">'Funding &amp; Liquidity'!E18</f>
        <v>68333333.3333333</v>
      </c>
      <c r="F62" s="284" t="n">
        <f aca="false">'Funding &amp; Liquidity'!F18</f>
        <v>129166666.666667</v>
      </c>
    </row>
    <row r="63" customFormat="false" ht="18" hidden="false" customHeight="true" outlineLevel="0" collapsed="false">
      <c r="A63" s="344" t="s">
        <v>1039</v>
      </c>
      <c r="B63" s="284" t="n">
        <f aca="false">'Funding &amp; Liquidity'!B19</f>
        <v>1169348.4</v>
      </c>
      <c r="C63" s="284" t="n">
        <f aca="false">'Funding &amp; Liquidity'!C19</f>
        <v>14891188.71825</v>
      </c>
      <c r="D63" s="284" t="n">
        <f aca="false">'Funding &amp; Liquidity'!D19</f>
        <v>38079135.675</v>
      </c>
      <c r="E63" s="284" t="n">
        <f aca="false">'Funding &amp; Liquidity'!E19</f>
        <v>74239365.3</v>
      </c>
      <c r="F63" s="284" t="n">
        <f aca="false">'Funding &amp; Liquidity'!F19</f>
        <v>138596418.855</v>
      </c>
    </row>
    <row r="64" customFormat="false" ht="18" hidden="false" customHeight="true" outlineLevel="0" collapsed="false">
      <c r="A64" s="344" t="s">
        <v>1295</v>
      </c>
      <c r="B64" s="284" t="n">
        <f aca="false">'Funding &amp; Liquidity'!B20</f>
        <v>709468.0075</v>
      </c>
      <c r="C64" s="284" t="n">
        <f aca="false">'Funding &amp; Liquidity'!C20</f>
        <v>8581591.58583333</v>
      </c>
      <c r="D64" s="284" t="n">
        <f aca="false">'Funding &amp; Liquidity'!D20</f>
        <v>9810150.75</v>
      </c>
      <c r="E64" s="284" t="n">
        <f aca="false">'Funding &amp; Liquidity'!E20</f>
        <v>14154850.3333333</v>
      </c>
      <c r="F64" s="284" t="n">
        <f aca="false">'Funding &amp; Liquidity'!F20</f>
        <v>24829354.2833333</v>
      </c>
    </row>
    <row r="65" customFormat="false" ht="18" hidden="false" customHeight="true" outlineLevel="0" collapsed="false">
      <c r="A65" s="344" t="s">
        <v>1296</v>
      </c>
      <c r="B65" s="289" t="n">
        <f aca="false">'Funding &amp; Liquidity'!B21</f>
        <v>4.53990589561574</v>
      </c>
      <c r="C65" s="289" t="n">
        <f aca="false">'Funding &amp; Liquidity'!C21</f>
        <v>1.10731387549798</v>
      </c>
      <c r="D65" s="289" t="n">
        <f aca="false">'Funding &amp; Liquidity'!D21</f>
        <v>1.34692002612802</v>
      </c>
      <c r="E65" s="289" t="n">
        <f aca="false">'Funding &amp; Liquidity'!E21</f>
        <v>4.64894494552536</v>
      </c>
      <c r="F65" s="289" t="n">
        <f aca="false">'Funding &amp; Liquidity'!F21</f>
        <v>9.69741599892725</v>
      </c>
    </row>
    <row r="66" customFormat="false" ht="18" hidden="false" customHeight="true" outlineLevel="0" collapsed="false">
      <c r="A66" s="344" t="s">
        <v>1297</v>
      </c>
      <c r="B66" s="289" t="n">
        <f aca="false">1</f>
        <v>1</v>
      </c>
      <c r="C66" s="289" t="n">
        <f aca="false">1</f>
        <v>1</v>
      </c>
      <c r="D66" s="289" t="n">
        <f aca="false">1</f>
        <v>1</v>
      </c>
      <c r="E66" s="289" t="n">
        <f aca="false">1</f>
        <v>1</v>
      </c>
      <c r="F66" s="289" t="n">
        <f aca="false">1</f>
        <v>1</v>
      </c>
    </row>
    <row r="67" customFormat="false" ht="18" hidden="false" customHeight="true" outlineLevel="0" collapsed="false">
      <c r="A67" s="344" t="s">
        <v>657</v>
      </c>
      <c r="B67" s="283" t="str">
        <f aca="false">IF(B65&lt;100%,"فجوة تخطيطية","استرشادي - بيانات آجال تعاقدية مطلوبة")</f>
        <v>استرشادي - بيانات آجال تعاقدية مطلوبة</v>
      </c>
      <c r="C67" s="283" t="str">
        <f aca="false">IF(C65&lt;100%,"فجوة تخطيطية","استرشادي - بيانات آجال تعاقدية مطلوبة")</f>
        <v>استرشادي - بيانات آجال تعاقدية مطلوبة</v>
      </c>
      <c r="D67" s="283" t="str">
        <f aca="false">IF(D65&lt;100%,"فجوة تخطيطية","استرشادي - بيانات آجال تعاقدية مطلوبة")</f>
        <v>استرشادي - بيانات آجال تعاقدية مطلوبة</v>
      </c>
      <c r="E67" s="283" t="str">
        <f aca="false">IF(E65&lt;100%,"فجوة تخطيطية","استرشادي - بيانات آجال تعاقدية مطلوبة")</f>
        <v>استرشادي - بيانات آجال تعاقدية مطلوبة</v>
      </c>
      <c r="F67" s="283" t="str">
        <f aca="false">IF(F65&lt;100%,"فجوة تخطيطية","استرشادي - بيانات آجال تعاقدية مطلوبة")</f>
        <v>استرشادي - بيانات آجال تعاقدية مطلوبة</v>
      </c>
    </row>
    <row r="69" customFormat="false" ht="21.75" hidden="false" customHeight="true" outlineLevel="0" collapsed="false">
      <c r="A69" s="343" t="s">
        <v>1298</v>
      </c>
      <c r="B69" s="27"/>
      <c r="C69" s="27"/>
      <c r="D69" s="27"/>
      <c r="E69" s="27"/>
      <c r="F69" s="27"/>
    </row>
    <row r="70" customFormat="false" ht="18" hidden="false" customHeight="true" outlineLevel="0" collapsed="false">
      <c r="A70" s="344" t="s">
        <v>1299</v>
      </c>
      <c r="B70" s="284" t="n">
        <f aca="false">'Funding &amp; Liquidity'!B25</f>
        <v>21833129.2373</v>
      </c>
      <c r="C70" s="284" t="n">
        <f aca="false">'Funding &amp; Liquidity'!C25</f>
        <v>76086745.31085</v>
      </c>
      <c r="D70" s="284" t="n">
        <f aca="false">'Funding &amp; Liquidity'!D25</f>
        <v>152838056.94091</v>
      </c>
      <c r="E70" s="284" t="n">
        <f aca="false">'Funding &amp; Liquidity'!E25</f>
        <v>312778891.485658</v>
      </c>
      <c r="F70" s="284" t="n">
        <f aca="false">'Funding &amp; Liquidity'!F25</f>
        <v>602538870.926534</v>
      </c>
    </row>
    <row r="71" customFormat="false" ht="18" hidden="false" customHeight="true" outlineLevel="0" collapsed="false">
      <c r="A71" s="344" t="s">
        <v>1300</v>
      </c>
      <c r="B71" s="284" t="n">
        <f aca="false">'Funding &amp; Liquidity'!B26</f>
        <v>0</v>
      </c>
      <c r="C71" s="284" t="n">
        <f aca="false">'Funding &amp; Liquidity'!C26</f>
        <v>314500000</v>
      </c>
      <c r="D71" s="284" t="n">
        <f aca="false">'Funding &amp; Liquidity'!D26</f>
        <v>616500000</v>
      </c>
      <c r="E71" s="284" t="n">
        <f aca="false">'Funding &amp; Liquidity'!E26</f>
        <v>1201500000</v>
      </c>
      <c r="F71" s="284" t="n">
        <f aca="false">'Funding &amp; Liquidity'!F26</f>
        <v>2340000000</v>
      </c>
    </row>
    <row r="72" customFormat="false" ht="18" hidden="false" customHeight="true" outlineLevel="0" collapsed="false">
      <c r="A72" s="344" t="s">
        <v>1301</v>
      </c>
      <c r="B72" s="284" t="n">
        <f aca="false">'Funding &amp; Liquidity'!B27</f>
        <v>0</v>
      </c>
      <c r="C72" s="284" t="n">
        <f aca="false">'Funding &amp; Liquidity'!C27</f>
        <v>27750000</v>
      </c>
      <c r="D72" s="284" t="n">
        <f aca="false">'Funding &amp; Liquidity'!D27</f>
        <v>51375000</v>
      </c>
      <c r="E72" s="284" t="n">
        <f aca="false">'Funding &amp; Liquidity'!E27</f>
        <v>100125000</v>
      </c>
      <c r="F72" s="284" t="n">
        <f aca="false">'Funding &amp; Liquidity'!F27</f>
        <v>195000000</v>
      </c>
    </row>
    <row r="73" customFormat="false" ht="18" hidden="false" customHeight="true" outlineLevel="0" collapsed="false">
      <c r="A73" s="344" t="s">
        <v>1302</v>
      </c>
      <c r="B73" s="284" t="n">
        <f aca="false">'Funding &amp; Liquidity'!B28</f>
        <v>0</v>
      </c>
      <c r="C73" s="284" t="n">
        <f aca="false">'Funding &amp; Liquidity'!C28</f>
        <v>9250000</v>
      </c>
      <c r="D73" s="284" t="n">
        <f aca="false">'Funding &amp; Liquidity'!D28</f>
        <v>0</v>
      </c>
      <c r="E73" s="284" t="n">
        <f aca="false">'Funding &amp; Liquidity'!E28</f>
        <v>0</v>
      </c>
      <c r="F73" s="284" t="n">
        <f aca="false">'Funding &amp; Liquidity'!F28</f>
        <v>0</v>
      </c>
    </row>
    <row r="74" customFormat="false" ht="18" hidden="false" customHeight="true" outlineLevel="0" collapsed="false">
      <c r="A74" s="344" t="s">
        <v>1303</v>
      </c>
      <c r="B74" s="284" t="n">
        <f aca="false">'Funding &amp; Liquidity'!B29</f>
        <v>24833129.2373</v>
      </c>
      <c r="C74" s="284" t="n">
        <f aca="false">'Funding &amp; Liquidity'!C29</f>
        <v>431336745.31085</v>
      </c>
      <c r="D74" s="284" t="n">
        <f aca="false">'Funding &amp; Liquidity'!D29</f>
        <v>831213056.94091</v>
      </c>
      <c r="E74" s="284" t="n">
        <f aca="false">'Funding &amp; Liquidity'!E29</f>
        <v>1634653891.48566</v>
      </c>
      <c r="F74" s="284" t="n">
        <f aca="false">'Funding &amp; Liquidity'!F29</f>
        <v>3175038870.92653</v>
      </c>
    </row>
    <row r="75" customFormat="false" ht="18" hidden="false" customHeight="true" outlineLevel="0" collapsed="false">
      <c r="A75" s="344" t="s">
        <v>1304</v>
      </c>
      <c r="B75" s="284" t="n">
        <f aca="false">'Funding &amp; Liquidity'!B30</f>
        <v>14036494.47711</v>
      </c>
      <c r="C75" s="284" t="n">
        <f aca="false">'Funding &amp; Liquidity'!C30</f>
        <v>307316907.5158</v>
      </c>
      <c r="D75" s="284" t="n">
        <f aca="false">'Funding &amp; Liquidity'!D30</f>
        <v>588395144.50948</v>
      </c>
      <c r="E75" s="284" t="n">
        <f aca="false">'Funding &amp; Liquidity'!E30</f>
        <v>1132189586.70569</v>
      </c>
      <c r="F75" s="284" t="n">
        <f aca="false">'Funding &amp; Liquidity'!F30</f>
        <v>2122188752.02341</v>
      </c>
    </row>
    <row r="76" customFormat="false" ht="18" hidden="false" customHeight="true" outlineLevel="0" collapsed="false">
      <c r="A76" s="344" t="s">
        <v>1305</v>
      </c>
      <c r="B76" s="284" t="n">
        <f aca="false">'Funding &amp; Liquidity'!B31</f>
        <v>3007820.245095</v>
      </c>
      <c r="C76" s="284" t="n">
        <f aca="false">'Funding &amp; Liquidity'!C31</f>
        <v>65853623.0391</v>
      </c>
      <c r="D76" s="284" t="n">
        <f aca="false">'Funding &amp; Liquidity'!D31</f>
        <v>126084673.82346</v>
      </c>
      <c r="E76" s="284" t="n">
        <f aca="false">'Funding &amp; Liquidity'!E31</f>
        <v>242612054.294076</v>
      </c>
      <c r="F76" s="284" t="n">
        <f aca="false">'Funding &amp; Liquidity'!F31</f>
        <v>454754732.576446</v>
      </c>
    </row>
    <row r="77" customFormat="false" ht="18" hidden="false" customHeight="true" outlineLevel="0" collapsed="false">
      <c r="A77" s="344" t="s">
        <v>1306</v>
      </c>
      <c r="B77" s="284" t="n">
        <f aca="false">'Funding &amp; Liquidity'!B32</f>
        <v>1002606.748365</v>
      </c>
      <c r="C77" s="284" t="n">
        <f aca="false">'Funding &amp; Liquidity'!C32</f>
        <v>21951207.6797</v>
      </c>
      <c r="D77" s="284" t="n">
        <f aca="false">'Funding &amp; Liquidity'!D32</f>
        <v>42028224.60782</v>
      </c>
      <c r="E77" s="284" t="n">
        <f aca="false">'Funding &amp; Liquidity'!E32</f>
        <v>80870684.764692</v>
      </c>
      <c r="F77" s="284" t="n">
        <f aca="false">'Funding &amp; Liquidity'!F32</f>
        <v>151584910.858815</v>
      </c>
    </row>
    <row r="78" customFormat="false" ht="18" hidden="false" customHeight="true" outlineLevel="0" collapsed="false">
      <c r="A78" s="344" t="s">
        <v>1307</v>
      </c>
      <c r="B78" s="284" t="n">
        <f aca="false">'Funding &amp; Liquidity'!B33</f>
        <v>4560076.28</v>
      </c>
      <c r="C78" s="284" t="n">
        <f aca="false">'Funding &amp; Liquidity'!C33</f>
        <v>5060076.28</v>
      </c>
      <c r="D78" s="284" t="n">
        <f aca="false">'Funding &amp; Liquidity'!D33</f>
        <v>5060076.28</v>
      </c>
      <c r="E78" s="284" t="n">
        <f aca="false">'Funding &amp; Liquidity'!E33</f>
        <v>5060076.28</v>
      </c>
      <c r="F78" s="284" t="n">
        <f aca="false">'Funding &amp; Liquidity'!F33</f>
        <v>5060076.28</v>
      </c>
    </row>
    <row r="79" customFormat="false" ht="18" hidden="false" customHeight="true" outlineLevel="0" collapsed="false">
      <c r="A79" s="344" t="s">
        <v>1308</v>
      </c>
      <c r="B79" s="284" t="n">
        <f aca="false">'Funding &amp; Liquidity'!B34</f>
        <v>22606997.75057</v>
      </c>
      <c r="C79" s="284" t="n">
        <f aca="false">'Funding &amp; Liquidity'!C34</f>
        <v>400181814.5146</v>
      </c>
      <c r="D79" s="284" t="n">
        <f aca="false">'Funding &amp; Liquidity'!D34</f>
        <v>761568119.22076</v>
      </c>
      <c r="E79" s="284" t="n">
        <f aca="false">'Funding &amp; Liquidity'!E34</f>
        <v>1460732402.04446</v>
      </c>
      <c r="F79" s="284" t="n">
        <f aca="false">'Funding &amp; Liquidity'!F34</f>
        <v>2733588471.73867</v>
      </c>
    </row>
    <row r="80" customFormat="false" ht="18" hidden="false" customHeight="true" outlineLevel="0" collapsed="false">
      <c r="A80" s="344" t="s">
        <v>1309</v>
      </c>
      <c r="B80" s="289" t="n">
        <f aca="false">'Funding &amp; Liquidity'!B35</f>
        <v>1.09847090318191</v>
      </c>
      <c r="C80" s="289" t="n">
        <f aca="false">'Funding &amp; Liquidity'!C35</f>
        <v>1.07785194045871</v>
      </c>
      <c r="D80" s="289" t="n">
        <f aca="false">'Funding &amp; Liquidity'!D35</f>
        <v>1.09144938707704</v>
      </c>
      <c r="E80" s="289" t="n">
        <f aca="false">'Funding &amp; Liquidity'!E35</f>
        <v>1.11906457965729</v>
      </c>
      <c r="F80" s="289" t="n">
        <f aca="false">'Funding &amp; Liquidity'!F35</f>
        <v>1.16149116948356</v>
      </c>
    </row>
    <row r="81" customFormat="false" ht="18" hidden="false" customHeight="true" outlineLevel="0" collapsed="false">
      <c r="A81" s="344" t="s">
        <v>1297</v>
      </c>
      <c r="B81" s="289" t="n">
        <f aca="false">1</f>
        <v>1</v>
      </c>
      <c r="C81" s="289" t="n">
        <f aca="false">1</f>
        <v>1</v>
      </c>
      <c r="D81" s="289" t="n">
        <f aca="false">1</f>
        <v>1</v>
      </c>
      <c r="E81" s="289" t="n">
        <f aca="false">1</f>
        <v>1</v>
      </c>
      <c r="F81" s="289" t="n">
        <f aca="false">1</f>
        <v>1</v>
      </c>
    </row>
    <row r="82" customFormat="false" ht="18" hidden="false" customHeight="true" outlineLevel="0" collapsed="false">
      <c r="A82" s="344" t="s">
        <v>657</v>
      </c>
      <c r="B82" s="283" t="str">
        <f aca="false">IF(B80&lt;100%,"فجوة تخطيطية","استرشادي - جداول ASF/RSF الفعلية مطلوبة")</f>
        <v>استرشادي - جداول ASF/RSF الفعلية مطلوبة</v>
      </c>
      <c r="C82" s="283" t="str">
        <f aca="false">IF(C80&lt;100%,"فجوة تخطيطية","استرشادي - جداول ASF/RSF الفعلية مطلوبة")</f>
        <v>استرشادي - جداول ASF/RSF الفعلية مطلوبة</v>
      </c>
      <c r="D82" s="283" t="str">
        <f aca="false">IF(D80&lt;100%,"فجوة تخطيطية","استرشادي - جداول ASF/RSF الفعلية مطلوبة")</f>
        <v>استرشادي - جداول ASF/RSF الفعلية مطلوبة</v>
      </c>
      <c r="E82" s="283" t="str">
        <f aca="false">IF(E80&lt;100%,"فجوة تخطيطية","استرشادي - جداول ASF/RSF الفعلية مطلوبة")</f>
        <v>استرشادي - جداول ASF/RSF الفعلية مطلوبة</v>
      </c>
      <c r="F82" s="283" t="str">
        <f aca="false">IF(F80&lt;100%,"فجوة تخطيطية","استرشادي - جداول ASF/RSF الفعلية مطلوبة")</f>
        <v>استرشادي - جداول ASF/RSF الفعلية مطلوبة</v>
      </c>
    </row>
    <row r="84" customFormat="false" ht="21.75" hidden="false" customHeight="true" outlineLevel="0" collapsed="false">
      <c r="A84" s="343" t="s">
        <v>1310</v>
      </c>
      <c r="B84" s="27"/>
      <c r="C84" s="27"/>
      <c r="D84" s="27"/>
      <c r="E84" s="27"/>
      <c r="F84" s="27"/>
    </row>
    <row r="85" customFormat="false" ht="18" hidden="false" customHeight="true" outlineLevel="0" collapsed="false">
      <c r="A85" s="344" t="s">
        <v>1311</v>
      </c>
      <c r="B85" s="284" t="n">
        <f aca="false">'Regulatory Capital Plan'!B36</f>
        <v>5775578.77119</v>
      </c>
      <c r="C85" s="284" t="n">
        <f aca="false">'Regulatory Capital Plan'!C36</f>
        <v>21961663.593255</v>
      </c>
      <c r="D85" s="284" t="n">
        <f aca="false">'Regulatory Capital Plan'!D36</f>
        <v>44987057.082273</v>
      </c>
      <c r="E85" s="284" t="n">
        <f aca="false">'Regulatory Capital Plan'!E36</f>
        <v>92969307.4456974</v>
      </c>
      <c r="F85" s="284" t="n">
        <f aca="false">'Regulatory Capital Plan'!F36</f>
        <v>179897301.27796</v>
      </c>
    </row>
    <row r="86" customFormat="false" ht="18" hidden="false" customHeight="true" outlineLevel="0" collapsed="false">
      <c r="A86" s="344" t="s">
        <v>1312</v>
      </c>
      <c r="B86" s="284" t="n">
        <f aca="false">'Regulatory Capital Plan'!B37</f>
        <v>4812982.309325</v>
      </c>
      <c r="C86" s="284" t="n">
        <f aca="false">'Regulatory Capital Plan'!C37</f>
        <v>18301386.3277125</v>
      </c>
      <c r="D86" s="284" t="n">
        <f aca="false">'Regulatory Capital Plan'!D37</f>
        <v>37489214.2352275</v>
      </c>
      <c r="E86" s="284" t="n">
        <f aca="false">'Regulatory Capital Plan'!E37</f>
        <v>77474422.8714145</v>
      </c>
      <c r="F86" s="284" t="n">
        <f aca="false">'Regulatory Capital Plan'!F37</f>
        <v>149914417.731633</v>
      </c>
    </row>
    <row r="87" customFormat="false" ht="18" hidden="false" customHeight="true" outlineLevel="0" collapsed="false">
      <c r="A87" s="344" t="s">
        <v>1313</v>
      </c>
      <c r="B87" s="284" t="str">
        <f aca="false">'Regulatory Capital Plan'!B38</f>
        <v>بيانات تشغيلية مطلوبة</v>
      </c>
      <c r="C87" s="284" t="str">
        <f aca="false">'Regulatory Capital Plan'!C38</f>
        <v>بيانات تشغيلية مطلوبة</v>
      </c>
      <c r="D87" s="284" t="str">
        <f aca="false">'Regulatory Capital Plan'!D38</f>
        <v>بيانات تشغيلية مطلوبة</v>
      </c>
      <c r="E87" s="284" t="str">
        <f aca="false">'Regulatory Capital Plan'!E38</f>
        <v>بيانات تشغيلية مطلوبة</v>
      </c>
      <c r="F87" s="284" t="str">
        <f aca="false">'Regulatory Capital Plan'!F38</f>
        <v>بيانات تشغيلية مطلوبة</v>
      </c>
    </row>
    <row r="88" customFormat="false" ht="18" hidden="false" customHeight="true" outlineLevel="0" collapsed="false">
      <c r="A88" s="344" t="s">
        <v>657</v>
      </c>
      <c r="B88" s="283" t="str">
        <f aca="false">"بيانات معلقة - لا يوجد سجل تركز عملاء فعلي"</f>
        <v>بيانات معلقة - لا يوجد سجل تركز عملاء فعلي</v>
      </c>
      <c r="C88" s="283" t="str">
        <f aca="false">"بيانات معلقة - لا يوجد سجل تركز عملاء فعلي"</f>
        <v>بيانات معلقة - لا يوجد سجل تركز عملاء فعلي</v>
      </c>
      <c r="D88" s="283" t="str">
        <f aca="false">"بيانات معلقة - لا يوجد سجل تركز عملاء فعلي"</f>
        <v>بيانات معلقة - لا يوجد سجل تركز عملاء فعلي</v>
      </c>
      <c r="E88" s="283" t="str">
        <f aca="false">"بيانات معلقة - لا يوجد سجل تركز عملاء فعلي"</f>
        <v>بيانات معلقة - لا يوجد سجل تركز عملاء فعلي</v>
      </c>
      <c r="F88" s="283" t="str">
        <f aca="false">"بيانات معلقة - لا يوجد سجل تركز عملاء فعلي"</f>
        <v>بيانات معلقة - لا يوجد سجل تركز عملاء فعلي</v>
      </c>
    </row>
    <row r="90" customFormat="false" ht="15" hidden="false" customHeight="true" outlineLevel="0" collapsed="false">
      <c r="A90" s="343" t="s">
        <v>1314</v>
      </c>
      <c r="B90" s="343"/>
      <c r="C90" s="343"/>
      <c r="D90" s="343"/>
      <c r="E90" s="343"/>
      <c r="F90" s="343"/>
    </row>
    <row r="91" customFormat="false" ht="15" hidden="false" customHeight="true" outlineLevel="0" collapsed="false">
      <c r="A91" s="342" t="s">
        <v>83</v>
      </c>
      <c r="B91" s="281" t="s">
        <v>84</v>
      </c>
      <c r="C91" s="281" t="s">
        <v>85</v>
      </c>
      <c r="D91" s="281" t="s">
        <v>86</v>
      </c>
      <c r="E91" s="281" t="s">
        <v>87</v>
      </c>
      <c r="F91" s="281" t="s">
        <v>88</v>
      </c>
    </row>
    <row r="92" customFormat="false" ht="15" hidden="false" customHeight="true" outlineLevel="0" collapsed="false">
      <c r="A92" s="344" t="s">
        <v>1315</v>
      </c>
      <c r="B92" s="284" t="n">
        <f aca="false">'Regulatory Capital Plan'!B24</f>
        <v>15816898.5183821</v>
      </c>
      <c r="C92" s="284" t="n">
        <f aca="false">'Regulatory Capital Plan'!C24</f>
        <v>42089608.2463146</v>
      </c>
      <c r="D92" s="284" t="n">
        <f aca="false">'Regulatory Capital Plan'!D24</f>
        <v>61995372.264692</v>
      </c>
      <c r="E92" s="284" t="n">
        <f aca="false">'Regulatory Capital Plan'!E24</f>
        <v>119452254.608815</v>
      </c>
      <c r="F92" s="284" t="n">
        <f aca="false">'Regulatory Capital Plan'!F24</f>
        <v>222302509.015289</v>
      </c>
    </row>
    <row r="93" customFormat="false" ht="15" hidden="false" customHeight="true" outlineLevel="0" collapsed="false">
      <c r="A93" s="344" t="s">
        <v>1316</v>
      </c>
      <c r="B93" s="284" t="n">
        <f aca="false">B92</f>
        <v>15816898.5183821</v>
      </c>
      <c r="C93" s="284" t="n">
        <f aca="false">AVERAGE(B92:C92)</f>
        <v>28953253.3823484</v>
      </c>
      <c r="D93" s="284" t="n">
        <f aca="false">AVERAGE(B92:D92)</f>
        <v>39967293.0097963</v>
      </c>
      <c r="E93" s="284" t="n">
        <f aca="false">AVERAGE(C92:E92)</f>
        <v>74512411.7066073</v>
      </c>
      <c r="F93" s="284" t="n">
        <f aca="false">AVERAGE(D92:F92)</f>
        <v>134583378.629599</v>
      </c>
    </row>
    <row r="94" customFormat="false" ht="15" hidden="false" customHeight="true" outlineLevel="0" collapsed="false">
      <c r="A94" s="344" t="s">
        <v>1317</v>
      </c>
      <c r="B94" s="284" t="n">
        <v>1000000000</v>
      </c>
      <c r="C94" s="284" t="n">
        <v>1000000000</v>
      </c>
      <c r="D94" s="284" t="n">
        <v>1000000000</v>
      </c>
      <c r="E94" s="284" t="n">
        <v>1000000000</v>
      </c>
      <c r="F94" s="284" t="n">
        <v>1000000000</v>
      </c>
    </row>
    <row r="95" customFormat="false" ht="15" hidden="false" customHeight="true" outlineLevel="0" collapsed="false">
      <c r="A95" s="344" t="s">
        <v>1318</v>
      </c>
      <c r="B95" s="284" t="n">
        <v>30000000000</v>
      </c>
      <c r="C95" s="284" t="n">
        <v>30000000000</v>
      </c>
      <c r="D95" s="284" t="n">
        <v>30000000000</v>
      </c>
      <c r="E95" s="284" t="n">
        <v>30000000000</v>
      </c>
      <c r="F95" s="284" t="n">
        <v>30000000000</v>
      </c>
    </row>
    <row r="96" customFormat="false" ht="15" hidden="false" customHeight="true" outlineLevel="0" collapsed="false">
      <c r="A96" s="344" t="s">
        <v>1319</v>
      </c>
      <c r="B96" s="289" t="n">
        <f aca="false">IF(B93&lt;=B94,12%,IF(B93&lt;=B95,15%,18%))</f>
        <v>0.12</v>
      </c>
      <c r="C96" s="289" t="n">
        <f aca="false">IF(C93&lt;=C94,12%,IF(C93&lt;=C95,15%,18%))</f>
        <v>0.12</v>
      </c>
      <c r="D96" s="289" t="n">
        <f aca="false">IF(D93&lt;=D94,12%,IF(D93&lt;=D95,15%,18%))</f>
        <v>0.12</v>
      </c>
      <c r="E96" s="289" t="n">
        <f aca="false">IF(E93&lt;=E94,12%,IF(E93&lt;=E95,15%,18%))</f>
        <v>0.12</v>
      </c>
      <c r="F96" s="289" t="n">
        <f aca="false">IF(F93&lt;=F94,12%,IF(F93&lt;=F95,15%,18%))</f>
        <v>0.12</v>
      </c>
    </row>
    <row r="97" customFormat="false" ht="15" hidden="false" customHeight="true" outlineLevel="0" collapsed="false">
      <c r="A97" s="349" t="s">
        <v>1320</v>
      </c>
      <c r="B97" s="349"/>
      <c r="C97" s="349"/>
      <c r="D97" s="349"/>
      <c r="E97" s="349"/>
      <c r="F97" s="349"/>
    </row>
    <row r="99" customFormat="false" ht="15" hidden="false" customHeight="true" outlineLevel="0" collapsed="false">
      <c r="A99" s="343" t="s">
        <v>1321</v>
      </c>
      <c r="B99" s="343"/>
      <c r="C99" s="343"/>
      <c r="D99" s="343"/>
      <c r="E99" s="343"/>
      <c r="F99" s="343"/>
    </row>
    <row r="100" customFormat="false" ht="15" hidden="false" customHeight="true" outlineLevel="0" collapsed="false">
      <c r="A100" s="342" t="s">
        <v>83</v>
      </c>
      <c r="B100" s="281" t="s">
        <v>84</v>
      </c>
      <c r="C100" s="281" t="s">
        <v>85</v>
      </c>
      <c r="D100" s="281" t="s">
        <v>86</v>
      </c>
      <c r="E100" s="281" t="s">
        <v>87</v>
      </c>
      <c r="F100" s="281" t="s">
        <v>88</v>
      </c>
    </row>
    <row r="101" customFormat="false" ht="15" hidden="false" customHeight="true" outlineLevel="0" collapsed="false">
      <c r="A101" s="344" t="s">
        <v>1322</v>
      </c>
      <c r="B101" s="284" t="n">
        <v>0</v>
      </c>
      <c r="C101" s="284" t="n">
        <v>0</v>
      </c>
      <c r="D101" s="284" t="n">
        <v>0</v>
      </c>
      <c r="E101" s="284" t="n">
        <v>0</v>
      </c>
      <c r="F101" s="284" t="n">
        <v>0</v>
      </c>
    </row>
    <row r="102" customFormat="false" ht="15" hidden="false" customHeight="true" outlineLevel="0" collapsed="false">
      <c r="A102" s="344" t="s">
        <v>1323</v>
      </c>
      <c r="B102" s="284" t="n">
        <v>0</v>
      </c>
      <c r="C102" s="284" t="n">
        <v>0</v>
      </c>
      <c r="D102" s="284" t="n">
        <v>0</v>
      </c>
      <c r="E102" s="284" t="n">
        <v>0</v>
      </c>
      <c r="F102" s="284" t="n">
        <v>0</v>
      </c>
    </row>
    <row r="103" customFormat="false" ht="15" hidden="false" customHeight="true" outlineLevel="0" collapsed="false">
      <c r="A103" s="344" t="s">
        <v>1324</v>
      </c>
      <c r="B103" s="284" t="n">
        <f aca="false">15*B102</f>
        <v>0</v>
      </c>
      <c r="C103" s="284" t="n">
        <f aca="false">15*C102</f>
        <v>0</v>
      </c>
      <c r="D103" s="284" t="n">
        <f aca="false">15*D102</f>
        <v>0</v>
      </c>
      <c r="E103" s="284" t="n">
        <f aca="false">15*E102</f>
        <v>0</v>
      </c>
      <c r="F103" s="284" t="n">
        <f aca="false">15*F102</f>
        <v>0</v>
      </c>
    </row>
    <row r="104" customFormat="false" ht="15" hidden="false" customHeight="true" outlineLevel="0" collapsed="false">
      <c r="A104" s="344" t="s">
        <v>1048</v>
      </c>
      <c r="B104" s="344" t="s">
        <v>1325</v>
      </c>
      <c r="C104" s="344" t="s">
        <v>1325</v>
      </c>
      <c r="D104" s="344" t="s">
        <v>1325</v>
      </c>
      <c r="E104" s="344" t="s">
        <v>1325</v>
      </c>
      <c r="F104" s="344" t="s">
        <v>1325</v>
      </c>
    </row>
    <row r="105" customFormat="false" ht="15" hidden="false" customHeight="true" outlineLevel="0" collapsed="false">
      <c r="A105" s="344" t="s">
        <v>1326</v>
      </c>
      <c r="B105" s="284" t="n">
        <v>1</v>
      </c>
      <c r="C105" s="284" t="n">
        <v>1</v>
      </c>
      <c r="D105" s="284" t="n">
        <v>1</v>
      </c>
      <c r="E105" s="284" t="n">
        <v>1</v>
      </c>
      <c r="F105" s="284" t="n">
        <v>1</v>
      </c>
    </row>
    <row r="107" customFormat="false" ht="15" hidden="false" customHeight="true" outlineLevel="0" collapsed="false">
      <c r="A107" s="343" t="s">
        <v>1327</v>
      </c>
      <c r="B107" s="343"/>
      <c r="C107" s="343"/>
      <c r="D107" s="343"/>
      <c r="E107" s="343"/>
      <c r="F107" s="343"/>
      <c r="G107" s="343"/>
      <c r="H107" s="343"/>
      <c r="I107" s="343"/>
      <c r="J107" s="343"/>
      <c r="K107" s="343"/>
      <c r="L107" s="343"/>
    </row>
    <row r="108" customFormat="false" ht="12" hidden="false" customHeight="true" outlineLevel="0" collapsed="false">
      <c r="A108" s="344" t="s">
        <v>1328</v>
      </c>
      <c r="B108" s="344" t="s">
        <v>1329</v>
      </c>
      <c r="C108" s="344" t="s">
        <v>1330</v>
      </c>
      <c r="D108" s="344" t="s">
        <v>1331</v>
      </c>
      <c r="E108" s="344" t="s">
        <v>1332</v>
      </c>
      <c r="F108" s="344" t="s">
        <v>1333</v>
      </c>
      <c r="G108" s="344" t="s">
        <v>1334</v>
      </c>
      <c r="H108" s="344" t="s">
        <v>1335</v>
      </c>
      <c r="I108" s="344" t="s">
        <v>1336</v>
      </c>
      <c r="J108" s="344" t="s">
        <v>1311</v>
      </c>
      <c r="K108" s="344" t="s">
        <v>1337</v>
      </c>
      <c r="L108" s="344" t="s">
        <v>657</v>
      </c>
    </row>
    <row r="109" customFormat="false" ht="15" hidden="false" customHeight="true" outlineLevel="0" collapsed="false">
      <c r="A109" s="344"/>
      <c r="B109" s="344"/>
      <c r="C109" s="344"/>
      <c r="D109" s="284" t="n">
        <v>0</v>
      </c>
      <c r="E109" s="284" t="n">
        <v>0</v>
      </c>
      <c r="F109" s="284" t="n">
        <v>0</v>
      </c>
      <c r="G109" s="284" t="n">
        <f aca="false">D109+E109+F109-0</f>
        <v>0</v>
      </c>
      <c r="H109" s="284" t="n">
        <f aca="false">IFERROR(G109/'Regulatory Capital Plan'!$C$10,0)</f>
        <v>0</v>
      </c>
      <c r="I109" s="284" t="n">
        <v>0.3</v>
      </c>
      <c r="J109" s="284" t="n">
        <v>0.25</v>
      </c>
      <c r="K109" s="284" t="s">
        <v>1338</v>
      </c>
    </row>
    <row r="110" customFormat="false" ht="15" hidden="false" customHeight="true" outlineLevel="0" collapsed="false">
      <c r="A110" s="344"/>
      <c r="B110" s="344"/>
      <c r="C110" s="344"/>
      <c r="D110" s="284" t="n">
        <v>0</v>
      </c>
      <c r="E110" s="284" t="n">
        <v>0</v>
      </c>
      <c r="F110" s="284" t="n">
        <v>0</v>
      </c>
      <c r="G110" s="284" t="n">
        <f aca="false">D110+E110+F110-0</f>
        <v>0</v>
      </c>
      <c r="H110" s="284" t="n">
        <f aca="false">IFERROR(G110/'Regulatory Capital Plan'!$C$10,0)</f>
        <v>0</v>
      </c>
      <c r="I110" s="284" t="n">
        <v>0.3</v>
      </c>
      <c r="J110" s="284" t="n">
        <v>0.25</v>
      </c>
      <c r="K110" s="284" t="s">
        <v>1338</v>
      </c>
    </row>
    <row r="111" customFormat="false" ht="15" hidden="false" customHeight="true" outlineLevel="0" collapsed="false">
      <c r="A111" s="344"/>
      <c r="B111" s="344"/>
      <c r="C111" s="344"/>
      <c r="D111" s="284" t="n">
        <v>0</v>
      </c>
      <c r="E111" s="284" t="n">
        <v>0</v>
      </c>
      <c r="F111" s="284" t="n">
        <v>0</v>
      </c>
      <c r="G111" s="284" t="n">
        <f aca="false">D111+E111+F111-0</f>
        <v>0</v>
      </c>
      <c r="H111" s="284" t="n">
        <f aca="false">IFERROR(G111/'Regulatory Capital Plan'!$C$10,0)</f>
        <v>0</v>
      </c>
      <c r="I111" s="284" t="n">
        <v>0.3</v>
      </c>
      <c r="J111" s="284" t="n">
        <v>0.25</v>
      </c>
      <c r="K111" s="284" t="s">
        <v>1338</v>
      </c>
    </row>
    <row r="112" customFormat="false" ht="15" hidden="false" customHeight="true" outlineLevel="0" collapsed="false">
      <c r="A112" s="344"/>
      <c r="B112" s="344"/>
      <c r="C112" s="344"/>
      <c r="D112" s="284" t="n">
        <v>0</v>
      </c>
      <c r="E112" s="284" t="n">
        <v>0</v>
      </c>
      <c r="F112" s="284" t="n">
        <v>0</v>
      </c>
      <c r="G112" s="284" t="n">
        <f aca="false">D112+E112+F112-0</f>
        <v>0</v>
      </c>
      <c r="H112" s="284" t="n">
        <f aca="false">IFERROR(G112/'Regulatory Capital Plan'!$C$10,0)</f>
        <v>0</v>
      </c>
      <c r="I112" s="284" t="n">
        <v>0.3</v>
      </c>
      <c r="J112" s="284" t="n">
        <v>0.25</v>
      </c>
      <c r="K112" s="284" t="s">
        <v>1338</v>
      </c>
    </row>
    <row r="113" customFormat="false" ht="15" hidden="false" customHeight="true" outlineLevel="0" collapsed="false">
      <c r="A113" s="344"/>
      <c r="B113" s="344"/>
      <c r="C113" s="344"/>
      <c r="D113" s="284" t="n">
        <v>0</v>
      </c>
      <c r="E113" s="284" t="n">
        <v>0</v>
      </c>
      <c r="F113" s="284" t="n">
        <v>0</v>
      </c>
      <c r="G113" s="284" t="n">
        <f aca="false">D113+E113+F113-0</f>
        <v>0</v>
      </c>
      <c r="H113" s="284" t="n">
        <f aca="false">IFERROR(G113/'Regulatory Capital Plan'!$C$10,0)</f>
        <v>0</v>
      </c>
      <c r="I113" s="284" t="n">
        <v>0.3</v>
      </c>
      <c r="J113" s="284" t="n">
        <v>0.25</v>
      </c>
      <c r="K113" s="284" t="s">
        <v>1338</v>
      </c>
    </row>
    <row r="114" customFormat="false" ht="15" hidden="false" customHeight="true" outlineLevel="0" collapsed="false">
      <c r="A114" s="344" t="s">
        <v>1339</v>
      </c>
      <c r="G114" s="284" t="n">
        <f aca="false">MAX(G109:G113)</f>
        <v>0</v>
      </c>
      <c r="H114" s="284" t="n">
        <f aca="false">IFERROR(G114/'Regulatory Capital Plan'!$C$10,0)</f>
        <v>0</v>
      </c>
      <c r="K114" s="284" t="str">
        <f aca="false">"بيانات معلقة - "&amp;IF(SUM(G109:G113)=0,"لا يوجد سجل عملاء فعلي بعد","يتطلب تحديث الحالة يدويا بعد إدخال البيانات")</f>
        <v>بيانات معلقة - لا يوجد سجل عملاء فعلي بعد</v>
      </c>
    </row>
    <row r="115" customFormat="false" ht="9.75" hidden="false" customHeight="true" outlineLevel="0" collapsed="false">
      <c r="A115" s="349" t="s">
        <v>1340</v>
      </c>
      <c r="B115" s="349"/>
      <c r="C115" s="349"/>
      <c r="D115" s="349"/>
      <c r="E115" s="349"/>
      <c r="F115" s="349"/>
      <c r="G115" s="349"/>
      <c r="H115" s="349"/>
      <c r="I115" s="349"/>
      <c r="J115" s="349"/>
      <c r="K115" s="349"/>
      <c r="L115" s="349"/>
    </row>
    <row r="117" customFormat="false" ht="15" hidden="false" customHeight="true" outlineLevel="0" collapsed="false">
      <c r="A117" s="343" t="s">
        <v>1341</v>
      </c>
      <c r="B117" s="343"/>
      <c r="C117" s="343"/>
      <c r="D117" s="343"/>
      <c r="E117" s="343"/>
      <c r="F117" s="343"/>
    </row>
    <row r="118" customFormat="false" ht="15" hidden="false" customHeight="true" outlineLevel="0" collapsed="false">
      <c r="A118" s="342" t="s">
        <v>83</v>
      </c>
      <c r="B118" s="342" t="s">
        <v>84</v>
      </c>
      <c r="C118" s="342" t="s">
        <v>85</v>
      </c>
      <c r="D118" s="342" t="s">
        <v>86</v>
      </c>
      <c r="E118" s="342" t="s">
        <v>87</v>
      </c>
      <c r="F118" s="342" t="s">
        <v>88</v>
      </c>
    </row>
    <row r="119" customFormat="false" ht="15" hidden="false" customHeight="true" outlineLevel="0" collapsed="false">
      <c r="A119" s="344" t="s">
        <v>1342</v>
      </c>
      <c r="B119" s="284" t="n">
        <f aca="false">B22*12%*B24*B25</f>
        <v>23725347.7775732</v>
      </c>
      <c r="C119" s="284" t="n">
        <f aca="false">C22*12%*C24*C25</f>
        <v>63134412.3694719</v>
      </c>
      <c r="D119" s="284" t="n">
        <f aca="false">D22*12%*D24*D25</f>
        <v>92993058.397038</v>
      </c>
      <c r="E119" s="284" t="n">
        <f aca="false">E22*12%*E24*E25</f>
        <v>179178381.913223</v>
      </c>
      <c r="F119" s="284" t="n">
        <f aca="false">F22*12%*F24*F25</f>
        <v>333453763.522934</v>
      </c>
    </row>
    <row r="120" customFormat="false" ht="15" hidden="false" customHeight="true" outlineLevel="0" collapsed="false">
      <c r="A120" s="344" t="s">
        <v>1343</v>
      </c>
      <c r="B120" s="284" t="n">
        <f aca="false">B16+B119+B29</f>
        <v>48337559.0248732</v>
      </c>
      <c r="C120" s="284" t="n">
        <f aca="false">C16+C119+C29</f>
        <v>507218642.243472</v>
      </c>
      <c r="D120" s="284" t="n">
        <f aca="false">D16+D119+D29</f>
        <v>938617626.833438</v>
      </c>
      <c r="E120" s="284" t="n">
        <f aca="false">E16+E119+E29</f>
        <v>1801652153.48706</v>
      </c>
      <c r="F120" s="284" t="n">
        <f aca="false">F16+F119+F29</f>
        <v>3370212056.97924</v>
      </c>
    </row>
    <row r="121" customFormat="false" ht="15" hidden="false" customHeight="true" outlineLevel="0" collapsed="false">
      <c r="A121" s="344" t="s">
        <v>1344</v>
      </c>
      <c r="B121" s="289" t="n">
        <f aca="false">IFERROR(B10/B120,0)</f>
        <v>0.398280956375838</v>
      </c>
      <c r="C121" s="289" t="n">
        <f aca="false">IFERROR(C10/C120,0)</f>
        <v>0.144327394961383</v>
      </c>
      <c r="D121" s="289" t="n">
        <f aca="false">IFERROR(D10/D120,0)</f>
        <v>0.159763521005685</v>
      </c>
      <c r="E121" s="289" t="n">
        <f aca="false">IFERROR(E10/E120,0)</f>
        <v>0.172007504825977</v>
      </c>
      <c r="F121" s="289" t="n">
        <f aca="false">IFERROR(F10/F120,0)</f>
        <v>0.177928765545992</v>
      </c>
    </row>
    <row r="122" customFormat="false" ht="15" hidden="false" customHeight="true" outlineLevel="0" collapsed="false">
      <c r="A122" s="344" t="s">
        <v>1345</v>
      </c>
      <c r="B122" s="284" t="str">
        <f aca="false">IF(B121&gt;=12%,"متوافق","فجوة")</f>
        <v>متوافق</v>
      </c>
      <c r="C122" s="284" t="str">
        <f aca="false">IF(C121&gt;=12%,"متوافق","فجوة")</f>
        <v>متوافق</v>
      </c>
      <c r="D122" s="284" t="str">
        <f aca="false">IF(D121&gt;=12%,"متوافق","فجوة")</f>
        <v>متوافق</v>
      </c>
      <c r="E122" s="284" t="str">
        <f aca="false">IF(E121&gt;=12%,"متوافق","فجوة")</f>
        <v>متوافق</v>
      </c>
      <c r="F122" s="284" t="str">
        <f aca="false">IF(F121&gt;=12%,"متوافق","فجوة")</f>
        <v>متوافق</v>
      </c>
    </row>
    <row r="123" customFormat="false" ht="15" hidden="false" customHeight="true" outlineLevel="0" collapsed="false">
      <c r="A123" s="344" t="s">
        <v>1346</v>
      </c>
      <c r="B123" s="284" t="n">
        <f aca="false">B22*15%*B24*B25</f>
        <v>29656684.7219665</v>
      </c>
      <c r="C123" s="284" t="n">
        <f aca="false">C22*15%*C24*C25</f>
        <v>78918015.4618399</v>
      </c>
      <c r="D123" s="284" t="n">
        <f aca="false">D22*15%*D24*D25</f>
        <v>116241322.996298</v>
      </c>
      <c r="E123" s="284" t="n">
        <f aca="false">E22*15%*E24*E25</f>
        <v>223972977.391529</v>
      </c>
      <c r="F123" s="284" t="n">
        <f aca="false">F22*15%*F24*F25</f>
        <v>416817204.403667</v>
      </c>
    </row>
    <row r="124" customFormat="false" ht="15" hidden="false" customHeight="true" outlineLevel="0" collapsed="false">
      <c r="A124" s="344" t="s">
        <v>1347</v>
      </c>
      <c r="B124" s="284" t="n">
        <f aca="false">B16+B123+B29</f>
        <v>54268895.9692665</v>
      </c>
      <c r="C124" s="284" t="n">
        <f aca="false">C16+C123+C29</f>
        <v>523002245.33584</v>
      </c>
      <c r="D124" s="284" t="n">
        <f aca="false">D16+D123+D29</f>
        <v>961865891.432697</v>
      </c>
      <c r="E124" s="284" t="n">
        <f aca="false">E16+E123+E29</f>
        <v>1846446748.96537</v>
      </c>
      <c r="F124" s="284" t="n">
        <f aca="false">F16+F123+F29</f>
        <v>3453575497.85997</v>
      </c>
    </row>
    <row r="125" customFormat="false" ht="15" hidden="false" customHeight="true" outlineLevel="0" collapsed="false">
      <c r="A125" s="344" t="s">
        <v>1348</v>
      </c>
      <c r="B125" s="289" t="n">
        <f aca="false">IFERROR(B10/B124,0)</f>
        <v>0.354750707443961</v>
      </c>
      <c r="C125" s="289" t="n">
        <f aca="false">IFERROR(C10/C124,0)</f>
        <v>0.139971761046345</v>
      </c>
      <c r="D125" s="289" t="n">
        <f aca="false">IFERROR(D10/D124,0)</f>
        <v>0.155902042349739</v>
      </c>
      <c r="E125" s="289" t="n">
        <f aca="false">IFERROR(E10/E124,0)</f>
        <v>0.167834621637101</v>
      </c>
      <c r="F125" s="289" t="n">
        <f aca="false">IFERROR(F10/F124,0)</f>
        <v>0.173633867653426</v>
      </c>
    </row>
    <row r="126" customFormat="false" ht="15" hidden="false" customHeight="true" outlineLevel="0" collapsed="false">
      <c r="A126" s="344" t="s">
        <v>1349</v>
      </c>
      <c r="B126" s="284" t="str">
        <f aca="false">IF(B125&gt;=12%,"متوافق","فجوة")</f>
        <v>متوافق</v>
      </c>
      <c r="C126" s="284" t="str">
        <f aca="false">IF(C125&gt;=12%,"متوافق","فجوة")</f>
        <v>متوافق</v>
      </c>
      <c r="D126" s="284" t="str">
        <f aca="false">IF(D125&gt;=12%,"متوافق","فجوة")</f>
        <v>متوافق</v>
      </c>
      <c r="E126" s="284" t="str">
        <f aca="false">IF(E125&gt;=12%,"متوافق","فجوة")</f>
        <v>متوافق</v>
      </c>
      <c r="F126" s="284" t="str">
        <f aca="false">IF(F125&gt;=12%,"متوافق","فجوة")</f>
        <v>متوافق</v>
      </c>
    </row>
    <row r="127" customFormat="false" ht="15" hidden="false" customHeight="true" outlineLevel="0" collapsed="false">
      <c r="A127" s="344" t="s">
        <v>1350</v>
      </c>
      <c r="B127" s="284" t="n">
        <f aca="false">B22*18%*B24*B25</f>
        <v>35588021.6663598</v>
      </c>
      <c r="C127" s="284" t="n">
        <f aca="false">C22*18%*C24*C25</f>
        <v>94701618.5542079</v>
      </c>
      <c r="D127" s="284" t="n">
        <f aca="false">D22*18%*D24*D25</f>
        <v>139489587.595557</v>
      </c>
      <c r="E127" s="284" t="n">
        <f aca="false">E22*18%*E24*E25</f>
        <v>268767572.869834</v>
      </c>
      <c r="F127" s="284" t="n">
        <f aca="false">F22*18%*F24*F25</f>
        <v>500180645.284401</v>
      </c>
    </row>
    <row r="128" customFormat="false" ht="15" hidden="false" customHeight="true" outlineLevel="0" collapsed="false">
      <c r="A128" s="344" t="s">
        <v>1351</v>
      </c>
      <c r="B128" s="284" t="n">
        <f aca="false">B16+B127+B29</f>
        <v>60200232.9136598</v>
      </c>
      <c r="C128" s="284" t="n">
        <f aca="false">C16+C127+C29</f>
        <v>538785848.428208</v>
      </c>
      <c r="D128" s="284" t="n">
        <f aca="false">D16+D127+D29</f>
        <v>985114156.031957</v>
      </c>
      <c r="E128" s="284" t="n">
        <f aca="false">E16+E127+E29</f>
        <v>1891241344.44367</v>
      </c>
      <c r="F128" s="284" t="n">
        <f aca="false">F16+F127+F29</f>
        <v>3536938938.7407</v>
      </c>
    </row>
    <row r="129" customFormat="false" ht="15" hidden="false" customHeight="true" outlineLevel="0" collapsed="false">
      <c r="A129" s="344" t="s">
        <v>1352</v>
      </c>
      <c r="B129" s="289" t="n">
        <f aca="false">IFERROR(B10/B128,0)</f>
        <v>0.319798251693003</v>
      </c>
      <c r="C129" s="289" t="n">
        <f aca="false">IFERROR(C10/C128,0)</f>
        <v>0.135871321647388</v>
      </c>
      <c r="D129" s="289" t="n">
        <f aca="false">IFERROR(D10/D128,0)</f>
        <v>0.152222822119354</v>
      </c>
      <c r="E129" s="289" t="n">
        <f aca="false">IFERROR(E10/E128,0)</f>
        <v>0.163859410326511</v>
      </c>
      <c r="F129" s="289" t="n">
        <f aca="false">IFERROR(F10/F128,0)</f>
        <v>0.169541425880549</v>
      </c>
    </row>
    <row r="130" customFormat="false" ht="15" hidden="false" customHeight="true" outlineLevel="0" collapsed="false">
      <c r="A130" s="344" t="s">
        <v>1353</v>
      </c>
      <c r="B130" s="284" t="str">
        <f aca="false">IF(B129&gt;=12%,"متوافق","فجوة")</f>
        <v>متوافق</v>
      </c>
      <c r="C130" s="284" t="str">
        <f aca="false">IF(C129&gt;=12%,"متوافق","فجوة")</f>
        <v>متوافق</v>
      </c>
      <c r="D130" s="284" t="str">
        <f aca="false">IF(D129&gt;=12%,"متوافق","فجوة")</f>
        <v>متوافق</v>
      </c>
      <c r="E130" s="284" t="str">
        <f aca="false">IF(E129&gt;=12%,"متوافق","فجوة")</f>
        <v>متوافق</v>
      </c>
      <c r="F130" s="284" t="str">
        <f aca="false">IF(F129&gt;=12%,"متوافق","فجوة")</f>
        <v>متوافق</v>
      </c>
    </row>
    <row r="131" customFormat="false" ht="15" hidden="false" customHeight="true" outlineLevel="0" collapsed="false">
      <c r="A131" s="349" t="s">
        <v>1354</v>
      </c>
      <c r="B131" s="349"/>
      <c r="C131" s="349"/>
      <c r="D131" s="349"/>
      <c r="E131" s="349"/>
      <c r="F131" s="349"/>
    </row>
  </sheetData>
  <mergeCells count="13">
    <mergeCell ref="A1:F1"/>
    <mergeCell ref="A45:F45"/>
    <mergeCell ref="A47:F47"/>
    <mergeCell ref="A48:F48"/>
    <mergeCell ref="A57:F57"/>
    <mergeCell ref="A90:F90"/>
    <mergeCell ref="A97:F97"/>
    <mergeCell ref="A99:F99"/>
    <mergeCell ref="A107:F107"/>
    <mergeCell ref="G107:L107"/>
    <mergeCell ref="A115:L115"/>
    <mergeCell ref="A117:F117"/>
    <mergeCell ref="A131:F1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8"/>
    <col collapsed="false" customWidth="true" hidden="false" outlineLevel="0" max="3" min="3" style="1" width="24"/>
    <col collapsed="false" customWidth="true" hidden="false" outlineLevel="0" max="4" min="4" style="1" width="30"/>
    <col collapsed="false" customWidth="true" hidden="false" outlineLevel="0" max="5" min="5" style="1" width="21"/>
    <col collapsed="false" customWidth="true" hidden="false" outlineLevel="0" max="6" min="6" style="1" width="33"/>
    <col collapsed="false" customWidth="true" hidden="false" outlineLevel="0" max="7" min="7" style="1" width="42"/>
    <col collapsed="false" customWidth="true" hidden="false" outlineLevel="0" max="8" min="8" style="1" width="36"/>
  </cols>
  <sheetData>
    <row r="1" customFormat="false" ht="15" hidden="false" customHeight="true" outlineLevel="0" collapsed="false">
      <c r="A1" s="350" t="s">
        <v>1355</v>
      </c>
      <c r="B1" s="350"/>
      <c r="C1" s="350"/>
      <c r="D1" s="350"/>
      <c r="E1" s="350"/>
      <c r="F1" s="350"/>
      <c r="G1" s="350"/>
      <c r="H1" s="350"/>
    </row>
    <row r="2" customFormat="false" ht="42" hidden="false" customHeight="true" outlineLevel="0" collapsed="false">
      <c r="A2" s="338" t="s">
        <v>1356</v>
      </c>
      <c r="B2" s="338"/>
      <c r="C2" s="338"/>
      <c r="D2" s="338"/>
      <c r="E2" s="338"/>
      <c r="F2" s="338"/>
      <c r="G2" s="338"/>
      <c r="H2" s="338"/>
    </row>
    <row r="3" customFormat="false" ht="15" hidden="false" customHeight="false" outlineLevel="0" collapsed="false">
      <c r="A3" s="109"/>
      <c r="B3" s="109"/>
      <c r="C3" s="109"/>
      <c r="D3" s="109"/>
      <c r="E3" s="109"/>
      <c r="F3" s="109"/>
      <c r="G3" s="109"/>
      <c r="H3" s="109"/>
    </row>
    <row r="4" customFormat="false" ht="30" hidden="false" customHeight="true" outlineLevel="0" collapsed="false">
      <c r="A4" s="351" t="s">
        <v>83</v>
      </c>
      <c r="B4" s="351" t="s">
        <v>1357</v>
      </c>
      <c r="C4" s="351" t="s">
        <v>1358</v>
      </c>
      <c r="D4" s="351" t="s">
        <v>1359</v>
      </c>
      <c r="E4" s="351" t="s">
        <v>1360</v>
      </c>
      <c r="F4" s="351" t="s">
        <v>1361</v>
      </c>
      <c r="G4" s="351" t="s">
        <v>1362</v>
      </c>
      <c r="H4" s="351" t="s">
        <v>1363</v>
      </c>
    </row>
    <row r="5" customFormat="false" ht="72" hidden="false" customHeight="true" outlineLevel="0" collapsed="false">
      <c r="A5" s="352" t="s">
        <v>1364</v>
      </c>
      <c r="B5" s="352" t="s">
        <v>1365</v>
      </c>
      <c r="C5" s="353" t="s">
        <v>1366</v>
      </c>
      <c r="D5" s="352" t="s">
        <v>1367</v>
      </c>
      <c r="E5" s="353" t="s">
        <v>1368</v>
      </c>
      <c r="F5" s="353" t="s">
        <v>1369</v>
      </c>
      <c r="G5" s="352" t="s">
        <v>1370</v>
      </c>
      <c r="H5" s="352" t="s">
        <v>1371</v>
      </c>
    </row>
    <row r="6" customFormat="false" ht="72" hidden="false" customHeight="true" outlineLevel="0" collapsed="false">
      <c r="A6" s="352" t="s">
        <v>1372</v>
      </c>
      <c r="B6" s="352" t="s">
        <v>1373</v>
      </c>
      <c r="C6" s="353" t="s">
        <v>1374</v>
      </c>
      <c r="D6" s="352" t="s">
        <v>1375</v>
      </c>
      <c r="E6" s="353" t="s">
        <v>1376</v>
      </c>
      <c r="F6" s="353" t="s">
        <v>1377</v>
      </c>
      <c r="G6" s="352" t="s">
        <v>1378</v>
      </c>
      <c r="H6" s="352" t="s">
        <v>1379</v>
      </c>
    </row>
    <row r="7" customFormat="false" ht="72" hidden="false" customHeight="true" outlineLevel="0" collapsed="false">
      <c r="A7" s="352" t="s">
        <v>1380</v>
      </c>
      <c r="B7" s="352" t="s">
        <v>1381</v>
      </c>
      <c r="C7" s="353" t="s">
        <v>1382</v>
      </c>
      <c r="D7" s="352" t="s">
        <v>1383</v>
      </c>
      <c r="E7" s="353" t="s">
        <v>1384</v>
      </c>
      <c r="F7" s="353" t="s">
        <v>1385</v>
      </c>
      <c r="G7" s="352" t="s">
        <v>1386</v>
      </c>
      <c r="H7" s="352" t="s">
        <v>1387</v>
      </c>
    </row>
    <row r="8" customFormat="false" ht="72" hidden="false" customHeight="true" outlineLevel="0" collapsed="false">
      <c r="A8" s="352" t="s">
        <v>1388</v>
      </c>
      <c r="B8" s="352" t="s">
        <v>1389</v>
      </c>
      <c r="C8" s="353" t="s">
        <v>1390</v>
      </c>
      <c r="D8" s="352" t="s">
        <v>1391</v>
      </c>
      <c r="E8" s="353" t="s">
        <v>1392</v>
      </c>
      <c r="F8" s="353" t="s">
        <v>1393</v>
      </c>
      <c r="G8" s="352" t="s">
        <v>1394</v>
      </c>
      <c r="H8" s="352" t="s">
        <v>1395</v>
      </c>
    </row>
    <row r="9" customFormat="false" ht="72" hidden="false" customHeight="true" outlineLevel="0" collapsed="false">
      <c r="A9" s="352" t="s">
        <v>1396</v>
      </c>
      <c r="B9" s="352" t="s">
        <v>1397</v>
      </c>
      <c r="C9" s="353" t="s">
        <v>1374</v>
      </c>
      <c r="D9" s="352" t="s">
        <v>1398</v>
      </c>
      <c r="E9" s="353" t="s">
        <v>1392</v>
      </c>
      <c r="F9" s="353" t="s">
        <v>1399</v>
      </c>
      <c r="G9" s="352" t="s">
        <v>1400</v>
      </c>
      <c r="H9" s="352" t="s">
        <v>1401</v>
      </c>
    </row>
    <row r="10" customFormat="false" ht="72" hidden="false" customHeight="true" outlineLevel="0" collapsed="false">
      <c r="A10" s="352" t="s">
        <v>1402</v>
      </c>
      <c r="B10" s="352" t="s">
        <v>1403</v>
      </c>
      <c r="C10" s="353" t="s">
        <v>1404</v>
      </c>
      <c r="D10" s="352" t="s">
        <v>1405</v>
      </c>
      <c r="E10" s="353" t="s">
        <v>1406</v>
      </c>
      <c r="F10" s="353" t="s">
        <v>1407</v>
      </c>
      <c r="G10" s="352" t="s">
        <v>1408</v>
      </c>
      <c r="H10" s="352" t="s">
        <v>1409</v>
      </c>
    </row>
    <row r="11" customFormat="false" ht="72" hidden="false" customHeight="true" outlineLevel="0" collapsed="false">
      <c r="A11" s="352" t="s">
        <v>1410</v>
      </c>
      <c r="B11" s="352" t="s">
        <v>1411</v>
      </c>
      <c r="C11" s="353" t="s">
        <v>1374</v>
      </c>
      <c r="D11" s="352" t="s">
        <v>1412</v>
      </c>
      <c r="E11" s="353" t="s">
        <v>1413</v>
      </c>
      <c r="F11" s="353" t="s">
        <v>1414</v>
      </c>
      <c r="G11" s="352" t="s">
        <v>1415</v>
      </c>
      <c r="H11" s="352" t="s">
        <v>1416</v>
      </c>
    </row>
    <row r="12" customFormat="false" ht="72" hidden="false" customHeight="true" outlineLevel="0" collapsed="false">
      <c r="A12" s="352" t="s">
        <v>1417</v>
      </c>
      <c r="B12" s="352" t="s">
        <v>1418</v>
      </c>
      <c r="C12" s="353" t="s">
        <v>1382</v>
      </c>
      <c r="D12" s="352" t="s">
        <v>1419</v>
      </c>
      <c r="E12" s="353" t="s">
        <v>1392</v>
      </c>
      <c r="F12" s="353" t="s">
        <v>1420</v>
      </c>
      <c r="G12" s="352" t="s">
        <v>1421</v>
      </c>
      <c r="H12" s="352" t="s">
        <v>1422</v>
      </c>
    </row>
    <row r="13" customFormat="false" ht="72" hidden="false" customHeight="true" outlineLevel="0" collapsed="false">
      <c r="A13" s="352" t="s">
        <v>1423</v>
      </c>
      <c r="B13" s="352" t="s">
        <v>1424</v>
      </c>
      <c r="C13" s="353" t="s">
        <v>1425</v>
      </c>
      <c r="D13" s="352" t="s">
        <v>1426</v>
      </c>
      <c r="E13" s="353" t="s">
        <v>1392</v>
      </c>
      <c r="F13" s="353" t="s">
        <v>1427</v>
      </c>
      <c r="G13" s="352" t="s">
        <v>1428</v>
      </c>
      <c r="H13" s="352" t="s">
        <v>1429</v>
      </c>
    </row>
    <row r="14" customFormat="false" ht="72" hidden="false" customHeight="true" outlineLevel="0" collapsed="false">
      <c r="A14" s="352" t="s">
        <v>1430</v>
      </c>
      <c r="B14" s="352" t="s">
        <v>1431</v>
      </c>
      <c r="C14" s="353" t="s">
        <v>1432</v>
      </c>
      <c r="D14" s="352" t="s">
        <v>1433</v>
      </c>
      <c r="E14" s="353" t="s">
        <v>1392</v>
      </c>
      <c r="F14" s="353" t="s">
        <v>1434</v>
      </c>
      <c r="G14" s="352" t="s">
        <v>1435</v>
      </c>
      <c r="H14" s="352" t="s">
        <v>1436</v>
      </c>
    </row>
    <row r="15" customFormat="false" ht="72" hidden="false" customHeight="true" outlineLevel="0" collapsed="false">
      <c r="A15" s="352" t="s">
        <v>1437</v>
      </c>
      <c r="B15" s="352" t="s">
        <v>1438</v>
      </c>
      <c r="C15" s="353" t="s">
        <v>1439</v>
      </c>
      <c r="D15" s="352" t="s">
        <v>1440</v>
      </c>
      <c r="E15" s="353" t="s">
        <v>1392</v>
      </c>
      <c r="F15" s="353" t="s">
        <v>1441</v>
      </c>
      <c r="G15" s="352" t="s">
        <v>1442</v>
      </c>
      <c r="H15" s="352" t="s">
        <v>1443</v>
      </c>
    </row>
    <row r="16" customFormat="false" ht="72" hidden="false" customHeight="true" outlineLevel="0" collapsed="false">
      <c r="A16" s="352" t="s">
        <v>1444</v>
      </c>
      <c r="B16" s="352" t="s">
        <v>1445</v>
      </c>
      <c r="C16" s="353" t="s">
        <v>1374</v>
      </c>
      <c r="D16" s="352" t="s">
        <v>1446</v>
      </c>
      <c r="E16" s="353" t="s">
        <v>1447</v>
      </c>
      <c r="F16" s="353" t="s">
        <v>1448</v>
      </c>
      <c r="G16" s="352" t="s">
        <v>1449</v>
      </c>
      <c r="H16" s="352" t="s">
        <v>1450</v>
      </c>
    </row>
    <row r="17" customFormat="false" ht="72" hidden="false" customHeight="true" outlineLevel="0" collapsed="false">
      <c r="A17" s="338" t="s">
        <v>1451</v>
      </c>
      <c r="B17" s="338" t="s">
        <v>1452</v>
      </c>
      <c r="C17" s="338" t="s">
        <v>1453</v>
      </c>
      <c r="D17" s="338" t="s">
        <v>1454</v>
      </c>
      <c r="E17" s="338" t="s">
        <v>1455</v>
      </c>
      <c r="F17" s="338" t="s">
        <v>1456</v>
      </c>
      <c r="G17" s="338" t="s">
        <v>1457</v>
      </c>
      <c r="H17" s="338" t="s">
        <v>1458</v>
      </c>
    </row>
    <row r="18" customFormat="false" ht="72" hidden="false" customHeight="true" outlineLevel="0" collapsed="false">
      <c r="A18" s="338" t="s">
        <v>1459</v>
      </c>
      <c r="B18" s="338" t="s">
        <v>1460</v>
      </c>
      <c r="C18" s="338" t="s">
        <v>1461</v>
      </c>
      <c r="D18" s="338" t="s">
        <v>1462</v>
      </c>
      <c r="E18" s="338" t="s">
        <v>1463</v>
      </c>
      <c r="F18" s="338" t="s">
        <v>1464</v>
      </c>
      <c r="G18" s="338" t="s">
        <v>1465</v>
      </c>
      <c r="H18" s="338" t="s">
        <v>1466</v>
      </c>
    </row>
    <row r="19" customFormat="false" ht="72" hidden="false" customHeight="true" outlineLevel="0" collapsed="false">
      <c r="A19" s="338" t="s">
        <v>1467</v>
      </c>
      <c r="B19" s="338" t="s">
        <v>1468</v>
      </c>
      <c r="C19" s="338" t="s">
        <v>1469</v>
      </c>
      <c r="D19" s="338" t="s">
        <v>1470</v>
      </c>
      <c r="E19" s="338" t="s">
        <v>1471</v>
      </c>
      <c r="F19" s="338" t="s">
        <v>1472</v>
      </c>
      <c r="G19" s="338" t="s">
        <v>1473</v>
      </c>
      <c r="H19" s="338" t="s">
        <v>1474</v>
      </c>
    </row>
  </sheetData>
  <mergeCells count="2">
    <mergeCell ref="A1:H1"/>
    <mergeCell ref="A2: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6" min="2" style="1" width="18"/>
  </cols>
  <sheetData>
    <row r="1" customFormat="false" ht="18" hidden="false" customHeight="true" outlineLevel="0" collapsed="false">
      <c r="A1" s="354" t="s">
        <v>1475</v>
      </c>
      <c r="B1" s="354"/>
      <c r="C1" s="354"/>
      <c r="D1" s="354"/>
      <c r="E1" s="354"/>
      <c r="F1" s="354"/>
    </row>
    <row r="2" customFormat="false" ht="15" hidden="false" customHeight="true" outlineLevel="0" collapsed="false">
      <c r="A2" s="355"/>
      <c r="B2" s="355"/>
      <c r="C2" s="355"/>
      <c r="D2" s="355"/>
      <c r="E2" s="355"/>
      <c r="F2" s="355"/>
    </row>
    <row r="3" customFormat="false" ht="15" hidden="false" customHeight="true" outlineLevel="0" collapsed="false">
      <c r="A3" s="356" t="s">
        <v>629</v>
      </c>
      <c r="B3" s="356" t="s">
        <v>84</v>
      </c>
      <c r="C3" s="356" t="s">
        <v>85</v>
      </c>
      <c r="D3" s="356" t="s">
        <v>86</v>
      </c>
      <c r="E3" s="356" t="s">
        <v>87</v>
      </c>
      <c r="F3" s="356" t="s">
        <v>88</v>
      </c>
    </row>
    <row r="4" customFormat="false" ht="15" hidden="false" customHeight="true" outlineLevel="0" collapsed="false">
      <c r="A4" s="301" t="s">
        <v>1476</v>
      </c>
      <c r="B4" s="298" t="n">
        <f aca="false">'Regulatory Capital Plan'!B13</f>
        <v>0</v>
      </c>
      <c r="C4" s="298" t="n">
        <f aca="false">'Regulatory Capital Plan'!C13</f>
        <v>5.05426192003465</v>
      </c>
      <c r="D4" s="298" t="n">
        <f aca="false">'Regulatory Capital Plan'!D13</f>
        <v>4.56798051102073</v>
      </c>
      <c r="E4" s="298" t="n">
        <f aca="false">'Regulatory Capital Plan'!E13</f>
        <v>4.30787332942035</v>
      </c>
      <c r="F4" s="298" t="n">
        <f aca="false">'Regulatory Capital Plan'!F13</f>
        <v>4.33580712139099</v>
      </c>
    </row>
    <row r="5" customFormat="false" ht="15" hidden="false" customHeight="true" outlineLevel="0" collapsed="false">
      <c r="A5" s="301" t="s">
        <v>1477</v>
      </c>
      <c r="B5" s="298" t="n">
        <f aca="false">'Regulatory Capital Plan'!B14</f>
        <v>4</v>
      </c>
      <c r="C5" s="298" t="n">
        <f aca="false">'Regulatory Capital Plan'!C14</f>
        <v>4</v>
      </c>
      <c r="D5" s="298" t="n">
        <f aca="false">'Regulatory Capital Plan'!D14</f>
        <v>9</v>
      </c>
      <c r="E5" s="298" t="n">
        <f aca="false">'Regulatory Capital Plan'!E14</f>
        <v>9</v>
      </c>
      <c r="F5" s="298" t="n">
        <f aca="false">'Regulatory Capital Plan'!F14</f>
        <v>9</v>
      </c>
    </row>
    <row r="6" customFormat="false" ht="15" hidden="false" customHeight="true" outlineLevel="0" collapsed="false">
      <c r="A6" s="301" t="s">
        <v>1478</v>
      </c>
      <c r="B6" s="283" t="str">
        <f aca="false">'Regulatory Capital Plan'!B16</f>
        <v>متوافق</v>
      </c>
      <c r="C6" s="283" t="str">
        <f aca="false">'Regulatory Capital Plan'!C16</f>
        <v>فجوة</v>
      </c>
      <c r="D6" s="283" t="str">
        <f aca="false">'Regulatory Capital Plan'!D16</f>
        <v>متوافق</v>
      </c>
      <c r="E6" s="283" t="str">
        <f aca="false">'Regulatory Capital Plan'!E16</f>
        <v>متوافق</v>
      </c>
      <c r="F6" s="283" t="str">
        <f aca="false">'Regulatory Capital Plan'!F16</f>
        <v>متوافق</v>
      </c>
    </row>
    <row r="7" customFormat="false" ht="45.75" hidden="false" customHeight="true" outlineLevel="0" collapsed="false">
      <c r="A7" s="301" t="s">
        <v>1479</v>
      </c>
      <c r="B7" s="357" t="n">
        <f aca="false">MAX(0,'Regulatory Capital Plan'!B12-'Regulatory Capital Plan'!B14*'Regulatory Capital Plan'!B10)</f>
        <v>0</v>
      </c>
      <c r="C7" s="357" t="n">
        <f aca="false">MAX(0,'Regulatory Capital Plan'!C12-'Regulatory Capital Plan'!C14*'Regulatory Capital Plan'!C10)</f>
        <v>77177818.7566001</v>
      </c>
      <c r="D7" s="357" t="n">
        <f aca="false">MAX(0,'Regulatory Capital Plan'!D12-'Regulatory Capital Plan'!D14*'Regulatory Capital Plan'!D10)</f>
        <v>0</v>
      </c>
      <c r="E7" s="357" t="n">
        <f aca="false">MAX(0,'Regulatory Capital Plan'!E12-'Regulatory Capital Plan'!E14*'Regulatory Capital Plan'!E10)</f>
        <v>0</v>
      </c>
      <c r="F7" s="357" t="n">
        <f aca="false">MAX(0,'Regulatory Capital Plan'!F12-'Regulatory Capital Plan'!F14*'Regulatory Capital Plan'!F10)</f>
        <v>0</v>
      </c>
    </row>
    <row r="8" customFormat="false" ht="45.75" hidden="false" customHeight="true" outlineLevel="0" collapsed="false">
      <c r="A8" s="301" t="s">
        <v>1480</v>
      </c>
      <c r="B8" s="357" t="n">
        <f aca="false">MAX(0,'Regulatory Capital Plan'!B12/'Regulatory Capital Plan'!B14-'Regulatory Capital Plan'!B10)</f>
        <v>0</v>
      </c>
      <c r="C8" s="357" t="n">
        <f aca="false">MAX(0,'Regulatory Capital Plan'!C12/'Regulatory Capital Plan'!C14-'Regulatory Capital Plan'!C10)</f>
        <v>19294454.68915</v>
      </c>
      <c r="D8" s="357" t="n">
        <f aca="false">MAX(0,'Regulatory Capital Plan'!D12/'Regulatory Capital Plan'!D14-'Regulatory Capital Plan'!D10)</f>
        <v>0</v>
      </c>
      <c r="E8" s="357" t="n">
        <f aca="false">MAX(0,'Regulatory Capital Plan'!E12/'Regulatory Capital Plan'!E14-'Regulatory Capital Plan'!E10)</f>
        <v>0</v>
      </c>
      <c r="F8" s="357" t="n">
        <f aca="false">MAX(0,'Regulatory Capital Plan'!F12/'Regulatory Capital Plan'!F14-'Regulatory Capital Plan'!F10)</f>
        <v>0</v>
      </c>
    </row>
    <row r="9" customFormat="false" ht="15" hidden="false" customHeight="true" outlineLevel="0" collapsed="false">
      <c r="A9" s="301" t="s">
        <v>865</v>
      </c>
      <c r="B9" s="289" t="n">
        <f aca="false">'Regulatory Capital Plan'!B31</f>
        <v>0.398280956375838</v>
      </c>
      <c r="C9" s="289" t="n">
        <f aca="false">'Regulatory Capital Plan'!C31</f>
        <v>0.144327394961383</v>
      </c>
      <c r="D9" s="289" t="n">
        <f aca="false">'Regulatory Capital Plan'!D31</f>
        <v>0.159763521005685</v>
      </c>
      <c r="E9" s="289" t="n">
        <f aca="false">'Regulatory Capital Plan'!E31</f>
        <v>0.172007504825977</v>
      </c>
      <c r="F9" s="289" t="n">
        <f aca="false">'Regulatory Capital Plan'!F31</f>
        <v>0.177928765545992</v>
      </c>
    </row>
    <row r="10" customFormat="false" ht="23.25" hidden="false" customHeight="true" outlineLevel="0" collapsed="false">
      <c r="A10" s="301" t="s">
        <v>1481</v>
      </c>
      <c r="B10" s="289" t="n">
        <f aca="false">'Funding &amp; Liquidity'!B21</f>
        <v>4.53990589561574</v>
      </c>
      <c r="C10" s="289" t="n">
        <f aca="false">'Funding &amp; Liquidity'!C21</f>
        <v>1.10731387549798</v>
      </c>
      <c r="D10" s="289" t="n">
        <f aca="false">'Funding &amp; Liquidity'!D21</f>
        <v>1.34692002612802</v>
      </c>
      <c r="E10" s="289" t="n">
        <f aca="false">'Funding &amp; Liquidity'!E21</f>
        <v>4.64894494552536</v>
      </c>
      <c r="F10" s="289" t="n">
        <f aca="false">'Funding &amp; Liquidity'!F21</f>
        <v>9.69741599892725</v>
      </c>
    </row>
    <row r="11" customFormat="false" ht="15" hidden="false" customHeight="true" outlineLevel="0" collapsed="false">
      <c r="A11" s="301" t="s">
        <v>677</v>
      </c>
      <c r="B11" s="289" t="n">
        <f aca="false">'Funding &amp; Liquidity'!B35</f>
        <v>1.09847090318191</v>
      </c>
      <c r="C11" s="289" t="n">
        <f aca="false">'Funding &amp; Liquidity'!C35</f>
        <v>1.07785194045871</v>
      </c>
      <c r="D11" s="289" t="n">
        <f aca="false">'Funding &amp; Liquidity'!D35</f>
        <v>1.09144938707704</v>
      </c>
      <c r="E11" s="289" t="n">
        <f aca="false">'Funding &amp; Liquidity'!E35</f>
        <v>1.11906457965729</v>
      </c>
      <c r="F11" s="289" t="n">
        <f aca="false">'Funding &amp; Liquidity'!F35</f>
        <v>1.16149116948356</v>
      </c>
    </row>
    <row r="12" customFormat="false" ht="23.25" hidden="false" customHeight="true" outlineLevel="0" collapsed="false">
      <c r="A12" s="301" t="s">
        <v>1482</v>
      </c>
      <c r="B12" s="290" t="n">
        <f aca="false">'Basel III'!B96</f>
        <v>0.12</v>
      </c>
      <c r="C12" s="290" t="n">
        <f aca="false">'Basel III'!C96</f>
        <v>0.12</v>
      </c>
      <c r="D12" s="290" t="n">
        <f aca="false">'Basel III'!D96</f>
        <v>0.12</v>
      </c>
      <c r="E12" s="290" t="n">
        <f aca="false">'Basel III'!E96</f>
        <v>0.12</v>
      </c>
      <c r="F12" s="290" t="n">
        <f aca="false">'Basel III'!F96</f>
        <v>0.12</v>
      </c>
    </row>
    <row r="13" customFormat="false" ht="15" hidden="false" customHeight="true" outlineLevel="0" collapsed="false">
      <c r="A13" s="355"/>
      <c r="B13" s="355"/>
      <c r="C13" s="355"/>
      <c r="D13" s="355"/>
      <c r="E13" s="355"/>
      <c r="F13" s="355"/>
    </row>
    <row r="14" customFormat="false" ht="12" hidden="false" customHeight="true" outlineLevel="0" collapsed="false">
      <c r="A14" s="358" t="s">
        <v>1483</v>
      </c>
      <c r="B14" s="358"/>
      <c r="C14" s="358"/>
      <c r="D14" s="358"/>
      <c r="E14" s="358"/>
      <c r="F14" s="358"/>
    </row>
    <row r="15" customFormat="false" ht="51.75" hidden="false" customHeight="true" outlineLevel="0" collapsed="false">
      <c r="A15" s="359" t="s">
        <v>1484</v>
      </c>
      <c r="B15" s="359"/>
      <c r="C15" s="359"/>
      <c r="D15" s="359"/>
      <c r="E15" s="359"/>
      <c r="F15" s="359"/>
    </row>
    <row r="16" customFormat="false" ht="15" hidden="false" customHeight="true" outlineLevel="0" collapsed="false">
      <c r="A16" s="355"/>
      <c r="B16" s="355"/>
      <c r="C16" s="355"/>
      <c r="D16" s="355"/>
      <c r="E16" s="355"/>
      <c r="F16" s="355"/>
    </row>
    <row r="17" customFormat="false" ht="12" hidden="false" customHeight="true" outlineLevel="0" collapsed="false">
      <c r="A17" s="358" t="s">
        <v>1485</v>
      </c>
      <c r="B17" s="358"/>
      <c r="C17" s="358"/>
      <c r="D17" s="358"/>
      <c r="E17" s="358"/>
      <c r="F17" s="358"/>
    </row>
    <row r="18" customFormat="false" ht="27.75" hidden="false" customHeight="true" outlineLevel="0" collapsed="false">
      <c r="A18" s="318" t="s">
        <v>1486</v>
      </c>
      <c r="B18" s="318" t="s">
        <v>1487</v>
      </c>
      <c r="C18" s="318"/>
      <c r="D18" s="355" t="s">
        <v>1488</v>
      </c>
      <c r="E18" s="355"/>
      <c r="F18" s="355"/>
    </row>
    <row r="19" customFormat="false" ht="27.75" hidden="false" customHeight="true" outlineLevel="0" collapsed="false">
      <c r="A19" s="318" t="s">
        <v>1489</v>
      </c>
      <c r="B19" s="318" t="s">
        <v>1490</v>
      </c>
      <c r="C19" s="318"/>
      <c r="D19" s="355" t="s">
        <v>726</v>
      </c>
      <c r="E19" s="355"/>
      <c r="F19" s="355"/>
    </row>
    <row r="20" customFormat="false" ht="27.75" hidden="false" customHeight="true" outlineLevel="0" collapsed="false">
      <c r="A20" s="318" t="s">
        <v>1491</v>
      </c>
      <c r="B20" s="318" t="s">
        <v>1492</v>
      </c>
      <c r="C20" s="318"/>
      <c r="D20" s="355" t="s">
        <v>1493</v>
      </c>
      <c r="E20" s="355"/>
      <c r="F20" s="355"/>
    </row>
    <row r="21" customFormat="false" ht="27.75" hidden="false" customHeight="true" outlineLevel="0" collapsed="false">
      <c r="A21" s="318" t="s">
        <v>1494</v>
      </c>
      <c r="B21" s="318" t="s">
        <v>1495</v>
      </c>
      <c r="C21" s="318"/>
      <c r="D21" s="355"/>
      <c r="E21" s="355"/>
      <c r="F21" s="355"/>
    </row>
    <row r="22" customFormat="false" ht="27.75" hidden="false" customHeight="true" outlineLevel="0" collapsed="false">
      <c r="A22" s="318" t="s">
        <v>1496</v>
      </c>
      <c r="B22" s="318" t="s">
        <v>1497</v>
      </c>
      <c r="C22" s="318"/>
      <c r="D22" s="355"/>
      <c r="E22" s="355"/>
      <c r="F22" s="355"/>
    </row>
    <row r="23" customFormat="false" ht="27.75" hidden="false" customHeight="true" outlineLevel="0" collapsed="false">
      <c r="A23" s="318" t="s">
        <v>1498</v>
      </c>
      <c r="B23" s="318" t="s">
        <v>1499</v>
      </c>
      <c r="C23" s="318"/>
      <c r="D23" s="355"/>
      <c r="E23" s="355"/>
      <c r="F23" s="355"/>
    </row>
    <row r="24" customFormat="false" ht="27.75" hidden="false" customHeight="true" outlineLevel="0" collapsed="false">
      <c r="A24" s="318" t="s">
        <v>1500</v>
      </c>
      <c r="B24" s="318" t="s">
        <v>1501</v>
      </c>
      <c r="C24" s="318"/>
      <c r="D24" s="355"/>
      <c r="E24" s="355"/>
      <c r="F24" s="355"/>
    </row>
    <row r="26" customFormat="false" ht="12" hidden="false" customHeight="true" outlineLevel="0" collapsed="false">
      <c r="A26" s="358" t="s">
        <v>1502</v>
      </c>
      <c r="B26" s="358"/>
      <c r="C26" s="358"/>
      <c r="D26" s="358"/>
      <c r="E26" s="358"/>
      <c r="F26" s="358"/>
    </row>
    <row r="27" customFormat="false" ht="45.75" hidden="false" customHeight="true" outlineLevel="0" collapsed="false">
      <c r="A27" s="359" t="s">
        <v>1503</v>
      </c>
      <c r="B27" s="359"/>
      <c r="C27" s="359"/>
      <c r="D27" s="359"/>
      <c r="E27" s="359"/>
      <c r="F27" s="359"/>
    </row>
    <row r="29" customFormat="false" ht="12" hidden="false" customHeight="true" outlineLevel="0" collapsed="false">
      <c r="A29" s="358" t="s">
        <v>1504</v>
      </c>
      <c r="B29" s="358"/>
      <c r="C29" s="358"/>
      <c r="D29" s="358"/>
      <c r="E29" s="358"/>
      <c r="F29" s="358"/>
    </row>
    <row r="30" customFormat="false" ht="15" hidden="false" customHeight="true" outlineLevel="0" collapsed="false">
      <c r="A30" s="356" t="s">
        <v>1168</v>
      </c>
      <c r="B30" s="356" t="s">
        <v>1505</v>
      </c>
      <c r="C30" s="356"/>
      <c r="D30" s="356" t="s">
        <v>1171</v>
      </c>
      <c r="E30" s="356"/>
      <c r="F30" s="356"/>
    </row>
    <row r="31" customFormat="false" ht="31.5" hidden="false" customHeight="true" outlineLevel="0" collapsed="false">
      <c r="A31" s="318" t="n">
        <v>1</v>
      </c>
      <c r="B31" s="318" t="s">
        <v>1506</v>
      </c>
      <c r="C31" s="318"/>
      <c r="D31" s="360" t="s">
        <v>1507</v>
      </c>
      <c r="E31" s="360"/>
      <c r="F31" s="360"/>
    </row>
    <row r="32" customFormat="false" ht="31.5" hidden="false" customHeight="true" outlineLevel="0" collapsed="false">
      <c r="A32" s="318" t="n">
        <v>2</v>
      </c>
      <c r="B32" s="318" t="s">
        <v>1508</v>
      </c>
      <c r="C32" s="318"/>
      <c r="D32" s="360" t="s">
        <v>1509</v>
      </c>
      <c r="E32" s="360"/>
      <c r="F32" s="360"/>
    </row>
    <row r="33" customFormat="false" ht="31.5" hidden="false" customHeight="true" outlineLevel="0" collapsed="false">
      <c r="A33" s="318" t="n">
        <v>3</v>
      </c>
      <c r="B33" s="318" t="s">
        <v>1510</v>
      </c>
      <c r="C33" s="318"/>
      <c r="D33" s="360" t="s">
        <v>1507</v>
      </c>
      <c r="E33" s="360"/>
      <c r="F33" s="360"/>
    </row>
    <row r="34" customFormat="false" ht="31.5" hidden="false" customHeight="true" outlineLevel="0" collapsed="false">
      <c r="A34" s="318" t="n">
        <v>4</v>
      </c>
      <c r="B34" s="318" t="s">
        <v>1511</v>
      </c>
      <c r="C34" s="318"/>
      <c r="D34" s="360" t="s">
        <v>1512</v>
      </c>
      <c r="E34" s="360"/>
      <c r="F34" s="360"/>
    </row>
    <row r="35" customFormat="false" ht="31.5" hidden="false" customHeight="true" outlineLevel="0" collapsed="false">
      <c r="A35" s="318" t="n">
        <v>5</v>
      </c>
      <c r="B35" s="318" t="s">
        <v>1513</v>
      </c>
      <c r="C35" s="318"/>
      <c r="D35" s="360" t="s">
        <v>1509</v>
      </c>
      <c r="E35" s="360"/>
      <c r="F35" s="360"/>
    </row>
    <row r="36" customFormat="false" ht="31.5" hidden="false" customHeight="true" outlineLevel="0" collapsed="false">
      <c r="A36" s="318" t="n">
        <v>6</v>
      </c>
      <c r="B36" s="318" t="s">
        <v>1514</v>
      </c>
      <c r="C36" s="318"/>
      <c r="D36" s="360" t="s">
        <v>1515</v>
      </c>
      <c r="E36" s="360"/>
      <c r="F36" s="360"/>
    </row>
    <row r="37" customFormat="false" ht="31.5" hidden="false" customHeight="true" outlineLevel="0" collapsed="false">
      <c r="A37" s="318" t="n">
        <v>7</v>
      </c>
      <c r="B37" s="318" t="s">
        <v>1516</v>
      </c>
      <c r="C37" s="318"/>
      <c r="D37" s="360" t="s">
        <v>1517</v>
      </c>
      <c r="E37" s="360"/>
      <c r="F37" s="360"/>
    </row>
    <row r="38" customFormat="false" ht="31.5" hidden="false" customHeight="true" outlineLevel="0" collapsed="false">
      <c r="A38" s="318" t="n">
        <v>8</v>
      </c>
      <c r="B38" s="318" t="s">
        <v>1518</v>
      </c>
      <c r="C38" s="318"/>
      <c r="D38" s="360" t="s">
        <v>1519</v>
      </c>
      <c r="E38" s="360"/>
      <c r="F38" s="360"/>
    </row>
    <row r="39" customFormat="false" ht="31.5" hidden="false" customHeight="true" outlineLevel="0" collapsed="false">
      <c r="A39" s="318" t="n">
        <v>9</v>
      </c>
      <c r="B39" s="318" t="s">
        <v>1520</v>
      </c>
      <c r="C39" s="318"/>
      <c r="D39" s="360" t="s">
        <v>1512</v>
      </c>
      <c r="E39" s="360"/>
      <c r="F39" s="360"/>
    </row>
    <row r="40" customFormat="false" ht="68.65" hidden="false" customHeight="false" outlineLevel="0" collapsed="false">
      <c r="A40" s="109" t="n">
        <v>10</v>
      </c>
      <c r="B40" s="109" t="s">
        <v>1521</v>
      </c>
      <c r="C40" s="109"/>
      <c r="D40" s="361" t="s">
        <v>1522</v>
      </c>
      <c r="E40" s="109"/>
      <c r="F40" s="109"/>
    </row>
    <row r="41" customFormat="false" ht="42" hidden="false" customHeight="true" outlineLevel="0" collapsed="false">
      <c r="A41" s="362" t="n">
        <v>11</v>
      </c>
      <c r="B41" s="359" t="s">
        <v>1523</v>
      </c>
      <c r="C41" s="359"/>
      <c r="D41" s="359" t="s">
        <v>1524</v>
      </c>
      <c r="E41" s="359"/>
      <c r="F41" s="359"/>
    </row>
    <row r="42" customFormat="false" ht="51.75" hidden="false" customHeight="true" outlineLevel="0" collapsed="false">
      <c r="A42" s="363" t="s">
        <v>1525</v>
      </c>
      <c r="B42" s="363"/>
      <c r="C42" s="363"/>
      <c r="D42" s="363"/>
      <c r="E42" s="363"/>
      <c r="F42" s="363"/>
    </row>
    <row r="43" customFormat="false" ht="15" hidden="false" customHeight="false" outlineLevel="0" collapsed="false">
      <c r="A43" s="364"/>
      <c r="B43" s="365"/>
      <c r="C43" s="365"/>
      <c r="D43" s="365"/>
      <c r="E43" s="365"/>
      <c r="F43" s="365"/>
    </row>
    <row r="44" customFormat="false" ht="42" hidden="false" customHeight="true" outlineLevel="0" collapsed="false">
      <c r="A44" s="366"/>
      <c r="B44" s="366"/>
      <c r="C44" s="366"/>
      <c r="D44" s="366"/>
      <c r="E44" s="366"/>
      <c r="F44" s="366"/>
    </row>
  </sheetData>
  <mergeCells count="40">
    <mergeCell ref="A1:F1"/>
    <mergeCell ref="A14:F14"/>
    <mergeCell ref="A15:F15"/>
    <mergeCell ref="A17:F17"/>
    <mergeCell ref="B18:C18"/>
    <mergeCell ref="D18:F18"/>
    <mergeCell ref="B19:C19"/>
    <mergeCell ref="D19:F19"/>
    <mergeCell ref="B20:C20"/>
    <mergeCell ref="D20:F20"/>
    <mergeCell ref="B21:C21"/>
    <mergeCell ref="B22:C22"/>
    <mergeCell ref="B23:C23"/>
    <mergeCell ref="B24:C24"/>
    <mergeCell ref="A26:F26"/>
    <mergeCell ref="A27:F27"/>
    <mergeCell ref="A29:F29"/>
    <mergeCell ref="B30:C30"/>
    <mergeCell ref="D30:F30"/>
    <mergeCell ref="B31:C31"/>
    <mergeCell ref="D31:F31"/>
    <mergeCell ref="B32:C32"/>
    <mergeCell ref="D32:F32"/>
    <mergeCell ref="B33:C33"/>
    <mergeCell ref="D33:F33"/>
    <mergeCell ref="B34:C34"/>
    <mergeCell ref="D34:F34"/>
    <mergeCell ref="B35:C35"/>
    <mergeCell ref="D35:F35"/>
    <mergeCell ref="B36:C36"/>
    <mergeCell ref="D36:F36"/>
    <mergeCell ref="B37:C37"/>
    <mergeCell ref="D37:F37"/>
    <mergeCell ref="B38:C38"/>
    <mergeCell ref="D38:F38"/>
    <mergeCell ref="B39:C39"/>
    <mergeCell ref="D39:F39"/>
    <mergeCell ref="B41:C41"/>
    <mergeCell ref="D41:F41"/>
    <mergeCell ref="A42:F42"/>
  </mergeCells>
  <hyperlinks>
    <hyperlink ref="A27" location="'Regulatory Data Requirements'!A1" display="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quot;Regulatory Data Requirements&quot;."/>
    <hyperlink ref="D31" location="'Funding &amp; Liquidity'!A1" display="← Funding &amp; Liquidity"/>
    <hyperlink ref="D32" location="Assumptions!A1" display="← Assumptions"/>
    <hyperlink ref="D33" location="'Funding &amp; Liquidity'!A1" display="← Funding &amp; Liquidity"/>
    <hyperlink ref="D34" location="'Basel III'!A1" display="← Basel III"/>
    <hyperlink ref="D35" location="Assumptions!A1" display="← Assumptions"/>
    <hyperlink ref="D36" location="'Regulatory Capital Plan'!A1" display="← Regulatory Capital Plan"/>
    <hyperlink ref="D37" location="'Income Statement'!A1" display="← Income Statement"/>
    <hyperlink ref="D38" location="Capital!A1" display="← Capital"/>
    <hyperlink ref="D39" location="'Basel III'!A1" display="← Basel III"/>
    <hyperlink ref="D40" location="'Regulatory Data Requirements'!A1" display="← Regulatory Data Requirements"/>
    <hyperlink ref="D41" location="Sources!A1" display="← Sources / Income Statemen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2026-09-02T12:37:03Z</dcterms:created>
  <dc:creator>openpyxl</dc:creator>
  <dc:description/>
  <dc:language>en-US</dc:language>
  <cp:lastModifiedBy/>
  <dcterms:modified xsi:type="dcterms:W3CDTF">2026-09-02T13:39:55Z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