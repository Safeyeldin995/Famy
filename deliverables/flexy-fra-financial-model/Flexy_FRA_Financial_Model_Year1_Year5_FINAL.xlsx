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دليل الملف" sheetId="2" state="visible" r:id="rId4"/>
    <sheet name="Assumptions" sheetId="3" state="visible" r:id="rId5"/>
    <sheet name="Capital" sheetId="4" state="visible" r:id="rId6"/>
    <sheet name="Products" sheetId="5" state="visible" r:id="rId7"/>
    <sheet name="Staff" sheetId="6" state="visible" r:id="rId8"/>
    <sheet name="Opex" sheetId="7" state="visible" r:id="rId9"/>
    <sheet name="Originations" sheetId="8" state="visible" r:id="rId10"/>
    <sheet name="Cohort Principal" sheetId="9" state="visible" r:id="rId11"/>
    <sheet name="Cohort Interest" sheetId="10" state="visible" r:id="rId12"/>
    <sheet name="Cohort Fees" sheetId="11" state="visible" r:id="rId13"/>
    <sheet name="Monthly Model" sheetId="12" state="visible" r:id="rId14"/>
    <sheet name="Income Statement" sheetId="13" state="visible" r:id="rId15"/>
    <sheet name="Balance Sheet" sheetId="14" state="visible" r:id="rId16"/>
    <sheet name="Cash Flow" sheetId="15" state="visible" r:id="rId17"/>
    <sheet name="Investments" sheetId="16" state="visible" r:id="rId18"/>
    <sheet name="Feasibility" sheetId="17" state="visible" r:id="rId19"/>
    <sheet name="Ratios" sheetId="18" state="visible" r:id="rId20"/>
    <sheet name="Scenarios" sheetId="19" state="visible" r:id="rId21"/>
    <sheet name="Sensitivity" sheetId="20" state="visible" r:id="rId22"/>
    <sheet name="Break Even" sheetId="21" state="visible" r:id="rId23"/>
    <sheet name="Compliance" sheetId="22" state="visible" r:id="rId24"/>
    <sheet name="Checks" sheetId="23" state="visible" r:id="rId25"/>
    <sheet name="Sources" sheetId="24" state="visible" r:id="rId26"/>
    <sheet name="Formula Map" sheetId="25" state="visible" r:id="rId27"/>
    <sheet name="Regulatory Capital Plan" sheetId="26" state="visible" r:id="rId28"/>
    <sheet name="Funding &amp; Liquidity" sheetId="27" state="visible" r:id="rId29"/>
    <sheet name="Scenario - Slower 2028" sheetId="28" state="visible" r:id="rId30"/>
    <sheet name="Scenario - Standby Capital" sheetId="29" state="visible" r:id="rId31"/>
    <sheet name="رد الملاحظات" sheetId="30" state="visible" r:id="rId32"/>
    <sheet name="Basel III" sheetId="31" state="visible" r:id="rId33"/>
    <sheet name="Regulatory Data Requirements" sheetId="32" state="visible" r:id="rId34"/>
    <sheet name="جاهزية التقديم" sheetId="33" state="visible" r:id="rId35"/>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<sst xmlns="http://schemas.openxmlformats.org/spreadsheetml/2006/main" count="1942" uniqueCount="1527">
  <si>
    <t xml:space="preserve">شركة فليكسي للتأجير التمويلي</t>
  </si>
  <si>
    <t xml:space="preserve">دراسة الجدوى والنموذج المالي المتكامل - Year 1 to Year 5</t>
  </si>
  <si>
    <t xml:space="preserve">نطاق النموذج</t>
  </si>
  <si>
    <t xml:space="preserve">قوائم مالية سنوية لخمس سنوات</t>
  </si>
  <si>
    <t xml:space="preserve">خطة منح شهرية وربع سنوية</t>
  </si>
  <si>
    <t xml:space="preserve">تمويل وسيولة وCAR وLCR وNSFR</t>
  </si>
  <si>
    <t xml:space="preserve">NPV وIRR وARR والاسترداد وWACC وPI والتعادل</t>
  </si>
  <si>
    <t xml:space="preserve">حساسية وسيناريوهات ومؤشرات مالية</t>
  </si>
  <si>
    <t xml:space="preserve">هيكل وظيفي ووظائف رقابية</t>
  </si>
  <si>
    <t xml:space="preserve">جميع المبالغ بالجنيه المصري. الافتراضات الصفراء قابلة للتعديل، والمعادلات مترابطة بين القوائم والجداول الرقابية. أي مدخل غير مؤكد موصوف صراحة كافتراض.</t>
  </si>
  <si>
    <t xml:space="preserve">Version</t>
  </si>
  <si>
    <t xml:space="preserve">Final Submission Version</t>
  </si>
  <si>
    <t xml:space="preserve">للاطلاع على فهرس تفصيلي بكل ورقة في هذا الملف وما تعرضه ومنهجيتها، مع رابط مباشر لكل ورقة، انظر ورقة "دليل الملف". / For a detailed guide to every sheet in this file, what it shows, and its methodology, with a direct link to each sheet, see the "دليل الملف" (File Guide) sheet.</t>
  </si>
  <si>
    <t xml:space="preserve">دليل الملف - كل الأوراق ومحتواها</t>
  </si>
  <si>
    <t xml:space="preserve">الترتيب</t>
  </si>
  <si>
    <t xml:space="preserve">اسم الورقة</t>
  </si>
  <si>
    <t xml:space="preserve">ماذا تعرض ومنهجيتها</t>
  </si>
  <si>
    <t xml:space="preserve">Navigation</t>
  </si>
  <si>
    <t xml:space="preserve">Cover</t>
  </si>
  <si>
    <t xml:space="preserve">صفحة تعريفية بالشركة ونطاق النموذج - لا حسابات، مقدمة فقط.</t>
  </si>
  <si>
    <t xml:space="preserve">Assumptions</t>
  </si>
  <si>
    <t xml:space="preserve">يجمع الافتراضات الرئيسية: التكاليف، الأسعار، الآجال، رأس المال، والافتراضات الرقابية. معظم محركات النموذج ترتبط بهذه الورقة، مع بقاء بعض بنود Year 1-Year 2 كمدخلات خطة إدارة معتمدة موضحة صراحة في أوراقها.</t>
  </si>
  <si>
    <t xml:space="preserve">Capital</t>
  </si>
  <si>
    <t xml:space="preserve">جدول تحصيل رأس المال من المساهمين الأربعة على دفعات ربع سنوية تبدأ قبل Year 1 وتستكمل خلال Year 2 حتى بلوغ 75 مليون جنيه.</t>
  </si>
  <si>
    <t xml:space="preserve">Products</t>
  </si>
  <si>
    <t xml:space="preserve">القطاعات والمنتجات التي تستهدفها فليكسي في نشاط التأجير التمويلي.</t>
  </si>
  <si>
    <t xml:space="preserve">Staff</t>
  </si>
  <si>
    <t xml:space="preserve">الهيكل الوظيفي وتكلفة العاملين سنويا حتى نهاية Year 5، شاملا وظيفة مسؤول مكافحة غسل الأموال وتمويل الإرهاب.</t>
  </si>
  <si>
    <t xml:space="preserve">Opex</t>
  </si>
  <si>
    <t xml:space="preserve">تفصيل المصروفات الإدارية والعمومية بندا ببند (تقنية، تسويق، إيجارات).</t>
  </si>
  <si>
    <t xml:space="preserve">Originations</t>
  </si>
  <si>
    <t xml:space="preserve">خطة المنح الشهرية والربع سنوية على 60 شهرا، موزعة من الحجم السنوي في Assumptions وفق التوزيع الموسمي المعتمد، مع تجميع سنوي واختبارات ربط.</t>
  </si>
  <si>
    <t xml:space="preserve">Cohort Principal</t>
  </si>
  <si>
    <t xml:space="preserve">جدول سنوي لتطور أصل المحفظة: رصيد أول السنة + الأصل الممول من المنح - تحصيل/استنفاد الأصل = رصيد آخر السنة، مع اختبار ربط.</t>
  </si>
  <si>
    <t xml:space="preserve">Cohort Interest</t>
  </si>
  <si>
    <t xml:space="preserve">جدول سنوي لعوائد التأجير: Year 1-Year 2 مدخلات خطة إدارة معتمدة لعدم توافر جدول EIR/عقود شهري مستقل؛ Year 3-Year 5 تحسب من متوسط المحفظة × العائد السنوي.</t>
  </si>
  <si>
    <t xml:space="preserve">Cohort Fees</t>
  </si>
  <si>
    <t xml:space="preserve">جدول سنوي لرسوم الخدمات: المنح × نسبة الرسوم المعتمدة (Year 1=5%، Year 2=7%، ومن Year 3=6%)، مع إظهار دعم/خدمات مساندة منفصلة عند وجودها.</t>
  </si>
  <si>
    <t xml:space="preserve">Monthly Model</t>
  </si>
  <si>
    <t xml:space="preserve">تجميع شهري على 60 شهرا للتدفقات والنقدية والدين والرافعة. يستخدم كأساس لاختبارات التمويل والرافعة الشهرية، كما يغذي مؤشرات السيولة التخطيطية التي تستكمل ببيانات الآجال التعاقدية في Funding &amp; Liquidity.</t>
  </si>
  <si>
    <t xml:space="preserve">Income Statement</t>
  </si>
  <si>
    <t xml:space="preserve">قائمة الدخل التقديرية لخمس سنوات، متضمنة جدول تسوية ضريبية كاملا (ترحيل خسارة Year 1 مقابل ربح Year 2).</t>
  </si>
  <si>
    <t xml:space="preserve">Balance Sheet</t>
  </si>
  <si>
    <t xml:space="preserve">قائمة المركز المالي التقديرية لخمس سنوات، مع فحص توازن آلي يجب أن يساوي صفرا كل سنة.</t>
  </si>
  <si>
    <t xml:space="preserve">Cash Flow</t>
  </si>
  <si>
    <t xml:space="preserve">قائمة التدفقات النقدية (تشغيلي/استثماري/تمويلي)، مع ربط آلي للرصيد الختامي بالميزانية.</t>
  </si>
  <si>
    <t xml:space="preserve">Investments</t>
  </si>
  <si>
    <t xml:space="preserve">الخطة الاستثمارية لخمس سنوات على ست قنوات (منصة التأجير، الأمن السيبراني، معدات، إلخ).</t>
  </si>
  <si>
    <t xml:space="preserve">Feasibility</t>
  </si>
  <si>
    <t xml:space="preserve">مؤشرات الجدوى: NPV، IRR، فترة الاسترداد، ARR، تكلفة رأس المال WACC، ودليل الربحية PI.</t>
  </si>
  <si>
    <t xml:space="preserve">Ratios</t>
  </si>
  <si>
    <t xml:space="preserve">النسب المالية: العائد على الأصول ROA، العائد على حقوق الملكية ROE، العائد على الاستثمار ROI، ومؤشرات سيولة تكميلية.</t>
  </si>
  <si>
    <t xml:space="preserve">Scenarios</t>
  </si>
  <si>
    <t xml:space="preserve">ثلاثة سيناريوهات تجارية عامة (أفضل/أساسي/أسوأ) لأثر التشغيل على الربحية - سيناريوهات نشاط عامة، غير مرتبطة بسقف الرافعة الرقابي (راجع Scenario - Slower Year 2 لهذا الغرض).</t>
  </si>
  <si>
    <t xml:space="preserve">Sensitivity</t>
  </si>
  <si>
    <t xml:space="preserve">حساسية صافي ربح Year 5 لتغير عائد العميل وحجم المنح معا.</t>
  </si>
  <si>
    <t xml:space="preserve">Break Even</t>
  </si>
  <si>
    <t xml:space="preserve">نقطة تعادل حجم المحفظة والمنح المطلوبين سنويا، وهامش الأمان الفعلي.</t>
  </si>
  <si>
    <t xml:space="preserve">Compliance</t>
  </si>
  <si>
    <t xml:space="preserve">مصفوفة تقابل كل بند من الـ14 بندا الأساسية في خطاب الهيئة بمكان استيفائه في الملف - للمراجع السريع قبل التقديم.</t>
  </si>
  <si>
    <t xml:space="preserve">Checks</t>
  </si>
  <si>
    <t xml:space="preserve">اختبارات ذاتية للتأكد من سلامة الأرقام حسابيا (توازن الميزانية، تطابق التدفقات، تسوية الدين) - أداة مراجعة داخلية للنموذج، وليست موجهة للهيئة.</t>
  </si>
  <si>
    <t xml:space="preserve">Sources</t>
  </si>
  <si>
    <t xml:space="preserve">سجل بكل افتراض غير مؤكد بعد ومصدره ومكان استخدامه، بما في ذلك روابط النصوص الرقابية الرسمية (قرار 268/2023 وقرار 137/2025).</t>
  </si>
  <si>
    <t xml:space="preserve">Formula Map</t>
  </si>
  <si>
    <t xml:space="preserve">دليل مختصر يوضح في أي ورقة وأي صف تحسب كل نسبة أو مؤشر رئيسي.</t>
  </si>
  <si>
    <t xml:space="preserve">Regulatory Capital Plan</t>
  </si>
  <si>
    <t xml:space="preserve">المصدر الأساسي لحساب القاعدة الرأسمالية، الأصول المرجحة بالمخاطر، CAR، وسقف الرافعة (4×/9×) بالتفصيل - كل الأوراق الأخرى التي تعرض هذه الأرقام (Basel III، Compliance، Checks) تسحبها من هنا.</t>
  </si>
  <si>
    <t xml:space="preserve">Funding &amp; Liquidity</t>
  </si>
  <si>
    <t xml:space="preserve">تفصيل مصادر التمويل وتكلفتها، اختبار الرافعة الشهري خلال Year 2، وسلمي LCR (30 يوما) وNSFR (حسب الأجل المتبقي) التفصيليين.</t>
  </si>
  <si>
    <t xml:space="preserve">Scenario - Slower Year 2</t>
  </si>
  <si>
    <t xml:space="preserve">أداة إدارة عملية لفجوة سقف الرافعة عبر تباطؤ نمو Year 2 (تخفيض معدل المنح والتمويل معا) - وليس سيناريو تجاري عام.</t>
  </si>
  <si>
    <t xml:space="preserve">Scenario - Standby Capital</t>
  </si>
  <si>
    <t xml:space="preserve">أداة إدارة عملية لفجوة سقف الرافعة عبر ضخ رأس مال احتياطي من المساهمين، بحساب الحد الأدنى الكافي تلقائيا.</t>
  </si>
  <si>
    <t xml:space="preserve">رد الملاحظات</t>
  </si>
  <si>
    <t xml:space="preserve">رد مباشر ومرقم على كل ملاحظة وردت في خطاب الهيئة، مع رابط لكل رد يوصل إلى الورقة التي تثبته فعليا.</t>
  </si>
  <si>
    <t xml:space="preserve">Basel III</t>
  </si>
  <si>
    <t xml:space="preserve">يجمع أرقام كفاية رأس المال (من Regulatory Capital Plan) ونسب السيولة (من Funding &amp; Liquidity) في عرض واحد متكامل لبازل 3، ويضيف تفاصيل غير موجودة في مكان آخر: الانكشافات غير المرجحة، تصنيف مؤشر الأعمال، جدول تركز العملاء، وحساسية CAR لمعامل مخاطر التشغيل. ملاحظة: نحو ثلث صفوف الجزء الأول من هذه الورقة نسخة مباشرة من Regulatory Capital Plan بغرض تجميعها في عرض واحد يخص بازل 3 تحديدا.</t>
  </si>
  <si>
    <t xml:space="preserve">Regulatory Data Requirements</t>
  </si>
  <si>
    <t xml:space="preserve">قائمة بكل مستند أو بيان مطلوب من الإدارة ولم يتوفر بعد، مع الجهة المسؤولة والموعد المستهدف وأثر عدم التوفر.</t>
  </si>
  <si>
    <t xml:space="preserve">جاهزية التقديم</t>
  </si>
  <si>
    <t xml:space="preserve">لوحة ملخصة نهائية بكل نتائج الالتزام الرئيسية (الرافعة، CAR، LCR، NSFR)، وقرار صريح بجاهزية الملف للتقديم كدراسة جدوى وليس كإقرار امتثال فعلي.</t>
  </si>
  <si>
    <t xml:space="preserve">Flexy - الافتراضات الرئيسية للنموذج المالي</t>
  </si>
  <si>
    <t xml:space="preserve">البند</t>
  </si>
  <si>
    <t xml:space="preserve">Year 1</t>
  </si>
  <si>
    <t xml:space="preserve">Year 2</t>
  </si>
  <si>
    <t xml:space="preserve">Year 3</t>
  </si>
  <si>
    <t xml:space="preserve">Year 4</t>
  </si>
  <si>
    <t xml:space="preserve">Year 5</t>
  </si>
  <si>
    <t xml:space="preserve">حجم المنح السنوي</t>
  </si>
  <si>
    <t xml:space="preserve">خطة التشغيل السنوية</t>
  </si>
  <si>
    <t xml:space="preserve">العائد السنوي الاسمي على رصيد العميل</t>
  </si>
  <si>
    <t xml:space="preserve">سعر مرجعي تقديري</t>
  </si>
  <si>
    <t xml:space="preserve">هامش البنك فوق السعر المرجعي</t>
  </si>
  <si>
    <t xml:space="preserve">تكلفة الاقتراض السنوية</t>
  </si>
  <si>
    <t xml:space="preserve">متوسط قيمة العقد</t>
  </si>
  <si>
    <t xml:space="preserve">الإنفاق الرأسمالي</t>
  </si>
  <si>
    <t xml:space="preserve">عدد مكاتب التوقيع وخدمات الأصول</t>
  </si>
  <si>
    <t xml:space="preserve">الحد الأدنى للسيولة</t>
  </si>
  <si>
    <t xml:space="preserve">افتراضات ثابتة وقانونية</t>
  </si>
  <si>
    <t xml:space="preserve">Establishment Phase</t>
  </si>
  <si>
    <t xml:space="preserve">مؤكد من الإدارة</t>
  </si>
  <si>
    <t xml:space="preserve">Start of Operations Phase</t>
  </si>
  <si>
    <t xml:space="preserve">ترخيص مبدئي/بدء النشاط</t>
  </si>
  <si>
    <t xml:space="preserve">First Contract Phase</t>
  </si>
  <si>
    <t xml:space="preserve">خلال شهر من ترخيص البدء</t>
  </si>
  <si>
    <t xml:space="preserve">Target Final License Phase</t>
  </si>
  <si>
    <t xml:space="preserve">Management planning assumption: capital completion and target final license during Year 2</t>
  </si>
  <si>
    <t xml:space="preserve">رأس المال المرخص</t>
  </si>
  <si>
    <t xml:space="preserve">رأس المال المصدر والمدفوع عند البداية</t>
  </si>
  <si>
    <t xml:space="preserve">القيمة الاسمية المقترحة للسهم</t>
  </si>
  <si>
    <t xml:space="preserve">افتراض قانوني لحين اعتماد عقد التأسيس</t>
  </si>
  <si>
    <t xml:space="preserve">إجمالي الأسهم عند استكمال 75 مليون</t>
  </si>
  <si>
    <t xml:space="preserve">رأس المال ÷ القيمة الاسمية</t>
  </si>
  <si>
    <t xml:space="preserve">صافي فاقد ائتماني على الأقساط المستحقة - افتراض تخطيطي</t>
  </si>
  <si>
    <t xml:space="preserve">4x قبل الترخيص النهائي و9x بعده</t>
  </si>
  <si>
    <t xml:space="preserve">نسبة مقدم العميل / الجزء غير الممول من قيمة الأصل</t>
  </si>
  <si>
    <t xml:space="preserve">افتراض تشغيلي مستخدم في احتساب صافي أصل محفظة التأجير؛ ليس نسبة مخصص خسائر ائتمانية</t>
  </si>
  <si>
    <t xml:space="preserve">نسبة الرسوم الإدارية حسب السنة</t>
  </si>
  <si>
    <t xml:space="preserve">نسبة الاعتراف بالرسوم عند المنح - سياسة محاسبية مستهدفة (غير مطبقة في القوائم المقفلة حاليا)</t>
  </si>
  <si>
    <t xml:space="preserve">مقابل خدمات منفصلة - تخضع لاعتماد المراجع</t>
  </si>
  <si>
    <t xml:space="preserve">نسبة الرسوم المؤجلة - سياسة محاسبية مستهدفة (غير مطبقة في القوائم المقفلة حاليا)</t>
  </si>
  <si>
    <t xml:space="preserve">تستهلك على مدة العقد</t>
  </si>
  <si>
    <t xml:space="preserve">متوسط مدة العقد - شهر</t>
  </si>
  <si>
    <t xml:space="preserve">الغالبية 24-36 شهر</t>
  </si>
  <si>
    <t xml:space="preserve">صافي فاقد ائتماني على الأقساط المستحقة</t>
  </si>
  <si>
    <t xml:space="preserve">افتراض تحفظي قابل للتعديل</t>
  </si>
  <si>
    <t xml:space="preserve">نسبة مخصص الخسائر الائتمانية التخطيطي من إجمالي المحفظة الختامية (ليس نموذج EAS 47 كامل)</t>
  </si>
  <si>
    <t xml:space="preserve">افتراض دراسة جدوى؛ إلى حين بناء نموذج EAS 47 ببيانات PD/LGD/EAD والمراحل الائتمانية</t>
  </si>
  <si>
    <t xml:space="preserve">نسبة سداد أصل تمويل البنك من تحصيلات الأصل</t>
  </si>
  <si>
    <t xml:space="preserve">Cash sweep</t>
  </si>
  <si>
    <t xml:space="preserve">ضريبة الدخل</t>
  </si>
  <si>
    <t xml:space="preserve">ضريبة الشركات</t>
  </si>
  <si>
    <t xml:space="preserve">زيادة الرواتب السنوية</t>
  </si>
  <si>
    <t xml:space="preserve">طبقا لجدول الهيكل الوظيفي المرجعي</t>
  </si>
  <si>
    <t xml:space="preserve">زيادة المصروفات السنوية</t>
  </si>
  <si>
    <t xml:space="preserve">تقدير إداري</t>
  </si>
  <si>
    <t xml:space="preserve">معدل الحوافز المتغيرة الضمني من موازنة العاملين المعتمدة</t>
  </si>
  <si>
    <t xml:space="preserve">معدل حافز إنتاج مرجعي على منح الشهر السابق (مرجع تشغيلي؛ غير مستخدم كمعامل موازنة سنوي)</t>
  </si>
  <si>
    <t xml:space="preserve">مرتبطة بالإنتاج</t>
  </si>
  <si>
    <t xml:space="preserve">نسبة الرسوم المتغيرة/بوابات الدفع من التحصيلات</t>
  </si>
  <si>
    <t xml:space="preserve">تقدير</t>
  </si>
  <si>
    <t xml:space="preserve">تكلفة حقوق الملكية</t>
  </si>
  <si>
    <t xml:space="preserve">معدل خصم اسمي بالجنيه - افتراض تقييم</t>
  </si>
  <si>
    <t xml:space="preserve">مضاعف الربحية النهائي</t>
  </si>
  <si>
    <t xml:space="preserve">حالة أساسية للتقييم عند نهاية Year 5</t>
  </si>
  <si>
    <t xml:space="preserve">نسبة الاحتياطي القانوني من الربح</t>
  </si>
  <si>
    <t xml:space="preserve">حتى 50% من رأس المال</t>
  </si>
  <si>
    <t xml:space="preserve">أقصى رصيد للاحتياطي القانوني</t>
  </si>
  <si>
    <t xml:space="preserve">من رأس المال المصدر</t>
  </si>
  <si>
    <t xml:space="preserve">نسبة الاعتراف بعوائد العقود نقديا</t>
  </si>
  <si>
    <t xml:space="preserve">تعكس التعثر/عدم الاستحقاق</t>
  </si>
  <si>
    <t xml:space="preserve">الوحدات</t>
  </si>
  <si>
    <t xml:space="preserve">جنيه مصري</t>
  </si>
  <si>
    <t xml:space="preserve">الأرقام بالجنيه ما لم يذكر خلاف ذلك</t>
  </si>
  <si>
    <t xml:space="preserve">السقف الداخلي للرافعة المالية</t>
  </si>
  <si>
    <t xml:space="preserve">دليل الألوان</t>
  </si>
  <si>
    <t xml:space="preserve">مدخلات قابلة للتعديل</t>
  </si>
  <si>
    <t xml:space="preserve">معادلات</t>
  </si>
  <si>
    <t xml:space="preserve">روابط داخل النموذج</t>
  </si>
  <si>
    <t xml:space="preserve">تنبيه/مطلوب اعتماد</t>
  </si>
  <si>
    <t xml:space="preserve">أزرق</t>
  </si>
  <si>
    <t xml:space="preserve">أسود</t>
  </si>
  <si>
    <t xml:space="preserve">أخضر</t>
  </si>
  <si>
    <t xml:space="preserve">خلفية صفراء</t>
  </si>
  <si>
    <t xml:space="preserve">قاعدة الاستخدام</t>
  </si>
  <si>
    <t xml:space="preserve">تعديل الخلايا الزرقاء فقط</t>
  </si>
  <si>
    <t xml:space="preserve">لا تستبدل المعادلات</t>
  </si>
  <si>
    <t xml:space="preserve">تتبع إلى جداول أخرى</t>
  </si>
  <si>
    <t xml:space="preserve">تحتاج اعتمادا نهائيا</t>
  </si>
  <si>
    <t xml:space="preserve">الحالة المختارة</t>
  </si>
  <si>
    <t xml:space="preserve">Base</t>
  </si>
  <si>
    <t xml:space="preserve">إطار رقابي وتمويلي</t>
  </si>
  <si>
    <t xml:space="preserve">السقف التنظيمي الساري وفق قرار 268/2023: 4x من صافي حقوق الملكية طوال Year 1 وYear 2 بالكامل (المرحلة المؤقتة قبل الترخيص النهائي)، و9x من القاعدة الرأسمالية التنظيمية بدءا من Year 3 فقط بافتراض صدور الترخيص النهائي فعليا وفق خطة الادارة</t>
  </si>
  <si>
    <t xml:space="preserve">هامش الأمان عن سقف الرافعة</t>
  </si>
  <si>
    <t xml:space="preserve">الحد المخطط للتسهيلات البنكية</t>
  </si>
  <si>
    <t xml:space="preserve">زيادة حقوق ملكية خارج رأس المال المدفوع</t>
  </si>
  <si>
    <t xml:space="preserve">Tier 2 ضمن القاعدة الرأسمالية</t>
  </si>
  <si>
    <t xml:space="preserve">استبعادات رقابية من القاعدة الرأسمالية</t>
  </si>
  <si>
    <t xml:space="preserve">الحد الأدنى لكفاية رأس المال</t>
  </si>
  <si>
    <t xml:space="preserve">الحد الأدنى لتغطية السيولة</t>
  </si>
  <si>
    <t xml:space="preserve">الحد الأدنى لصافي التمويل المستقر</t>
  </si>
  <si>
    <t xml:space="preserve">حد تركز العميل الواحد</t>
  </si>
  <si>
    <t xml:space="preserve">معامل مؤشر الأعمال لمخاطر التشغيل</t>
  </si>
  <si>
    <t xml:space="preserve">نسبة التمويل البنكي المستقر المرجحة</t>
  </si>
  <si>
    <t xml:space="preserve">عامل التمويل المستقر المطلوب - مؤشر تخطيطي</t>
  </si>
  <si>
    <t xml:space="preserve">عدد العاملين بنهاية السنة</t>
  </si>
  <si>
    <t xml:space="preserve">معامل تواجد القوة العاملة خلال السنة</t>
  </si>
  <si>
    <t xml:space="preserve">معامل مواءمة موازنة G&amp;A المقفلة (Year 1-Year 2 فقط؛ من Year 3 = 1.0)</t>
  </si>
  <si>
    <t xml:space="preserve">منهج المخصص التخطيطي</t>
  </si>
  <si>
    <t xml:space="preserve">الرصيد الختامي للمخصص = 3% من إجمالي المحفظة الختامية؛ مصروف الخسائر في قائمة الدخل = حركة رصيد المخصص، مع افتراض صفر شطب وصفر استردادات في التوقعات الحالية. هذا ليس نموذج EAS 47 كامل.</t>
  </si>
  <si>
    <t xml:space="preserve">ملاحظات الإفصاح</t>
  </si>
  <si>
    <t xml:space="preserve">تعريف القاعدة الرأسمالية</t>
  </si>
  <si>
    <t xml:space="preserve">المستخدم حاليا تقريب لحقوق الملكية المحاسبية المعدلة، وليس حسابا نهائيا للقاعدة الرأسمالية الرقابية.</t>
  </si>
  <si>
    <t xml:space="preserve">مخاطر التشغيل</t>
  </si>
  <si>
    <t xml:space="preserve">RWA التشغيلي = مؤشر الأعمال × معامل BI × مضاعف الخسارة الداخلية × 12.5. يستخدم النموذج معامل BI التخطيطي المشتق من شريحة BI في Basel III (حاليا 12%) وILM=1 مؤقتا، مع حساسية 15% و18% إلى أن تحدد الهيئة المعامل وتتوافر بيانات خسائر فعلية.</t>
  </si>
  <si>
    <t xml:space="preserve">التمويل البنكي</t>
  </si>
  <si>
    <t xml:space="preserve">حدود التسهيلات وآجالها وتكلفتها افتراضات تخطيطية لحين استلام عروض ملزمة من البنوك. السحب الفعلي مرتبط باحتياج السيولة وبحدود الرافعة وكفاية رأس المال.</t>
  </si>
  <si>
    <t xml:space="preserve">شرط مصدر التمويل خلال الترخيص المبدئي</t>
  </si>
  <si>
    <t xml:space="preserve">لا يتضمن النموذج أي مبالغ استثمار رأسمالي إضافية. وبصورة مستقلة عن الحسابات، يتطلب البند (9) من المادة الثالثة بالقرار 268 لسنة 2023 استيفاء مستندات اعتماد مصدر التمويل المقرر للشركات الناشئة قبل الترخيص؛ ويظل ذلك إجراء قانونيا مطلوب الإقفال مع المستشار والهيئة.</t>
  </si>
  <si>
    <t xml:space="preserve">حالة المؤشرات الرقابية</t>
  </si>
  <si>
    <t xml:space="preserve">مؤشرات تخطيطية أولية؛ أي نقص في CAR أو LCR أو NSFR يظهر كفجوة يجب إقفالها، وليس كنجاح مشروط.</t>
  </si>
  <si>
    <t xml:space="preserve">سداد التمويل البنكي المحسوب</t>
  </si>
  <si>
    <t xml:space="preserve">مدخلات الخطة السنوية والقوائم المالية</t>
  </si>
  <si>
    <t xml:space="preserve">المنح السنوي</t>
  </si>
  <si>
    <t xml:space="preserve">عدد العقود</t>
  </si>
  <si>
    <t xml:space="preserve">تحصيلات العملاء</t>
  </si>
  <si>
    <t xml:space="preserve">رصيد محفظة التأجير الإجمالي الختامي</t>
  </si>
  <si>
    <t xml:space="preserve">عوائد التأجير</t>
  </si>
  <si>
    <t xml:space="preserve">رسوم الخدمات الإدارية</t>
  </si>
  <si>
    <t xml:space="preserve">دعم تشغيلي / إيرادات خدمات مساندة أخرى</t>
  </si>
  <si>
    <t xml:space="preserve">تكلفة التمويل البنكي</t>
  </si>
  <si>
    <t xml:space="preserve">مصروف الخسائر الائتمانية / حركة المخصص التخطيطي</t>
  </si>
  <si>
    <t xml:space="preserve">تكلفة العاملين الشاملة</t>
  </si>
  <si>
    <t xml:space="preserve">المصروفات الإدارية والتشغيلية</t>
  </si>
  <si>
    <t xml:space="preserve">الإهلاك والاستهلاك</t>
  </si>
  <si>
    <t xml:space="preserve">صافي الربح</t>
  </si>
  <si>
    <t xml:space="preserve">رصيد التمويل البنكي الختامي</t>
  </si>
  <si>
    <t xml:space="preserve">رأس المال المصدر والمدفوع</t>
  </si>
  <si>
    <t xml:space="preserve">الأرباح/(الخسائر) التراكمية</t>
  </si>
  <si>
    <t xml:space="preserve">الاحتياطي القانوني التراكمي</t>
  </si>
  <si>
    <t xml:space="preserve">القاعدة الرأسمالية قبل الخصومات</t>
  </si>
  <si>
    <t xml:space="preserve">معامل BI لاختبار التحمل الأعلى / افتراض بديل (18%)</t>
  </si>
  <si>
    <t xml:space="preserve">مضاعف تحويل مخاطر التشغيل</t>
  </si>
  <si>
    <t xml:space="preserve">النقدية الختامية</t>
  </si>
  <si>
    <t xml:space="preserve">أصول أخرى</t>
  </si>
  <si>
    <t xml:space="preserve">رسوم مؤجلة والتزامات تشغيلية</t>
  </si>
  <si>
    <t xml:space="preserve">حدود التسهيلات البنكية</t>
  </si>
  <si>
    <t xml:space="preserve">نسبة الدين بأجل متبق سنة فأكثر</t>
  </si>
  <si>
    <t xml:space="preserve">منهجية بند الدعم/الإيرادات الأخرى: Year 1 = 3,118,262.40 جنيه دعم/تغطية شركاء لمصروفات التشغيل كما ورد بالجداول المالية القديمة (التصنيف المحاسبي النهائي يخضع لاعتماد المراجع)؛ Year 2 = صفر لعدم وجود مبلغ مؤيد في الدراسة القديمة؛ Year 3-Year 5 = افتراض تخطيطي لإيرادات خدمات مساندة بنسبة 0.8% من المنح، لا يعتمد إلا عند تقديم الخدمة وتوثيقها.</t>
  </si>
  <si>
    <t xml:space="preserve">السنوات Year 1 وYear 2 تمثل خطة الأعمال المعتمدة للإدارة. من Year 3 فصاعدا يرتبط النمو بحدود الرافعة وكفاية رأس المال والسيولة، ولا يفترض أي زيادة في رأس المال المدفوع بعد بلوغه 75 مليون جنيه.</t>
  </si>
  <si>
    <t xml:space="preserve">الأزرق/الخلفية الصفراء = افتراضات قابلة للتعديل؛ الأسود = معادلات؛ الأخضر = روابط داخل النموذج؛ والمبالغ بالجنيه المصري ما لم يذكر غير ذلك.</t>
  </si>
  <si>
    <t xml:space="preserve">إجمالي الالتزامات/التعهدات خارج الميزانية قبل معامل التحويل</t>
  </si>
  <si>
    <t xml:space="preserve">معامل التحويل الائتماني للانكشافات خارج الميزانية CCF</t>
  </si>
  <si>
    <t xml:space="preserve">انكشافات المشتقات ومعاملات تمويل الأوراق المالية SFT</t>
  </si>
  <si>
    <t xml:space="preserve">بوابة الترخيص النهائي الفعلي (لا اعتماد تلقائي على الموعد المستهدف)</t>
  </si>
  <si>
    <t xml:space="preserve">هل صدر الترخيص النهائي فعليا؟</t>
  </si>
  <si>
    <t xml:space="preserve">لا</t>
  </si>
  <si>
    <t xml:space="preserve">مدخل يدوي إلزامي - لا يتغير تلقائيا بمجرد بلوغ الموعد المستهدف. حدثه إلى "نعم" فقط عند صدور الترخيص فعليا.</t>
  </si>
  <si>
    <t xml:space="preserve">تاريخ الإصدار الفعلي للترخيص النهائي (يملأ عند الصدور فقط)</t>
  </si>
  <si>
    <t xml:space="preserve">يترك فارغا حتى صدور الترخيص فعليا</t>
  </si>
  <si>
    <t xml:space="preserve">أثر البوابة الفعلية مقابل التوقعات</t>
  </si>
  <si>
    <t xml:space="preserve">حد 4x يسري بالكامل طوال Year 1 وYear 2 بصرف النظر عن الموعد المستهدف للترخيص في B19، ولا يتحول النموذج الى 9x الا من Year 3 فصاعدا. يجب تحديث B111:B112 فور صدور الترخيص النهائي فعليا؛ واذا تأخر صدوره الى ما بعد بداية Year 3 يعاد اختبار تلك السنة على اساس 4x وتفعل سيناريوهات المعالجة في Scenario - Slower Year 2 وScenario - Standby Capital.</t>
  </si>
  <si>
    <t xml:space="preserve">تفصيل الالتزامات خارج الميزانية (يدعم Basel III)</t>
  </si>
  <si>
    <t xml:space="preserve">تسهيلات غير مسحوبة</t>
  </si>
  <si>
    <t xml:space="preserve">خطابات ضمان</t>
  </si>
  <si>
    <t xml:space="preserve">تعهدات تعاقدية غير منفذة</t>
  </si>
  <si>
    <t xml:space="preserve">تعهدات شراء أصول</t>
  </si>
  <si>
    <t xml:space="preserve">ضمانات والتزامات أخرى خارج الميزانية</t>
  </si>
  <si>
    <t xml:space="preserve">إجمالي الالتزامات خارج الميزانية قبل CCF (يستبدل الصف 106)</t>
  </si>
  <si>
    <t xml:space="preserve">مشتقات</t>
  </si>
  <si>
    <t xml:space="preserve">معاملات تمويل أوراق مالية SFT</t>
  </si>
  <si>
    <t xml:space="preserve">إجمالي المشتقات وSFT (يستبدل الصف 108)</t>
  </si>
  <si>
    <t xml:space="preserve">إقرار إداري: تقر إدارة الشركة بعدم وجود أي تسهيلات غير مسحوبة أو خطابات ضمان أو تعهدات تعاقدية غير منفذة أو تعهدات شراء أصول أو مشتقات أو معاملات تمويل أوراق مالية حتى تاريخ إعداد هذا النموذج؛ سيتم تحديث هذا الجدول فورا عند نشوء أي انكشاف من هذا النوع.</t>
  </si>
  <si>
    <t xml:space="preserve">رأس المال والتزامات المساهمين</t>
  </si>
  <si>
    <t xml:space="preserve">Plan Stage</t>
  </si>
  <si>
    <t xml:space="preserve">البيان</t>
  </si>
  <si>
    <t xml:space="preserve">إجمالي الزيادة</t>
  </si>
  <si>
    <t xml:space="preserve">Finvera</t>
  </si>
  <si>
    <t xml:space="preserve">El-Mobadara</t>
  </si>
  <si>
    <t xml:space="preserve">CDS</t>
  </si>
  <si>
    <t xml:space="preserve">Egabi</t>
  </si>
  <si>
    <t xml:space="preserve">رأس المال المصدر والمدفوع عند التأسيس</t>
  </si>
  <si>
    <t xml:space="preserve">دفعة ربع سنوية</t>
  </si>
  <si>
    <t xml:space="preserve">استكمال 30 مليون</t>
  </si>
  <si>
    <t xml:space="preserve">دفعة لاستكمال رأس المال</t>
  </si>
  <si>
    <t xml:space="preserve">استكمال 75 مليون</t>
  </si>
  <si>
    <t xml:space="preserve">بيانات رأس المال والأسهم</t>
  </si>
  <si>
    <t xml:space="preserve">رأس المال المرخص به</t>
  </si>
  <si>
    <t xml:space="preserve">رأس المال المصدر والمدفوع بعد الاستكمال</t>
  </si>
  <si>
    <t xml:space="preserve">القيمة الاسمية للسهم</t>
  </si>
  <si>
    <t xml:space="preserve">إجمالي عدد الأسهم بعد الاستكمال</t>
  </si>
  <si>
    <t xml:space="preserve">إجمالي عدد الأسهم المصرح بها</t>
  </si>
  <si>
    <t xml:space="preserve">المساهمون</t>
  </si>
  <si>
    <t xml:space="preserve">المساهم</t>
  </si>
  <si>
    <t xml:space="preserve">نسبة الملكية</t>
  </si>
  <si>
    <t xml:space="preserve">رأس المال النقدي</t>
  </si>
  <si>
    <t xml:space="preserve">مصروفات تأسيس مسددة</t>
  </si>
  <si>
    <t xml:space="preserve">إجمالي التزام نقدي</t>
  </si>
  <si>
    <t xml:space="preserve">حد الإدارة</t>
  </si>
  <si>
    <t xml:space="preserve">هامش</t>
  </si>
  <si>
    <t xml:space="preserve">مصروفات التأسيس البالغة 258,076.28 جنيه تحملها المساهمون بالتساوي وفق نسب الملكية، ولا تدخل في القاعدة الرأسمالية التنظيمية ما لم يعتمد المستشار القانوني ومراقب الحسابات معالجتها كحقوق ملكية مؤهلة.</t>
  </si>
  <si>
    <t xml:space="preserve">المنتجات والقطاعات المستهدفة</t>
  </si>
  <si>
    <t xml:space="preserve">القطاع</t>
  </si>
  <si>
    <t xml:space="preserve">المزيج</t>
  </si>
  <si>
    <t xml:space="preserve">متوسط العقد</t>
  </si>
  <si>
    <t xml:space="preserve">الحد الأدنى</t>
  </si>
  <si>
    <t xml:space="preserve">الحد الأقصى الإرشادي</t>
  </si>
  <si>
    <t xml:space="preserve">المقدم الأدنى</t>
  </si>
  <si>
    <t xml:space="preserve">المقدم الأقصى</t>
  </si>
  <si>
    <t xml:space="preserve">المدة الدنيا - شهر</t>
  </si>
  <si>
    <t xml:space="preserve">المدة القصوى - شهر</t>
  </si>
  <si>
    <t xml:space="preserve">ملاحظات</t>
  </si>
  <si>
    <t xml:space="preserve">معدات صناعية</t>
  </si>
  <si>
    <t xml:space="preserve">طبقا للعمر الإنتاجي للأصل</t>
  </si>
  <si>
    <t xml:space="preserve">معدات زراعية</t>
  </si>
  <si>
    <t xml:space="preserve">يجوز تحصيل ربع/نصف سنوي للأنشطة الموسمية</t>
  </si>
  <si>
    <t xml:space="preserve">معدات طبية</t>
  </si>
  <si>
    <t xml:space="preserve">موردون معتمدون وتأمين على الأصل</t>
  </si>
  <si>
    <t xml:space="preserve">نقل تجاري خفيف</t>
  </si>
  <si>
    <t xml:space="preserve">التأمين والترخيص شرط صرف</t>
  </si>
  <si>
    <t xml:space="preserve">قطاعات أخرى</t>
  </si>
  <si>
    <t xml:space="preserve">تخضع لحدود التركز والسياسة الائتمانية</t>
  </si>
  <si>
    <t xml:space="preserve">مؤشر</t>
  </si>
  <si>
    <t xml:space="preserve">القيمة</t>
  </si>
  <si>
    <t xml:space="preserve">الفحص</t>
  </si>
  <si>
    <t xml:space="preserve">إجمالي المزيج</t>
  </si>
  <si>
    <t xml:space="preserve">متوسط العقد المرجح</t>
  </si>
  <si>
    <t xml:space="preserve">استرشادي؛ يختلف سنويا حسب خطة المنح</t>
  </si>
  <si>
    <t xml:space="preserve">قواعد التسعير</t>
  </si>
  <si>
    <t xml:space="preserve">سعر العميل ثابت لكل عقد موقع، ويحدد عند المنح وفق تكلفة تمويل البنك + هامش مخاطر وتشغيل.</t>
  </si>
  <si>
    <t xml:space="preserve">السداد المعجل</t>
  </si>
  <si>
    <t xml:space="preserve">خصم العوائد غير المستحقة مع عمولة سداد معجل 5%-10% وفق العقد والقواعد المعتمدة.</t>
  </si>
  <si>
    <t xml:space="preserve">التأخير</t>
  </si>
  <si>
    <t xml:space="preserve">غرامة شهرية على الأجرة المتأخرة وفق العقد وبما لا يخالف الضوابط؛ لم يفترض دخل منها في الحالة الأساسية.</t>
  </si>
  <si>
    <t xml:space="preserve">التملك</t>
  </si>
  <si>
    <t xml:space="preserve">سعر رمزي جنيه واحد بعد سداد جميع الالتزامات والمصروفات والأقساط.</t>
  </si>
  <si>
    <t xml:space="preserve">الهيكل الوظيفي وتكلفة العمالة</t>
  </si>
  <si>
    <t xml:space="preserve">الوظيفة</t>
  </si>
  <si>
    <t xml:space="preserve">الراتب الشهري الأساسي Year 1</t>
  </si>
  <si>
    <t xml:space="preserve">Year 1 FTE</t>
  </si>
  <si>
    <t xml:space="preserve">Year 2 FTE</t>
  </si>
  <si>
    <t xml:space="preserve">Year 3 FTE</t>
  </si>
  <si>
    <t xml:space="preserve">Year 4 FTE</t>
  </si>
  <si>
    <t xml:space="preserve">Year 5 FTE</t>
  </si>
  <si>
    <t xml:space="preserve">Year 1 Cost</t>
  </si>
  <si>
    <t xml:space="preserve">Year 2 Cost</t>
  </si>
  <si>
    <t xml:space="preserve">Year 3 Cost</t>
  </si>
  <si>
    <t xml:space="preserve">Year 4 Cost</t>
  </si>
  <si>
    <t xml:space="preserve">Year 5 Cost</t>
  </si>
  <si>
    <t xml:space="preserve">ملاحظة رقابية</t>
  </si>
  <si>
    <t xml:space="preserve">الرئيس التنفيذي والعضو المنتدب</t>
  </si>
  <si>
    <t xml:space="preserve">إدارة تنفيذية</t>
  </si>
  <si>
    <t xml:space="preserve">نائب الرئيس التنفيذي/عضو مجلس الإدارة</t>
  </si>
  <si>
    <t xml:space="preserve">حوكمة</t>
  </si>
  <si>
    <t xml:space="preserve">المدير المالي والإداري</t>
  </si>
  <si>
    <t xml:space="preserve">قوائم وسيولة</t>
  </si>
  <si>
    <t xml:space="preserve">مدير المخاطر</t>
  </si>
  <si>
    <t xml:space="preserve">مستقل رقابيا</t>
  </si>
  <si>
    <t xml:space="preserve">مدير التقنية</t>
  </si>
  <si>
    <t xml:space="preserve">حماية واستمرارية الأعمال</t>
  </si>
  <si>
    <t xml:space="preserve">مسؤولو التقنية</t>
  </si>
  <si>
    <t xml:space="preserve">توسع تقني متدرج</t>
  </si>
  <si>
    <t xml:space="preserve">حوافز ومكافآت أداء متغيرة ضمن موازنة العاملين المعتمدة</t>
  </si>
  <si>
    <t xml:space="preserve">رصيد موازنة متغير: إجمالي موازنة العاملين المعتمدة ناقص الرواتب الثابتة؛ الصرف الفعلي يخضع لمؤشرات الإنتاج والأداء.</t>
  </si>
  <si>
    <t xml:space="preserve">مسؤول الالتزام</t>
  </si>
  <si>
    <t xml:space="preserve">تقارير مباشرة للمجلس/لجنة المراجعة</t>
  </si>
  <si>
    <t xml:space="preserve">مسؤول مكافحة غسل الأموال وتمويل الإرهاب</t>
  </si>
  <si>
    <t xml:space="preserve">وظيفة مستقلة واتصال مباشر بالمجلس والجهات المختصة</t>
  </si>
  <si>
    <t xml:space="preserve">مسؤول المراجعة الداخلية</t>
  </si>
  <si>
    <t xml:space="preserve">استقلال وظيفي</t>
  </si>
  <si>
    <t xml:space="preserve">مسؤول الموارد البشرية</t>
  </si>
  <si>
    <t xml:space="preserve">دعم إداري</t>
  </si>
  <si>
    <t xml:space="preserve">فريق مخاطر الائتمان</t>
  </si>
  <si>
    <t xml:space="preserve">يتدرج مع المحفظة</t>
  </si>
  <si>
    <t xml:space="preserve">المشتريات وإدارة الموردين</t>
  </si>
  <si>
    <t xml:space="preserve">تحقق من الأصل والمورد</t>
  </si>
  <si>
    <t xml:space="preserve">مسؤولو التوقيعات والمعاينات الميدانية</t>
  </si>
  <si>
    <t xml:space="preserve">توقيع، استلام/تسليم، معاينة، متابعة واسترداد</t>
  </si>
  <si>
    <t xml:space="preserve">التسويق والتواصل الرقمي</t>
  </si>
  <si>
    <t xml:space="preserve">توسع مرحلي</t>
  </si>
  <si>
    <t xml:space="preserve">مسؤولو التأجير التمويلي داخل الفروع</t>
  </si>
  <si>
    <t xml:space="preserve">مرتبط بحجم المنح</t>
  </si>
  <si>
    <t xml:space="preserve">مساعدون إداريون</t>
  </si>
  <si>
    <t xml:space="preserve">دعم</t>
  </si>
  <si>
    <t xml:space="preserve">الإجمالي</t>
  </si>
  <si>
    <t xml:space="preserve">إجمالي موازنة العاملين المعتمدة</t>
  </si>
  <si>
    <t xml:space="preserve">إجمالي سنوي معتمد من الإدارة</t>
  </si>
  <si>
    <t xml:space="preserve">موقع مسؤول مكافحة غسل الأموال</t>
  </si>
  <si>
    <t xml:space="preserve">وظيفة رقابية مستقلة عن المبيعات والائتمان؛ ترتبط وظيفيا بلجنة المراجعة/مجلس الإدارة وإداريا بالرئيس التنفيذي</t>
  </si>
  <si>
    <t xml:space="preserve">اختصاصات أساسية</t>
  </si>
  <si>
    <t xml:space="preserve">تقييم المخاطر، KYC/UBO، مراقبة العمليات، فحص الجزاءات، البلاغات، السجلات والتدريب</t>
  </si>
  <si>
    <t xml:space="preserve">أساس العدد والتكلفة</t>
  </si>
  <si>
    <t xml:space="preserve">إجمالي القوى العاملة 36 موظفا في كل سنة، مع زيادة سنوية 20% وحوافز إنتاج وفق جدول الافتراضات. لا توجد وظيفة مدير تشغيل مخصصة في الموازنة (العدد صفر في المصدر)، وتتولى الإدارة التنفيذية مهام الإشراف التشغيلي في مرحلة الإطلاق. تم تخصيص وظيفة مستقلة لمسؤول مكافحة غسل الأموال داخل نفس إجمالي العدد والتكلفة.</t>
  </si>
  <si>
    <t xml:space="preserve">المصروفات الإدارية والعمومية السنوية</t>
  </si>
  <si>
    <t xml:space="preserve">تكلفة الوحدة شهريا</t>
  </si>
  <si>
    <t xml:space="preserve">Year 1 Units</t>
  </si>
  <si>
    <t xml:space="preserve">Year 2 Units</t>
  </si>
  <si>
    <t xml:space="preserve">Year 3 Units</t>
  </si>
  <si>
    <t xml:space="preserve">Year 4 Units</t>
  </si>
  <si>
    <t xml:space="preserve">Year 5 Units</t>
  </si>
  <si>
    <t xml:space="preserve">إيجار المركز الرئيسي</t>
  </si>
  <si>
    <t xml:space="preserve">إيجار مكاتب التوقيع وخدمات الأصول</t>
  </si>
  <si>
    <t xml:space="preserve">بدلات مجلس الإدارة والحوكمة</t>
  </si>
  <si>
    <t xml:space="preserve">كهرباء وإنترنت المركز الرئيسي</t>
  </si>
  <si>
    <t xml:space="preserve">مرافق مكاتب التوقيع وخدمات الأصول</t>
  </si>
  <si>
    <t xml:space="preserve">مياه ونظافة</t>
  </si>
  <si>
    <t xml:space="preserve">مواصلات وانتقالات</t>
  </si>
  <si>
    <t xml:space="preserve">صيانة أجهزة وأنظمة</t>
  </si>
  <si>
    <t xml:space="preserve">تسويق وتشغيل رقمي</t>
  </si>
  <si>
    <t xml:space="preserve">رسوم الهيئة وتجديدات رقابية</t>
  </si>
  <si>
    <t xml:space="preserve">أدوات كتابية ومطبوعات</t>
  </si>
  <si>
    <t xml:space="preserve">مصروفات قانونية واستشارات</t>
  </si>
  <si>
    <t xml:space="preserve">مراجعة خارجية/داخلية مساندة</t>
  </si>
  <si>
    <t xml:space="preserve">أمن سيبراني واختبارات دورية</t>
  </si>
  <si>
    <t xml:space="preserve">خدمة عملاء واتصالات</t>
  </si>
  <si>
    <t xml:space="preserve">إجمالي المصروفات الإدارية والعمومية</t>
  </si>
  <si>
    <t xml:space="preserve">موازنة G&amp;A المعتمدة للسنتين المقفلتين</t>
  </si>
  <si>
    <t xml:space="preserve">منهجية المصروفات</t>
  </si>
  <si>
    <t xml:space="preserve">Year 1-Year 2: تفاصيل البنود توائم إلى الموازنة السنوية المعتمدة باستخدام معامل مشتق آليا من إجمالي الموازنة. من Year 3: تكلفة الوحدة الشهرية × عدد الوحدات × 12 × الزيادة السنوية، بدون معامل موازنة إضافي.</t>
  </si>
  <si>
    <t xml:space="preserve">وظائف المكاتب</t>
  </si>
  <si>
    <t xml:space="preserve">التوقيعات، استلام وتسليم الأصل، المعاينات والاستعلامات الميدانية، المتابعة الدورية والاسترداد</t>
  </si>
  <si>
    <t xml:space="preserve">مخزن الأصول المستردة</t>
  </si>
  <si>
    <t xml:space="preserve">افتراض: مخزن بالقاهرة في أول 3 سنوات بإيجار تقديري 20,000 جنيه شهريا؛ إفصاح فقط وغير مدرج بالمصروفات لحين التعاقد</t>
  </si>
  <si>
    <t xml:space="preserve">مصروفات غير مدرجة</t>
  </si>
  <si>
    <t xml:space="preserve">غرامات التأخير ليست إيرادا أساسيا، وتأمين الأصل يحمل على العميل/العقد عند السماح والتوثيق</t>
  </si>
  <si>
    <t xml:space="preserve">Origination Plan by Period and Quarter - 60 Periods</t>
  </si>
  <si>
    <t xml:space="preserve">Period</t>
  </si>
  <si>
    <t xml:space="preserve">Plan Year</t>
  </si>
  <si>
    <t xml:space="preserve">Period Sequence</t>
  </si>
  <si>
    <t xml:space="preserve">وزن الشهر داخل السنة</t>
  </si>
  <si>
    <t xml:space="preserve">المنح الشهري المخطط</t>
  </si>
  <si>
    <t xml:space="preserve">المنح المتاح ضمن الخطة التمويلية</t>
  </si>
  <si>
    <t xml:space="preserve">المنح المستخدم في جداول المحفظة</t>
  </si>
  <si>
    <t xml:space="preserve">هامش تمويلي غير مستخدم</t>
  </si>
  <si>
    <t xml:space="preserve">Quarterly Origination Summary</t>
  </si>
  <si>
    <t xml:space="preserve">Quarter</t>
  </si>
  <si>
    <t xml:space="preserve">الربع الأول (Q1)</t>
  </si>
  <si>
    <t xml:space="preserve">الربع الثاني (Q2)</t>
  </si>
  <si>
    <t xml:space="preserve">الربع الثالث (Q3)</t>
  </si>
  <si>
    <t xml:space="preserve">الربع الرابع (Q4)</t>
  </si>
  <si>
    <t xml:space="preserve">جدول تطور أصل المحفظة</t>
  </si>
  <si>
    <t xml:space="preserve">رصيد أول السنة</t>
  </si>
  <si>
    <t xml:space="preserve">الأصل الممول من المنح</t>
  </si>
  <si>
    <t xml:space="preserve">تحصيل/استنفاد أصل المحفظة</t>
  </si>
  <si>
    <t xml:space="preserve">رصيد آخر السنة</t>
  </si>
  <si>
    <t xml:space="preserve">اختبار الربط</t>
  </si>
  <si>
    <t xml:space="preserve">جدول احتساب عوائد التأجير</t>
  </si>
  <si>
    <t xml:space="preserve">متوسط المحفظة</t>
  </si>
  <si>
    <t xml:space="preserve">العائد السنوي</t>
  </si>
  <si>
    <t xml:space="preserve">منهجية الاحتساب</t>
  </si>
  <si>
    <t xml:space="preserve">مدخل خطة Year 1 المعتمدة - لا يوجد جدول EIR/عقود شهري مستقل</t>
  </si>
  <si>
    <t xml:space="preserve">مدخل خطة Year 2 المعتمدة - لا يوجد جدول EIR/عقود شهري مستقل</t>
  </si>
  <si>
    <t xml:space="preserve">متوسط المحفظة × العائد</t>
  </si>
  <si>
    <t xml:space="preserve">العائد الضمني على متوسط المحفظة</t>
  </si>
  <si>
    <t xml:space="preserve">جدول رسوم الخدمات</t>
  </si>
  <si>
    <t xml:space="preserve">نسبة الرسوم</t>
  </si>
  <si>
    <t xml:space="preserve">إجمالي الرسوم المحصلة</t>
  </si>
  <si>
    <t xml:space="preserve">إيرادات الرسوم الإدارية المعتمدة - خطة الإدارة</t>
  </si>
  <si>
    <t xml:space="preserve">Liquidity and Funding Model - 60 Planning Periods</t>
  </si>
  <si>
    <t xml:space="preserve">وزن الشهر</t>
  </si>
  <si>
    <t xml:space="preserve">المنح المخطط</t>
  </si>
  <si>
    <t xml:space="preserve">الإهلاك والاستهلاك (D&amp;A)</t>
  </si>
  <si>
    <t xml:space="preserve">الزيادة في المخصص</t>
  </si>
  <si>
    <t xml:space="preserve">الزيادة في المحفظة</t>
  </si>
  <si>
    <t xml:space="preserve">التغير في مقدمات العملاء والالتزامات</t>
  </si>
  <si>
    <t xml:space="preserve">التغير في الأصول الأخرى</t>
  </si>
  <si>
    <t xml:space="preserve">صافي التدفق التشغيلي</t>
  </si>
  <si>
    <t xml:space="preserve">صافي التدفق الاستثماري</t>
  </si>
  <si>
    <t xml:space="preserve">حد التسهيلات البنكية المخطط</t>
  </si>
  <si>
    <t xml:space="preserve">صافي حركة الدين البنكي المخطط - توزيع الخطة السنوية حسب وزن النشاط (حتى ورود عقود بنكية)</t>
  </si>
  <si>
    <t xml:space="preserve">زيادة رأس المال المدفوع</t>
  </si>
  <si>
    <t xml:space="preserve">صافي التدفق التمويلي</t>
  </si>
  <si>
    <t xml:space="preserve">سداد التمويل البنكي - توزيع تخطيطي لسداد الخطة السنوية حسب وزن النشاط</t>
  </si>
  <si>
    <t xml:space="preserve">صافي التغير في النقدية</t>
  </si>
  <si>
    <t xml:space="preserve">النقدية أول الشهر</t>
  </si>
  <si>
    <t xml:space="preserve">النقدية آخر الشهر</t>
  </si>
  <si>
    <t xml:space="preserve">السحوبات البنكية الإجمالية = صافي حركة الدين + سداد الأصل</t>
  </si>
  <si>
    <t xml:space="preserve">القاعدة الرأسمالية أول الشهر</t>
  </si>
  <si>
    <t xml:space="preserve">نتيجة الشهر</t>
  </si>
  <si>
    <t xml:space="preserve">زيادة رأس المال</t>
  </si>
  <si>
    <t xml:space="preserve">القاعدة الرأسمالية آخر الشهر</t>
  </si>
  <si>
    <t xml:space="preserve">الدين البنكي آخر الشهر</t>
  </si>
  <si>
    <t xml:space="preserve">سقف الرافعة الساري (4x طوال Year 1-Year 2، ثم 9x من Year 3 بافتراض صدور الترخيص النهائي فعليا)</t>
  </si>
  <si>
    <t xml:space="preserve">الرافعة المالية (4× على صافي حقوق الملكية قبل النهائي؛ 9× على القاعدة الرأسمالية التخطيطية بعد الخصومات بعد النهائي)</t>
  </si>
  <si>
    <t xml:space="preserve">حالة الرافعة</t>
  </si>
  <si>
    <t xml:space="preserve">LCR شهري - تقدير تخطيطي 30 يوما</t>
  </si>
  <si>
    <t xml:space="preserve">حالة السيولة</t>
  </si>
  <si>
    <t xml:space="preserve">الدين البنكي أول الشهر</t>
  </si>
  <si>
    <t xml:space="preserve">متوسط رصيد الدين البنكي الشهري</t>
  </si>
  <si>
    <t xml:space="preserve">تكلفة التمويل الشهرية على متوسط الدين</t>
  </si>
  <si>
    <t xml:space="preserve">النقدية قبل السحب البنكي الإجمالي</t>
  </si>
  <si>
    <t xml:space="preserve">الحد الأدنى للسحب البنكي اللازم لمنع نقدية سالبة</t>
  </si>
  <si>
    <t xml:space="preserve">فائض/(عجز) السحب المخطط مقابل الحد الأدنى المطلوب</t>
  </si>
  <si>
    <t xml:space="preserve">اختبار كفاية خطة السحب شهريا</t>
  </si>
  <si>
    <t xml:space="preserve">قائمة الدخل التقديرية - خمس سنوات</t>
  </si>
  <si>
    <t xml:space="preserve">مؤشرات النشاط</t>
  </si>
  <si>
    <t xml:space="preserve">الإيرادات</t>
  </si>
  <si>
    <t xml:space="preserve">إيرادات الرسوم المؤجلة</t>
  </si>
  <si>
    <t xml:space="preserve">إجمالي الإيرادات</t>
  </si>
  <si>
    <t xml:space="preserve">المصروفات</t>
  </si>
  <si>
    <t xml:space="preserve">مصروف الخسائر الائتمانية</t>
  </si>
  <si>
    <t xml:space="preserve">إجمالي المصروفات</t>
  </si>
  <si>
    <t xml:space="preserve">الربح قبل الضريبة</t>
  </si>
  <si>
    <t xml:space="preserve">مؤشرات الربحية</t>
  </si>
  <si>
    <t xml:space="preserve">EBITDA</t>
  </si>
  <si>
    <t xml:space="preserve">EBIT</t>
  </si>
  <si>
    <t xml:space="preserve">هامش صافي الربح</t>
  </si>
  <si>
    <t xml:space="preserve">أساس الاحتساب: العوائد على متوسط المحفظة، الرسوم على المنح، تكلفة التمويل على متوسط رصيد الدين، المصروفات وفق الهيكل الوظيفي وخطة التشغيل، والضريبة 22.5% متى تحقق وعاء موجب.</t>
  </si>
  <si>
    <t xml:space="preserve">التسوية الضريبية Year 1-Year 5 - ترحيل الخسائر الضريبية</t>
  </si>
  <si>
    <t xml:space="preserve">الربح/(الخسارة) المحاسبي قبل الضريبة</t>
  </si>
  <si>
    <t xml:space="preserve">+ إضافات ضريبية غير معترف بها محاسبيا (لا توجد فروق مؤقتة/دائمة محددة حاليا)</t>
  </si>
  <si>
    <t xml:space="preserve">- خصومات ضريبية إضافية (لا توجد حاليا)</t>
  </si>
  <si>
    <t xml:space="preserve">الوعاء الضريبي قبل ترحيل الخسائر (لا يقل عن صفر)</t>
  </si>
  <si>
    <t xml:space="preserve">خسائر ضريبية مرحلة - رصيد أول المدة</t>
  </si>
  <si>
    <t xml:space="preserve">الخسائر المستخدمة خلال السنة</t>
  </si>
  <si>
    <t xml:space="preserve">خسائر ضريبية مرحلة - رصيد آخر المدة</t>
  </si>
  <si>
    <t xml:space="preserve">الوعاء الضريبي بعد ترحيل الخسائر</t>
  </si>
  <si>
    <t xml:space="preserve">معدل ضريبة الدخل</t>
  </si>
  <si>
    <t xml:space="preserve">الضريبة الحالية</t>
  </si>
  <si>
    <t xml:space="preserve">+ الضريبة المؤجلة (غير محتسبة حاليا - تحتاج اعتماد مراقب الحسابات)</t>
  </si>
  <si>
    <t xml:space="preserve">صافي مصروف ضريبة الدخل (يربط تلقائيا بقائمة الدخل عبر Assumptions)</t>
  </si>
  <si>
    <t xml:space="preserve">ملاحظة: ترحل خسارة Year 1 وتستخدم مقابل الوعاء الضريبي الموجب في Year 2 وفق افتراض التخطيط الحالي. مبلغ الضريبة الناتج يتغير تلقائيا مع نتائج النموذج؛ ويظل خاضعا لتأكيد المستشار الضريبي/مراقب الحسابات بشأن شروط وحدود ترحيل الخسائر وأي فروق مؤقتة أو دائمة.</t>
  </si>
  <si>
    <t xml:space="preserve">قائمة المركز المالي التقديرية - خمس سنوات</t>
  </si>
  <si>
    <t xml:space="preserve">الأصول</t>
  </si>
  <si>
    <t xml:space="preserve">النقدية وما في حكمها</t>
  </si>
  <si>
    <t xml:space="preserve">إجمالي الاستثمار في عقود التأجير</t>
  </si>
  <si>
    <t xml:space="preserve">مخصص الخسائر الائتمانية</t>
  </si>
  <si>
    <t xml:space="preserve">صافي الاستثمار في عقود التأجير</t>
  </si>
  <si>
    <t xml:space="preserve">أصول أخرى ومصروفات مدفوعة مقدما</t>
  </si>
  <si>
    <t xml:space="preserve">صافي الأصول الثابتة وغير الملموسة</t>
  </si>
  <si>
    <t xml:space="preserve">إجمالي الأصول</t>
  </si>
  <si>
    <t xml:space="preserve">الالتزامات</t>
  </si>
  <si>
    <t xml:space="preserve">قروض وتسهيلات بنكية</t>
  </si>
  <si>
    <t xml:space="preserve">رسوم مؤجلة ومقدمات عملاء والتزامات تشغيلية</t>
  </si>
  <si>
    <t xml:space="preserve">إجمالي الالتزامات</t>
  </si>
  <si>
    <t xml:space="preserve">حقوق الملكية</t>
  </si>
  <si>
    <t xml:space="preserve">الاحتياطي القانوني</t>
  </si>
  <si>
    <t xml:space="preserve">الأرباح/(الخسائر) المرحلة</t>
  </si>
  <si>
    <t xml:space="preserve">إجمالي حقوق الملكية</t>
  </si>
  <si>
    <t xml:space="preserve">إجمالي الالتزامات وحقوق الملكية</t>
  </si>
  <si>
    <t xml:space="preserve">فحص التوازن</t>
  </si>
  <si>
    <t xml:space="preserve">قائمة التدفقات النقدية التقديرية - خمس سنوات</t>
  </si>
  <si>
    <t xml:space="preserve">التدفقات من أنشطة التشغيل</t>
  </si>
  <si>
    <t xml:space="preserve">الزيادة في مخصص الخسائر الائتمانية</t>
  </si>
  <si>
    <t xml:space="preserve">الزيادة في محفظة التأجير الإجمالية</t>
  </si>
  <si>
    <t xml:space="preserve">التغير في الرسوم المؤجلة والالتزامات التشغيلية</t>
  </si>
  <si>
    <t xml:space="preserve">صافي التدفق من التشغيل</t>
  </si>
  <si>
    <t xml:space="preserve">التدفقات من أنشطة الاستثمار</t>
  </si>
  <si>
    <t xml:space="preserve">صافي التدفق من الاستثمار</t>
  </si>
  <si>
    <t xml:space="preserve">التدفقات من أنشطة التمويل</t>
  </si>
  <si>
    <t xml:space="preserve">الزيادة/(السداد) في التمويل البنكي</t>
  </si>
  <si>
    <t xml:space="preserve">الزيادة في رأس المال المدفوع</t>
  </si>
  <si>
    <t xml:space="preserve">توزيعات الأرباح</t>
  </si>
  <si>
    <t xml:space="preserve">صافي التدفق من التمويل</t>
  </si>
  <si>
    <t xml:space="preserve">النقدية أول السنة</t>
  </si>
  <si>
    <t xml:space="preserve">النقدية آخر السنة</t>
  </si>
  <si>
    <t xml:space="preserve">اختبار الربط بقائمة المركز المالي</t>
  </si>
  <si>
    <t xml:space="preserve">سداد التمويل البنكي</t>
  </si>
  <si>
    <t xml:space="preserve">لا يتضمن التدفق النقدي أي بند موازن غير مسمى. ينتج الرصيد الختامي من الربح، تغيرات المحفظة والمخصصات ورأس المال العامل، الإنفاق الرأسمالي، تغير الدين وزيادات رأس المال.</t>
  </si>
  <si>
    <t xml:space="preserve">الخطة الاستثمارية لخمس سنوات</t>
  </si>
  <si>
    <t xml:space="preserve">منصة التأجير والتكاملات</t>
  </si>
  <si>
    <t xml:space="preserve">الأمن السيبراني واستمرارية الأعمال</t>
  </si>
  <si>
    <t xml:space="preserve">أجهزة ومعدات المركز الرئيسي</t>
  </si>
  <si>
    <t xml:space="preserve">تجهيز مكاتب التوقيع وخدمات الأصول</t>
  </si>
  <si>
    <t xml:space="preserve">تراخيص وبرمجيات</t>
  </si>
  <si>
    <t xml:space="preserve">إجمالي الإنفاق الرأسمالي</t>
  </si>
  <si>
    <t xml:space="preserve">مخزن القاهرة في أول ثلاث سنوات، بإيجار تقديري 20 ألف جنيه شهريا، مفصح عنه فقط وغير مدرج في التكاليف أو الإنفاق الرأسمالي لحين التعاقد.</t>
  </si>
  <si>
    <t xml:space="preserve">معايير الجدوى واتخاذ القرار الاستثماري</t>
  </si>
  <si>
    <t xml:space="preserve">سنة 0</t>
  </si>
  <si>
    <t xml:space="preserve">مساهمات رأس المال</t>
  </si>
  <si>
    <t xml:space="preserve">القيمة النهائية (صافي ربح Year 5 × مضاعف الربحية النهائي)</t>
  </si>
  <si>
    <t xml:space="preserve">التدفق النقدي للمساهمين</t>
  </si>
  <si>
    <t xml:space="preserve">معامل الخصم</t>
  </si>
  <si>
    <t xml:space="preserve">التدفق المخصوم</t>
  </si>
  <si>
    <t xml:space="preserve">التدفق المخصوم التراكمي</t>
  </si>
  <si>
    <t xml:space="preserve">نتائج التقييم - مبنية على تدفقات المساهمين والقيمة النهائية</t>
  </si>
  <si>
    <t xml:space="preserve">صافي القيمة الحالية NPV</t>
  </si>
  <si>
    <t xml:space="preserve">معدل العائد الداخلي IRR</t>
  </si>
  <si>
    <t xml:space="preserve">فترة الاسترداد</t>
  </si>
  <si>
    <t xml:space="preserve">فترة الاسترداد المخصومة</t>
  </si>
  <si>
    <t xml:space="preserve">معدل العائد المحاسبي ARR - مؤشر تخطيطي</t>
  </si>
  <si>
    <t xml:space="preserve">دليل الربحية PI</t>
  </si>
  <si>
    <t xml:space="preserve">تكلفة الدين بعد الضريبة</t>
  </si>
  <si>
    <t xml:space="preserve">تكلفة رأس المال WACC</t>
  </si>
  <si>
    <t xml:space="preserve">الحكم الاستثماري - استرشادي</t>
  </si>
  <si>
    <t xml:space="preserve">بدائل التمويل</t>
  </si>
  <si>
    <t xml:space="preserve">المصدر</t>
  </si>
  <si>
    <t xml:space="preserve">الحجم المقترح</t>
  </si>
  <si>
    <t xml:space="preserve">العمر</t>
  </si>
  <si>
    <t xml:space="preserve">التسعير</t>
  </si>
  <si>
    <t xml:space="preserve">القسط/السداد</t>
  </si>
  <si>
    <t xml:space="preserve">المزايا</t>
  </si>
  <si>
    <t xml:space="preserve">القيود</t>
  </si>
  <si>
    <t xml:space="preserve">تسهيل دوار</t>
  </si>
  <si>
    <t xml:space="preserve">12 شهر متجدد</t>
  </si>
  <si>
    <t xml:space="preserve">سعر مرجعي + 3%</t>
  </si>
  <si>
    <t xml:space="preserve">سداد من التحصيلات</t>
  </si>
  <si>
    <t xml:space="preserve">مرونة السحب</t>
  </si>
  <si>
    <t xml:space="preserve">تغير السعر وقصر الأجل</t>
  </si>
  <si>
    <t xml:space="preserve">تمويل متوسط الأجل</t>
  </si>
  <si>
    <t xml:space="preserve">3 سنوات</t>
  </si>
  <si>
    <t xml:space="preserve">متغير أو ثابت وفق العرض</t>
  </si>
  <si>
    <t xml:space="preserve">أقساط أصل متساوية</t>
  </si>
  <si>
    <t xml:space="preserve">مطابقة أفضل للأجل</t>
  </si>
  <si>
    <t xml:space="preserve">ضمانات وتعهدات</t>
  </si>
  <si>
    <t xml:space="preserve">توريق بعد تكوين سجل أداء</t>
  </si>
  <si>
    <t xml:space="preserve">مرتبط بعمر المحفظة</t>
  </si>
  <si>
    <t xml:space="preserve">وفق السوق والتصنيف</t>
  </si>
  <si>
    <t xml:space="preserve">من تدفقات المحفظة</t>
  </si>
  <si>
    <t xml:space="preserve">تنويع مصادر التمويل</t>
  </si>
  <si>
    <t xml:space="preserve">يتطلب محفظة وسجل تحصيل</t>
  </si>
  <si>
    <t xml:space="preserve">ملاحظة: NPV/IRR/PI/Payback هي عوائد مساهمين، وليست تدفقات تشغيلية للمشروع. لا توجد توزيعات أرباح مفترضة خلال Year 1-Year 5، والقيمة النهائية = صافي ربح Year 5 × مضاعف الربحية في Assumptions!B40؛ لذلك لا يجوز اعتماد الحكم الاستثماري دون قراءة حساسية مضاعف الخروج والتحقق من إمكانية التوزيع/الخروج فعليا.</t>
  </si>
  <si>
    <t xml:space="preserve">المؤشرات والنسب المالية</t>
  </si>
  <si>
    <t xml:space="preserve">السيولة</t>
  </si>
  <si>
    <t xml:space="preserve">نسبة تغطية السيولة LCR</t>
  </si>
  <si>
    <t xml:space="preserve">نسبة صافي التمويل المستقر NSFR</t>
  </si>
  <si>
    <t xml:space="preserve">النقدية / إجمالي الأصول</t>
  </si>
  <si>
    <t xml:space="preserve">أشهر تغطية المصروفات النقدية</t>
  </si>
  <si>
    <t xml:space="preserve">الربحية</t>
  </si>
  <si>
    <t xml:space="preserve">العائد على الأصول ROA</t>
  </si>
  <si>
    <t xml:space="preserve">العائد على حقوق الملكية ROE</t>
  </si>
  <si>
    <t xml:space="preserve">العائد على الاستثمار ROI</t>
  </si>
  <si>
    <t xml:space="preserve">تغطية تكلفة التمويل</t>
  </si>
  <si>
    <t xml:space="preserve">الملكية والرافعة</t>
  </si>
  <si>
    <t xml:space="preserve">مضاعف الاقتراض الرقابي للهيئة</t>
  </si>
  <si>
    <t xml:space="preserve">سقف مضاعف الاقتراض للهيئة</t>
  </si>
  <si>
    <t xml:space="preserve">حقوق الملكية / إجمالي الأصول</t>
  </si>
  <si>
    <t xml:space="preserve">الدين / حقوق الملكية</t>
  </si>
  <si>
    <t xml:space="preserve">كفاية رأس المال CAR</t>
  </si>
  <si>
    <t xml:space="preserve">هامش CAR فوق الحد الأدنى</t>
  </si>
  <si>
    <t xml:space="preserve">مؤشرات أخرى</t>
  </si>
  <si>
    <t xml:space="preserve">مخصص الخسائر / المحفظة</t>
  </si>
  <si>
    <t xml:space="preserve">حد العميل الواحد</t>
  </si>
  <si>
    <t xml:space="preserve">الحد الداخلي المخطط</t>
  </si>
  <si>
    <t xml:space="preserve">حالة التركز</t>
  </si>
  <si>
    <t xml:space="preserve">تحليل حساسية قائمة الدخل - ليس إعادة تشغيل كاملة للتمويل والسيولة</t>
  </si>
  <si>
    <t xml:space="preserve">المحرك</t>
  </si>
  <si>
    <t xml:space="preserve">أفضل</t>
  </si>
  <si>
    <t xml:space="preserve">أساسي</t>
  </si>
  <si>
    <t xml:space="preserve">أسوأ</t>
  </si>
  <si>
    <t xml:space="preserve">معامل حجم المنح</t>
  </si>
  <si>
    <t xml:space="preserve">تغير عائد العميل</t>
  </si>
  <si>
    <t xml:space="preserve">تغير تكلفة التمويل</t>
  </si>
  <si>
    <t xml:space="preserve">معامل الخسائر الائتمانية</t>
  </si>
  <si>
    <t xml:space="preserve">معامل المصروفات التشغيلية</t>
  </si>
  <si>
    <t xml:space="preserve">صافي الربح حسب الحساسية - تعديل جبري لمخرجات قائمة الدخل فقط</t>
  </si>
  <si>
    <t xml:space="preserve">السيناريو</t>
  </si>
  <si>
    <t xml:space="preserve">ملخص النتائج</t>
  </si>
  <si>
    <t xml:space="preserve">المؤشر</t>
  </si>
  <si>
    <t xml:space="preserve">إجمالي صافي الربح</t>
  </si>
  <si>
    <t xml:space="preserve">صافي ربح Year 5</t>
  </si>
  <si>
    <t xml:space="preserve">النتيجة - حساسية ربحية فقط</t>
  </si>
  <si>
    <t xml:space="preserve">تحليل الحساسية - صافي ربح Year 5</t>
  </si>
  <si>
    <t xml:space="preserve">تغير عائد العميل / معامل المنح</t>
  </si>
  <si>
    <t xml:space="preserve">80%</t>
  </si>
  <si>
    <t xml:space="preserve">90%</t>
  </si>
  <si>
    <t xml:space="preserve">100%</t>
  </si>
  <si>
    <t xml:space="preserve">110%</t>
  </si>
  <si>
    <t xml:space="preserve">120%</t>
  </si>
  <si>
    <t xml:space="preserve">يعرض الجدول أثر تغير عائد العميل ±4 نقاط مئوية وحجم المنح ±20% على صافي ربح السنة الخامسة مع ثبات هيكل التكلفة. يجب إعادة اختبار الرافعة وCAR والسيولة قبل اعتماد أي زيادة في المنح.</t>
  </si>
  <si>
    <t xml:space="preserve">تحليل نقطة التعادل</t>
  </si>
  <si>
    <t xml:space="preserve">هامش المساهمة</t>
  </si>
  <si>
    <t xml:space="preserve">عائد العميل على متوسط المحفظة</t>
  </si>
  <si>
    <t xml:space="preserve">تكلفة التمويل المعدلة بنسبة الدين</t>
  </si>
  <si>
    <t xml:space="preserve">الخسائر الائتمانية على متوسط المحفظة</t>
  </si>
  <si>
    <t xml:space="preserve">تكلفة خدمة متغيرة</t>
  </si>
  <si>
    <t xml:space="preserve">هامش المساهمة على متوسط المحفظة</t>
  </si>
  <si>
    <t xml:space="preserve">التكاليف الثابتة</t>
  </si>
  <si>
    <t xml:space="preserve">تكلفة العاملين</t>
  </si>
  <si>
    <t xml:space="preserve">المصروفات الإدارية والتشغيلية (G&amp;A)</t>
  </si>
  <si>
    <t xml:space="preserve">إجمالي التكاليف الثابتة</t>
  </si>
  <si>
    <t xml:space="preserve">نقطة التعادل</t>
  </si>
  <si>
    <t xml:space="preserve">متوسط المحفظة المطلوب للتعادل</t>
  </si>
  <si>
    <t xml:space="preserve">المنح السنوي المطلوب للتعادل</t>
  </si>
  <si>
    <t xml:space="preserve">متوسط المحفظة الفعلي</t>
  </si>
  <si>
    <t xml:space="preserve">هامش الأمان</t>
  </si>
  <si>
    <t xml:space="preserve">الحالة</t>
  </si>
  <si>
    <t xml:space="preserve">مصفوفة الالتزام والمتطلبات</t>
  </si>
  <si>
    <t xml:space="preserve">المتطلب</t>
  </si>
  <si>
    <t xml:space="preserve">المعيار</t>
  </si>
  <si>
    <t xml:space="preserve">المكان/المنهجية</t>
  </si>
  <si>
    <t xml:space="preserve">قائمة الدخل لخمس سنوات</t>
  </si>
  <si>
    <t xml:space="preserve">سنوي</t>
  </si>
  <si>
    <t xml:space="preserve">مستوفى</t>
  </si>
  <si>
    <t xml:space="preserve">قائمة المركز المالي لخمس سنوات</t>
  </si>
  <si>
    <t xml:space="preserve">سنوي ومتوازن</t>
  </si>
  <si>
    <t xml:space="preserve">Balance Sheet + Checks</t>
  </si>
  <si>
    <t xml:space="preserve">قائمة التدفقات النقدية لخمس سنوات</t>
  </si>
  <si>
    <t xml:space="preserve">سنوي دون بند موازن</t>
  </si>
  <si>
    <t xml:space="preserve">Cash Flow + Checks</t>
  </si>
  <si>
    <t xml:space="preserve">حد الاقتراض الرقابي للهيئة - اختبار تخطيطي وفق تاريخ الترخيص المفترض</t>
  </si>
  <si>
    <t xml:space="preserve">4× قبل الترخيص النهائي؛ 9× بعده</t>
  </si>
  <si>
    <t xml:space="preserve">Regulatory Capital Plan + monthly Year 2 test</t>
  </si>
  <si>
    <t xml:space="preserve">&gt;=12%</t>
  </si>
  <si>
    <t xml:space="preserve">LCR</t>
  </si>
  <si>
    <t xml:space="preserve">&gt;=100%</t>
  </si>
  <si>
    <t xml:space="preserve">NSFR</t>
  </si>
  <si>
    <t xml:space="preserve">&lt;=30% من القاعدة الرأسمالية</t>
  </si>
  <si>
    <t xml:space="preserve">حجم المنح الربع سنوي</t>
  </si>
  <si>
    <t xml:space="preserve">كل ربع سنة</t>
  </si>
  <si>
    <t xml:space="preserve">مؤشرات الجدوى</t>
  </si>
  <si>
    <t xml:space="preserve">NPV, IRR, ARR, Payback, WACC, PI, BEP</t>
  </si>
  <si>
    <t xml:space="preserve">Feasibility, Scenarios, Sensitivity, Break Even</t>
  </si>
  <si>
    <t xml:space="preserve">مسؤول AML/CFT</t>
  </si>
  <si>
    <t xml:space="preserve">وظيفة مستقلة واختصاصات موثقة</t>
  </si>
  <si>
    <t xml:space="preserve">Staff rows 23-24</t>
  </si>
  <si>
    <t xml:space="preserve">الامتثال المعروض هو امتثال تخطيطي وفق الافتراضات المبينة؛ لا يحل محل الإقرارات والنماذج الرقابية أو تحقق مراقب الحسابات من البيانات الفعلية.</t>
  </si>
  <si>
    <t xml:space="preserve">اختبارات سلامة النموذج</t>
  </si>
  <si>
    <t xml:space="preserve">الاختبار</t>
  </si>
  <si>
    <t xml:space="preserve">توازن المركز المالي</t>
  </si>
  <si>
    <t xml:space="preserve">ربط النقدية</t>
  </si>
  <si>
    <t xml:space="preserve">المنح السنوي يساوي خطة التشغيل</t>
  </si>
  <si>
    <t xml:space="preserve">المنح الربع سنوي يساوي السنوي</t>
  </si>
  <si>
    <t xml:space="preserve">حد الاقتراض الرقابي - اختبار شهري وفق سيناريو الترخيص المتوقع (4× صافي حقوق الملكية / 9× قاعدة رأسمالية تخطيطية)</t>
  </si>
  <si>
    <t xml:space="preserve">CAR - تحقق تخطيطي؛ الاعتماد النهائي يتطلب مدخلات رقابية فعلية</t>
  </si>
  <si>
    <t xml:space="preserve">LCR - Proxy 30 يوما؛ لا PASS نهائي دون آجال تعاقدية</t>
  </si>
  <si>
    <t xml:space="preserve">NSFR - Proxy ASF/RSF؛ لا PASS نهائي دون جداول استحقاق فعلية</t>
  </si>
  <si>
    <t xml:space="preserve">رأس المال المدفوع لا يتجاوز المرخص</t>
  </si>
  <si>
    <t xml:space="preserve">عدد العاملين يطابق جدول الهيكل</t>
  </si>
  <si>
    <t xml:space="preserve">تكلفة العاملين مرتبطة بالقوائم</t>
  </si>
  <si>
    <t xml:space="preserve">تسوية حركة الدين البنكي</t>
  </si>
  <si>
    <t xml:space="preserve">حد التسهيلات وعدم وجود نقدية سالبة - شهري</t>
  </si>
  <si>
    <t xml:space="preserve">نسبة رافعة بازل الاسترشادية (Tier 1 ÷ الانكشافات)</t>
  </si>
  <si>
    <t xml:space="preserve">حركة مخصص الخسائر الائتمانية تطابق مصروف قائمة الدخل</t>
  </si>
  <si>
    <t xml:space="preserve">ملاحظة: الاختبارات الحسابية يجب أن تكون OK/متوافق؛ المؤشرات الرقابية المعتمدة على بيانات خارجية تبقى استرشادية/معلقة حتى اكتمال المدخلات.</t>
  </si>
  <si>
    <t xml:space="preserve">السيناريو الأساسي يطابق صافي ربح قائمة الدخل</t>
  </si>
  <si>
    <t xml:space="preserve">نقطة الحساسية الأساسية (0% عائد / 100% منح) تطابق صافي ربح Year 5</t>
  </si>
  <si>
    <t xml:space="preserve">-</t>
  </si>
  <si>
    <t xml:space="preserve">الجدوى: القيمة النهائية مرتبطة بمضاعف الخروج المعتمد</t>
  </si>
  <si>
    <t xml:space="preserve">عوائد التأجير - مصدر ومنهجية</t>
  </si>
  <si>
    <t xml:space="preserve">خطة معتمدة/مدخل</t>
  </si>
  <si>
    <t xml:space="preserve">OK - Formula</t>
  </si>
  <si>
    <t xml:space="preserve">سداد البنك الشهري يساوي السداد السنوي</t>
  </si>
  <si>
    <t xml:space="preserve">تكلفة التمويل الشهرية على متوسط الدين تساوي قائمة الدخل</t>
  </si>
  <si>
    <t xml:space="preserve">خطة السحب البنكي تغطي الحد الأدنى للاحتياج الشهري دون تجاوز التسهيل</t>
  </si>
  <si>
    <t xml:space="preserve">عدد العقود الشهري يساوي العدد السنوي المعتمد</t>
  </si>
  <si>
    <t xml:space="preserve">رسوم الخدمات الإدارية = المنح × نسبة الرسوم</t>
  </si>
  <si>
    <t xml:space="preserve">إجمالي Opex التفصيلي = المصروف في قائمة الدخل</t>
  </si>
  <si>
    <t xml:space="preserve">المصادر وسجل الافتراضات</t>
  </si>
  <si>
    <t xml:space="preserve">ID</t>
  </si>
  <si>
    <t xml:space="preserve">الموضوع</t>
  </si>
  <si>
    <t xml:space="preserve">المرجع</t>
  </si>
  <si>
    <t xml:space="preserve">الاستخدام</t>
  </si>
  <si>
    <t xml:space="preserve">S01</t>
  </si>
  <si>
    <t xml:space="preserve">قواعد الشركات الناشئة في التكنولوجيا المالية</t>
  </si>
  <si>
    <t xml:space="preserve">https://fra.gov.eg/wp-content/uploads/2024/01/alamiria_2023_268.pdf</t>
  </si>
  <si>
    <t xml:space="preserve">قرار 268 لسنة 2023</t>
  </si>
  <si>
    <t xml:space="preserve">رأس المال، الرافعة 4×، وشروط الترخيص المبدئي</t>
  </si>
  <si>
    <t xml:space="preserve">S02</t>
  </si>
  <si>
    <t xml:space="preserve">كفاية رأس المال والسيولة والتركز</t>
  </si>
  <si>
    <t xml:space="preserve">https://fra.gov.eg/wp-content/uploads/2025/08/alamiria_2025_137.pdf</t>
  </si>
  <si>
    <t xml:space="preserve">قرار 137 لسنة 2025</t>
  </si>
  <si>
    <t xml:space="preserve">CAR وRWA وLCR وNSFR وحد العميل</t>
  </si>
  <si>
    <t xml:space="preserve">S03</t>
  </si>
  <si>
    <t xml:space="preserve">قانون التأجير التمويلي والتخصيم</t>
  </si>
  <si>
    <t xml:space="preserve">ملف الهيئة الرسمي</t>
  </si>
  <si>
    <t xml:space="preserve">قانون 176 لسنة 2018</t>
  </si>
  <si>
    <t xml:space="preserve">الإطار القانوني للنشاط</t>
  </si>
  <si>
    <t xml:space="preserve">F01</t>
  </si>
  <si>
    <t xml:space="preserve">خطة العمل</t>
  </si>
  <si>
    <t xml:space="preserve">Flexy business plan v2.5.pdf</t>
  </si>
  <si>
    <t xml:space="preserve">ملف الإدارة</t>
  </si>
  <si>
    <t xml:space="preserve">القطاعات والتشغيل</t>
  </si>
  <si>
    <t xml:space="preserve">F02</t>
  </si>
  <si>
    <t xml:space="preserve">دراسة الجدوى وخطة العمل</t>
  </si>
  <si>
    <t xml:space="preserve">دراسة الجدوى وخطة العمل.pdf</t>
  </si>
  <si>
    <t xml:space="preserve">الافتراضات التشغيلية والمالية</t>
  </si>
  <si>
    <t xml:space="preserve">F03</t>
  </si>
  <si>
    <t xml:space="preserve">الجداول المالية</t>
  </si>
  <si>
    <t xml:space="preserve">جداول الدراسة المالية.pdf</t>
  </si>
  <si>
    <t xml:space="preserve">أغسطس 2026</t>
  </si>
  <si>
    <t xml:space="preserve">أرقام Year 1 وYear 2 وجدول العاملين وتكاليفه Year 1-Year 5</t>
  </si>
  <si>
    <t xml:space="preserve">F04</t>
  </si>
  <si>
    <t xml:space="preserve">السياسة الائتمانية</t>
  </si>
  <si>
    <t xml:space="preserve">السياسة الائتمانية.pdf</t>
  </si>
  <si>
    <t xml:space="preserve">الضوابط الائتمانية والقطاعات</t>
  </si>
  <si>
    <t xml:space="preserve">F05</t>
  </si>
  <si>
    <t xml:space="preserve">مصفوفات الموافقة المبدئية</t>
  </si>
  <si>
    <t xml:space="preserve">Flexy_Preliminary_Approval_Matrices.xlsx</t>
  </si>
  <si>
    <t xml:space="preserve">الأنظمة والأدوار</t>
  </si>
  <si>
    <t xml:space="preserve">F06</t>
  </si>
  <si>
    <t xml:space="preserve">مصروفات التأسيس</t>
  </si>
  <si>
    <t xml:space="preserve">FLEXY - Expenses.xlsx</t>
  </si>
  <si>
    <t xml:space="preserve">حتى 7 يونيو 2026</t>
  </si>
  <si>
    <t xml:space="preserve">258,076.28 جنيه</t>
  </si>
  <si>
    <t xml:space="preserve">A01</t>
  </si>
  <si>
    <t xml:space="preserve">تكلفة التمويل</t>
  </si>
  <si>
    <t xml:space="preserve">افتراض إداري</t>
  </si>
  <si>
    <t xml:space="preserve">Year 1-Year 5</t>
  </si>
  <si>
    <t xml:space="preserve">يستبدل بعروض البنوك</t>
  </si>
  <si>
    <t xml:space="preserve">A02</t>
  </si>
  <si>
    <t xml:space="preserve">افتراض قانوني: 1 جنيه</t>
  </si>
  <si>
    <t xml:space="preserve">قبل اعتماد عقد التأسيس</t>
  </si>
  <si>
    <t xml:space="preserve">يتطلب تأكيد المستشار</t>
  </si>
  <si>
    <t xml:space="preserve">A03</t>
  </si>
  <si>
    <t xml:space="preserve">الاعتراف بالرسوم</t>
  </si>
  <si>
    <t xml:space="preserve">70% عند الخدمة / 30% مؤجل</t>
  </si>
  <si>
    <t xml:space="preserve">افتراض محاسبي</t>
  </si>
  <si>
    <t xml:space="preserve">سياسة محاسبية مستهدفة 70% عند الخدمة / 30% مؤجل؛ غير مطبقة في القوائم الحالية للحفاظ على أرقام الخطة المعتمدة. يلزم اعتماد مراقب الحسابات قبل تفعيل التأجيل/الاستهلاك وتعديل توقيت الإيراد.</t>
  </si>
  <si>
    <t xml:space="preserve">A04</t>
  </si>
  <si>
    <t xml:space="preserve">معامل BI</t>
  </si>
  <si>
    <t xml:space="preserve">12%/15%/18% حسب متوسط مؤشر الأعمال (تخطيطي)</t>
  </si>
  <si>
    <t xml:space="preserve">افتراض متحفظ</t>
  </si>
  <si>
    <t xml:space="preserve">الحالة الأساسية تستخدم شريحة BI التخطيطية المشتقة من متوسط BI؛ حساسية 15%/18% للاختبار، ويحدث فور ورود التحديد الرقابي النهائي.</t>
  </si>
  <si>
    <t xml:space="preserve">A05</t>
  </si>
  <si>
    <t xml:space="preserve">مخاطر السوق</t>
  </si>
  <si>
    <t xml:space="preserve">صفر</t>
  </si>
  <si>
    <t xml:space="preserve">افتراض عدم وجود محفظة تداول</t>
  </si>
  <si>
    <t xml:space="preserve">يحدث عند تغير النشاط</t>
  </si>
  <si>
    <t xml:space="preserve">A06</t>
  </si>
  <si>
    <t xml:space="preserve">الأساس الضريبي Year 1-Year 2</t>
  </si>
  <si>
    <t xml:space="preserve">افتراض إداري: ترحيل خسارة Year 1 بالكامل مقابل ربح Year 2</t>
  </si>
  <si>
    <t xml:space="preserve">قيد اعتماد مراقب الحسابات</t>
  </si>
  <si>
    <t xml:space="preserve">يستخدم فقط لاحتساب ضريبة Year 2 في التوقعات؛ يخضع لاعتماد المستشار الضريبي/مراقب الحسابات.</t>
  </si>
  <si>
    <t xml:space="preserve">A07</t>
  </si>
  <si>
    <t xml:space="preserve">آجال وتدفقات التمويل في بازل 3</t>
  </si>
  <si>
    <t xml:space="preserve">افتراضات تخطيطية لمواعيد الاستحقاق وأوزان التدفقات</t>
  </si>
  <si>
    <t xml:space="preserve">تستبدل بعقود بنكية فعلية عند توافرها</t>
  </si>
  <si>
    <t xml:space="preserve">يستخدم في تقديرات LCR وNSFR التخطيطية؛ يستبدل بآجال تعاقدية فعلية عند توافرها.</t>
  </si>
  <si>
    <t xml:space="preserve">A08</t>
  </si>
  <si>
    <t xml:space="preserve">بوابة الترخيص النهائي الفعلي</t>
  </si>
  <si>
    <t xml:space="preserve">مدخل إداري يدوي - Assumptions B111:B112</t>
  </si>
  <si>
    <t xml:space="preserve">لا يعتمد على الموعد المستهدف</t>
  </si>
  <si>
    <t xml:space="preserve">يحدد معامل الحالة الأساسية التخطيطية فقط؛ لا يمثل تصنيفا نهائيا صادرا عن الهيئة.</t>
  </si>
  <si>
    <t xml:space="preserve">A09</t>
  </si>
  <si>
    <t xml:space="preserve">حدود شرائح مؤشر الأعمال BI (12%/15%/18%)</t>
  </si>
  <si>
    <t xml:space="preserve">قيم شريحة BI تخطيطية تطبق وفق متوسط مؤشر الأعمال بالنموذج</t>
  </si>
  <si>
    <t xml:space="preserve">يتطلب تأكيد التصنيف/التطبيق الرقابي عند التقديم الفعلي</t>
  </si>
  <si>
    <t xml:space="preserve">Basel III وRegulatory Capital Plan - يحدد معامل BI التخطيطي مع إبقاء النتيجة استرشادية.</t>
  </si>
  <si>
    <t xml:space="preserve">A10</t>
  </si>
  <si>
    <t xml:space="preserve">نسب توزيع آجال الدين والمحفظة (NSFR)</t>
  </si>
  <si>
    <t xml:space="preserve">افتراض تخطيطي 80%-90% دين، 70%/20%/10% محفظة</t>
  </si>
  <si>
    <t xml:space="preserve">Assumptions B102، Funding &amp; Liquidity</t>
  </si>
  <si>
    <t xml:space="preserve">يستبدل بجداول استحقاق فعلية عند توافرها</t>
  </si>
  <si>
    <t xml:space="preserve">A11</t>
  </si>
  <si>
    <t xml:space="preserve">سقف الاعتداد بالتدفقات الداخلة في LCR</t>
  </si>
  <si>
    <t xml:space="preserve">قرار 137 لسنة 2025 - النص النهائي (تم التحقق منه)</t>
  </si>
  <si>
    <t xml:space="preserve">90% من التدفقات الخارجة، وليس 75% - Funding &amp; Liquidity وBasel III</t>
  </si>
  <si>
    <t xml:space="preserve">A12</t>
  </si>
  <si>
    <t xml:space="preserve">رسوم الخدمات الإدارية Year 1-Year 5</t>
  </si>
  <si>
    <t xml:space="preserve">الجداول المالية المعتمدة Year 1-Year 2 + افتراض الإدارة من Year 3</t>
  </si>
  <si>
    <t xml:space="preserve">Year 1=5%، Year 2=7%، Year 3-Year 5=6%</t>
  </si>
  <si>
    <t xml:space="preserve">يوحد Cohort Fees وAssumptions وIncome Statement دون تغيير إيرادات الرسوم المعتمدة.</t>
  </si>
  <si>
    <t xml:space="preserve">A13</t>
  </si>
  <si>
    <t xml:space="preserve">الدعم التشغيلي / إيرادات الخدمات المساندة</t>
  </si>
  <si>
    <t xml:space="preserve">الجداول المالية القديمة + افتراض الإدارة</t>
  </si>
  <si>
    <t xml:space="preserve">Year 1 دعم شركاء 3,118,262.40؛ Year 2 صفر؛ Year 3-Year 5 = 0.8% من المنح</t>
  </si>
  <si>
    <t xml:space="preserve">Year 1 يخضع تصنيفه المحاسبي لاعتماد المراجع؛ Year 2 أزيلت قيمة غير مؤيدة؛ السنوات اللاحقة افتراض تخطيطي مشروط بتقديم الخدمة.</t>
  </si>
  <si>
    <t xml:space="preserve">خريطة المعادلات ومنهجية الحساب</t>
  </si>
  <si>
    <t xml:space="preserve">المكان</t>
  </si>
  <si>
    <t xml:space="preserve">المعادلة</t>
  </si>
  <si>
    <t xml:space="preserve">الغرض</t>
  </si>
  <si>
    <t xml:space="preserve">Assumptions row 4</t>
  </si>
  <si>
    <t xml:space="preserve">مدخل سنوي موزع شهريا وربع سنويا</t>
  </si>
  <si>
    <t xml:space="preserve">خطة النمو</t>
  </si>
  <si>
    <t xml:space="preserve">الرصيد الختامي للمحفظة</t>
  </si>
  <si>
    <t xml:space="preserve">Assumptions row 79</t>
  </si>
  <si>
    <t xml:space="preserve">رصيد سابق × (1-12/المدة) + المنح × (1-المقدم)</t>
  </si>
  <si>
    <t xml:space="preserve">تطور المحفظة</t>
  </si>
  <si>
    <t xml:space="preserve">Assumptions row 80</t>
  </si>
  <si>
    <t xml:space="preserve">Year 1-Year 2: مدخلات خطة معتمدة؛ Year 3-Year 5: متوسط المحفظة × العائد السنوي</t>
  </si>
  <si>
    <t xml:space="preserve">الرسوم الإدارية</t>
  </si>
  <si>
    <t xml:space="preserve">Assumptions row 81</t>
  </si>
  <si>
    <t xml:space="preserve">المنح × نسبة الرسوم السنوية (Year 1=5%، Year 2=7%، ومن Year 3=6%)</t>
  </si>
  <si>
    <t xml:space="preserve">إيرادات الخدمات</t>
  </si>
  <si>
    <t xml:space="preserve">Assumptions row 83</t>
  </si>
  <si>
    <t xml:space="preserve">مجموع تكلفة التمويل الشهرية على متوسط رصيد الدين الشهري × معدل الاقتراض السنوي ÷ 12</t>
  </si>
  <si>
    <t xml:space="preserve">تكلفة الدين</t>
  </si>
  <si>
    <t xml:space="preserve">التدفق التشغيلي</t>
  </si>
  <si>
    <t xml:space="preserve">Cash Flow row 11</t>
  </si>
  <si>
    <t xml:space="preserve">الربح + البنود غير النقدية + تغير المحفظة ورأس المال العامل</t>
  </si>
  <si>
    <t xml:space="preserve">الرافعة</t>
  </si>
  <si>
    <t xml:space="preserve">Regulatory Capital Plan row 13</t>
  </si>
  <si>
    <t xml:space="preserve">قبل الترخيص النهائي: الدين ÷ صافي حقوق الملكية؛ بعده: الدين ÷ القاعدة الرأسمالية التخطيطية بعد الخصومات</t>
  </si>
  <si>
    <t xml:space="preserve">4×/9×</t>
  </si>
  <si>
    <t xml:space="preserve">ILDC</t>
  </si>
  <si>
    <t xml:space="preserve">Regulatory Capital Plan row 21</t>
  </si>
  <si>
    <t xml:space="preserve">الأقل من |عائد التأجير-تكلفة التمويل| أو 2.25% من متوسط الأصول المدرة</t>
  </si>
  <si>
    <t xml:space="preserve">SC</t>
  </si>
  <si>
    <t xml:space="preserve">Regulatory Capital Plan row 22</t>
  </si>
  <si>
    <t xml:space="preserve">الأكبر من إيرادات الخدمات أو مصروفات العاملين والتشغيل</t>
  </si>
  <si>
    <t xml:space="preserve">RWA التشغيلي</t>
  </si>
  <si>
    <t xml:space="preserve">Regulatory Capital Plan row 28</t>
  </si>
  <si>
    <t xml:space="preserve">BI × معامل الشريحة التخطيطي (الحالة الأساسية حاليا 12%) × ILM × 12.5</t>
  </si>
  <si>
    <t xml:space="preserve">CAR</t>
  </si>
  <si>
    <t xml:space="preserve">Regulatory Capital Plan row 31</t>
  </si>
  <si>
    <t xml:space="preserve">القاعدة الرأسمالية بعد الخصومات ÷ إجمالي RWA</t>
  </si>
  <si>
    <t xml:space="preserve">حد أدنى 12%</t>
  </si>
  <si>
    <t xml:space="preserve">Funding &amp; Liquidity row 21</t>
  </si>
  <si>
    <t xml:space="preserve">الأصول السائلة ÷ صافي تدفقات 30 يوما مع سقف تدفقات داخلة 90%</t>
  </si>
  <si>
    <t xml:space="preserve">السيولة قصيرة الأجل</t>
  </si>
  <si>
    <t xml:space="preserve">Funding &amp; Liquidity row 35</t>
  </si>
  <si>
    <t xml:space="preserve">ASF ÷ RSF وفق أوزان الاستحقاق</t>
  </si>
  <si>
    <t xml:space="preserve">التمويل المستقر</t>
  </si>
  <si>
    <t xml:space="preserve">حد العميل</t>
  </si>
  <si>
    <t xml:space="preserve">Regulatory Capital Plan row 36</t>
  </si>
  <si>
    <t xml:space="preserve">30% من القاعدة الرأسمالية</t>
  </si>
  <si>
    <t xml:space="preserve">التركز</t>
  </si>
  <si>
    <t xml:space="preserve">NPV</t>
  </si>
  <si>
    <t xml:space="preserve">Feasibility row 13</t>
  </si>
  <si>
    <t xml:space="preserve">مجموع التدفقات المخصومة للمساهمين</t>
  </si>
  <si>
    <t xml:space="preserve">قرار الاستثمار</t>
  </si>
  <si>
    <t xml:space="preserve">IRR</t>
  </si>
  <si>
    <t xml:space="preserve">Feasibility row 14</t>
  </si>
  <si>
    <t xml:space="preserve">IRR لتدفقات المساهمين</t>
  </si>
  <si>
    <t xml:space="preserve">Break Even row 18</t>
  </si>
  <si>
    <t xml:space="preserve">التكاليف الثابتة ÷ هامش المساهمة</t>
  </si>
  <si>
    <t xml:space="preserve">الجدوى التشغيلية</t>
  </si>
  <si>
    <t xml:space="preserve">الحساسية والسيناريوهات</t>
  </si>
  <si>
    <t xml:space="preserve">Sensitivity / Scenarios</t>
  </si>
  <si>
    <t xml:space="preserve">تغير المنح والعائد والتكلفة والخسائر والمصروفات</t>
  </si>
  <si>
    <t xml:space="preserve">اختبار التحمل</t>
  </si>
  <si>
    <t xml:space="preserve">Staff rows 4-21 / Assumptions rows 34, 36, 64-65, 85</t>
  </si>
  <si>
    <t xml:space="preserve">الراتب الأساسي × العدد × 12 × الزيادة السنوية + بند حوافز متغير يكمل موازنة العاملين المعتمدة؛ الصرف الفعلي يخضع لمؤشرات الأداء</t>
  </si>
  <si>
    <t xml:space="preserve">مطابقة عدد وتكلفة العاملين</t>
  </si>
  <si>
    <t xml:space="preserve">خطة القاعدة الرأسمالية وكفاية رأس المال</t>
  </si>
  <si>
    <t xml:space="preserve">رأس المال المدفوع</t>
  </si>
  <si>
    <t xml:space="preserve">الأصول غير الملموسة المقدرة</t>
  </si>
  <si>
    <t xml:space="preserve">الخصومات الرقابية - افتراض متحفظ 100%</t>
  </si>
  <si>
    <t xml:space="preserve">القاعدة الرأسمالية بعد الخصومات</t>
  </si>
  <si>
    <t xml:space="preserve">الدين البنكي</t>
  </si>
  <si>
    <t xml:space="preserve">الرافعة المالية (المقام: صافي حقوق الملكية قبل خصومات CAR في مرحلة 4x؛ القاعدة الرأسمالية بعد الخصومات في مرحلة 9x)</t>
  </si>
  <si>
    <t xml:space="preserve">السقف التنظيمي المتوقع في نهاية السنة حسب خطة الترخيص</t>
  </si>
  <si>
    <t xml:space="preserve">هامش الرافعة</t>
  </si>
  <si>
    <t xml:space="preserve">حالة الرافعة في السيناريو المتوقع</t>
  </si>
  <si>
    <t xml:space="preserve">الأصول المرجحة بالمخاطر</t>
  </si>
  <si>
    <t xml:space="preserve">RWA الائتماني - صافي محفظة التأجير 100%</t>
  </si>
  <si>
    <t xml:space="preserve">RWA أصول تشغيلية أخرى 100%</t>
  </si>
  <si>
    <t xml:space="preserve">ILDC: الأقل من مجمل الربح أو 2.25% من متوسط الأصول المدرة</t>
  </si>
  <si>
    <t xml:space="preserve">SC: الأكبر من إيرادات الخدمات أو المصروفات التشغيلية</t>
  </si>
  <si>
    <t xml:space="preserve">FC: المكون المالي</t>
  </si>
  <si>
    <t xml:space="preserve">مؤشر الأعمال BI</t>
  </si>
  <si>
    <t xml:space="preserve">معامل BI المستخدم في الحالة الأساسية - مشتق من شريحة BI التخطيطية (راجع Basel III صف 96)</t>
  </si>
  <si>
    <t xml:space="preserve">مضاعف الخسارة الداخلية - افتراض</t>
  </si>
  <si>
    <t xml:space="preserve">مضاعف التحويل إلى RWA</t>
  </si>
  <si>
    <t xml:space="preserve">RWA مخاطر التشغيل</t>
  </si>
  <si>
    <t xml:space="preserve">RWA مخاطر السوق</t>
  </si>
  <si>
    <t xml:space="preserve">إجمالي RWA</t>
  </si>
  <si>
    <t xml:space="preserve">كفاية رأس المال CAR - تقدير تخطيطي</t>
  </si>
  <si>
    <t xml:space="preserve">فائض/(فجوة) رأس المال</t>
  </si>
  <si>
    <t xml:space="preserve">حالة CAR الرقابية النهائية</t>
  </si>
  <si>
    <t xml:space="preserve">استرشادي - يتطلب اعتماد سجل الأصول/الخصومات ومعامل BI/ILM وبيانات السوق</t>
  </si>
  <si>
    <t xml:space="preserve">التركز الائتماني</t>
  </si>
  <si>
    <t xml:space="preserve">حد العميل الواحد والأطراف المرتبطة 30%</t>
  </si>
  <si>
    <t xml:space="preserve">حد داخلي استرشادي 25% من القاعدة الرأسمالية</t>
  </si>
  <si>
    <t xml:space="preserve">أكبر تعرض فعلي لعميل/أطراف مرتبطة</t>
  </si>
  <si>
    <t xml:space="preserve">بيانات تشغيلية مطلوبة</t>
  </si>
  <si>
    <t xml:space="preserve">حالة التركز - اختبار 30%</t>
  </si>
  <si>
    <t xml:space="preserve">افتراضات رقابية تخطيطية: وزن 100% لصافي محفظة التأجير والأصول التشغيلية؛ الخصم الحالي للأصول غير الملموسة Proxy مؤقت لحين سجل الأصول؛ معامل BI مشتق من شريحة BI التخطيطية في Basel III مع حساسية 15%/18%؛ ILM=1 مؤقتا لعدم وجود سجل خسائر؛ وRWA السوقية = صفر فقط مع افتراض عدم وجود محفظة تداول. لذلك CAR استرشادي وليس إقرار امتثال نهائيا.</t>
  </si>
  <si>
    <t xml:space="preserve">شرائح رأس المال التنظيمي واحتياطيات رأس المال (وفق قرار 137/2025)</t>
  </si>
  <si>
    <t xml:space="preserve">الشريحة الأولى الأساسية CET1 (= القاعدة بعد الخصومات؛ لا توجد أدوات AT1 مؤهلة)</t>
  </si>
  <si>
    <t xml:space="preserve">+ الشريحة الأولى الإضافية AT1 (لا توجد أدوات مؤهلة حاليا)</t>
  </si>
  <si>
    <t xml:space="preserve">إجمالي الشريحة الأولى</t>
  </si>
  <si>
    <t xml:space="preserve">+ الشريحة الثانية Tier 2 (دين تابع مؤهل - غير موجود حاليا)</t>
  </si>
  <si>
    <t xml:space="preserve">إجمالي القاعدة الرأسمالية التنظيمية</t>
  </si>
  <si>
    <t xml:space="preserve">نسبة الشريحة الأولى الأساسية CET1</t>
  </si>
  <si>
    <t xml:space="preserve">نسبة الشريحة الأولى Tier 1</t>
  </si>
  <si>
    <t xml:space="preserve">كفاية رأس المال الإجمالية CAR (تكرار من الصف 31 للمقارنة)</t>
  </si>
  <si>
    <t xml:space="preserve">الحد الأدنى الأساسي (Pillar 1)</t>
  </si>
  <si>
    <t xml:space="preserve">+ احتياطي حماية رأس المال 2.5%</t>
  </si>
  <si>
    <t xml:space="preserve">+ الاحتياطي المعاكس للدورة الاقتصادية (0%-2.5%، يحدده مجلس إدارة الهيئة - لم يصدر تحديد بعد)</t>
  </si>
  <si>
    <t xml:space="preserve">الحد الأدنى الشامل للاحتياطيات</t>
  </si>
  <si>
    <t xml:space="preserve">هامش/(فجوة) فوق الحد الشامل للاحتياطيات</t>
  </si>
  <si>
    <t xml:space="preserve">الحالة الشاملة للاحتياطيات - استرشادية</t>
  </si>
  <si>
    <t xml:space="preserve">ملاحظة: قرار 137/2025 يميز بين الشريحة الأولى (الأساسية) والشريحة الثانية (المساندة) واحتياطي حماية رأس المال 2.5% واحتياطي معاكس للدورة الاقتصادية 0%-2.5%؛ لا توجد لدى Flexy أدوات شريحة أولى إضافية (AT1) أو شريحة ثانية مؤهلة حاليا، فالشريحة الأولى الأساسية تساوي إجمالي رأس المال بعد الخصومات. قيمة الاحتياطي المعاكس للدورة الاقتصادية الفعلية تحددها الهيئة دوريا ولم تصدر بعد؛ استخدمت صفر مؤقتا.</t>
  </si>
  <si>
    <t xml:space="preserve">جدول خصم الأصول غير الملموسة التفصيلي (بانتظار سجل الأصول الثابتة المعتمد)</t>
  </si>
  <si>
    <t xml:space="preserve">الفئة</t>
  </si>
  <si>
    <t xml:space="preserve">أجهزة وأثاث — ملموس، غير مقتطع</t>
  </si>
  <si>
    <t xml:space="preserve">برمجيات جاهزة (تراخيص استخدام) — غير ملموس، يقتطع</t>
  </si>
  <si>
    <t xml:space="preserve">تطوير المنصة (برمجة داخلية/خارجية) — غير ملموس، يقتطع</t>
  </si>
  <si>
    <t xml:space="preserve">التراخيص والتصاريح — غير ملموس، يقتطع</t>
  </si>
  <si>
    <t xml:space="preserve">مصروفات التأسيس — غير ملموس، يقتطع ما لم يعتمد خلاف ذلك</t>
  </si>
  <si>
    <t xml:space="preserve">ملاحظة: بانتظار سجل الأصول الثابتة وغير الملموسة المعتمد وتأكيد مراقب الحسابات، يفترض النموذج مؤقتا أن 60% من صافي الأصول الثابتة/غير الملموسة تمثل أصولا غير ملموسة، ثم يخصم هذا الرصيد المقدر بالكامل بصورة متحفظة لأغراض CAR. هذا أكثر تحفظا من جدول الخصم الانتقالي الوارد بالقرار 137/2025، وسيستبدل بالتفصيل الفعلي ونسبة الخصم القانونية لكل فئة عند اعتماد سجل الأصول. Pending fixed-asset register and auditor validation.</t>
  </si>
  <si>
    <t xml:space="preserve">أصول ملموسة أخرى — ملموس، غير مقتطع</t>
  </si>
  <si>
    <t xml:space="preserve">إجمالي الخصم التفصيلي (يستكمل عند توافر السجل)</t>
  </si>
  <si>
    <t xml:space="preserve">ملاحظة: بانتظار سجل الأصول الثابتة والاستثمارات المعتمد وتأكيد مراقب الحسابات، يستمر النموذج باستخدام الافتراض المتحفظ الحالي (خصم 60% من صافي الأصول الثابتة وغير الملموسة إجمالا - الصفوف 8-9 أعلاه) بدلا من هذا التفصيل الصفري مؤقتا؛ يجب استبدال هذا الافتراض بالتفصيل الفعلي عند اعتماد السجل وإعادة احتساب القاعدة الرأسمالية. Pending fixed-asset register and auditor validation.</t>
  </si>
  <si>
    <t xml:space="preserve">قياس معالجة فجوة سقف الاقتراض (خفض الدين أو زيادة القاعدة الرأسمالية)</t>
  </si>
  <si>
    <t xml:space="preserve">خفض الدين المطلوب للالتزام بالسقف الساري = MAX(0، الدين القائم - السقف الساري × المقام الصحيح لكل مرحلة)</t>
  </si>
  <si>
    <t xml:space="preserve">الزيادة المطلوبة في القاعدة الرأسمالية بديلا عن خفض الدين = MAX(0، الدين القائم ÷ السقف الساري - المقام الصحيح لكل مرحلة)</t>
  </si>
  <si>
    <t xml:space="preserve">ملاحظة: القيمتان أعلاه بديلتان لبعضهما (تنفيذ أي منهما كاف لإغلاق فجوة الرافعة في السنة المعنية)، وتحسبان بالسقف الساري الفعلي لكل سنة (4× افتراضيا حتى تأكيد صدور الترخيص النهائي فعليا، أو 9× بعده) وليس برقم ثابت. راجع أيضا ورقتي Scenario - Slower Year 2 وScenario - Standby Capital كأداتين عمليتين لتنفيذ أي من الخيارين.</t>
  </si>
  <si>
    <t xml:space="preserve">خطة التمويل والسيولة</t>
  </si>
  <si>
    <t xml:space="preserve">مصادر التمويل وتكلفته</t>
  </si>
  <si>
    <t xml:space="preserve">حد التسهيلات البنكية</t>
  </si>
  <si>
    <t xml:space="preserve">رصيد الدين الختامي</t>
  </si>
  <si>
    <t xml:space="preserve">السحوبات البنكية الإجمالية</t>
  </si>
  <si>
    <t xml:space="preserve">تكلفة الاقتراض</t>
  </si>
  <si>
    <t xml:space="preserve">العمر المرجح - سنة</t>
  </si>
  <si>
    <t xml:space="preserve">نسبة تسهيل دوار</t>
  </si>
  <si>
    <t xml:space="preserve">نسبة تمويل متوسط الأجل</t>
  </si>
  <si>
    <t xml:space="preserve">خدمة الدين السنوية</t>
  </si>
  <si>
    <t xml:space="preserve">صافي السحب/(السداد) البنكي</t>
  </si>
  <si>
    <t xml:space="preserve">اختبار تغطية السيولة لمدة 30 يوما</t>
  </si>
  <si>
    <t xml:space="preserve">الأصول السائلة عالية الجودة</t>
  </si>
  <si>
    <t xml:space="preserve">تدفقات نقدية خارجة خلال 30 يوما</t>
  </si>
  <si>
    <t xml:space="preserve">تدفقات نقدية داخلة خلال 30 يوما</t>
  </si>
  <si>
    <t xml:space="preserve">الحد الأقصى للاعتداد بالتدفقات الداخلة 90% (وفق النص النهائي لقرار 137/2025)</t>
  </si>
  <si>
    <t xml:space="preserve">صافي التدفقات الخارجة</t>
  </si>
  <si>
    <t xml:space="preserve">نسبة تغطية السيولة LCR - تقدير 30 يوما تخطيطي</t>
  </si>
  <si>
    <t xml:space="preserve">حالة LCR (ليست نتيجة رقابية نهائية دون آجال تعاقدية فعلية)</t>
  </si>
  <si>
    <t xml:space="preserve">نسبة صافي التمويل المستقر</t>
  </si>
  <si>
    <t xml:space="preserve">القاعدة الرأسمالية لأغراض NSFR - وزن ASF 100% (قبل خصومات CAR-only)</t>
  </si>
  <si>
    <t xml:space="preserve">دين متبق ≥ سنة - وزن 100%</t>
  </si>
  <si>
    <t xml:space="preserve">دين 6-12 شهر - وزن 75%</t>
  </si>
  <si>
    <t xml:space="preserve">دين أقل من 6 أشهر - وزن 50%</t>
  </si>
  <si>
    <t xml:space="preserve">إجمالي التمويل المستقر المتاح ASF</t>
  </si>
  <si>
    <t xml:space="preserve">محفظة ≥ سنة - وزن 100%</t>
  </si>
  <si>
    <t xml:space="preserve">محفظة 6-12 شهر - وزن 75%</t>
  </si>
  <si>
    <t xml:space="preserve">محفظة أقل من 6 أشهر - وزن 50%</t>
  </si>
  <si>
    <t xml:space="preserve">الأصول التشغيلية - وزن 100%</t>
  </si>
  <si>
    <t xml:space="preserve">إجمالي التمويل المستقر المطلوب RSF</t>
  </si>
  <si>
    <t xml:space="preserve">نسبة صافي التمويل المستقر NSFR - تقدير تخطيطي</t>
  </si>
  <si>
    <t xml:space="preserve">حالة NSFR (ليست نتيجة رقابية نهائية دون جداول آجال فعلية)</t>
  </si>
  <si>
    <t xml:space="preserve">ملاحظة NSFR: وفق قرار 137/2025، خصومات CET1 المذكورة للأصول غير الملموسة وغيرها مخصصة لحساب كفاية رأس المال؛ لذلك يستخدم ASF هنا القاعدة الرأسمالية قبل خصومات CAR-only. تبقى أوزان آجال الدين والمحفظة تخطيطية لحين ورود الجداول التعاقدية الفعلية. المصدر: https://fra.gov.eg/wp-content/uploads/2025/08/alamiria_2025_137.pdf</t>
  </si>
  <si>
    <t xml:space="preserve">مفاضلة مصادر التمويل</t>
  </si>
  <si>
    <t xml:space="preserve">الوزن</t>
  </si>
  <si>
    <t xml:space="preserve">التوريق بعد التشغيل</t>
  </si>
  <si>
    <t xml:space="preserve">آلية الاختيار</t>
  </si>
  <si>
    <t xml:space="preserve">التكلفة الإجمالية</t>
  </si>
  <si>
    <t xml:space="preserve">الأقل تكلفة بعد الرسوم والتحوط</t>
  </si>
  <si>
    <t xml:space="preserve">مطابقة الأجل</t>
  </si>
  <si>
    <t xml:space="preserve">مطابقة عمر الالتزام بعمر العقد</t>
  </si>
  <si>
    <t xml:space="preserve">مرونة السحب والسداد</t>
  </si>
  <si>
    <t xml:space="preserve">السحب حسب المنح والسداد من التحصيلات</t>
  </si>
  <si>
    <t xml:space="preserve">الضمانات والتعهدات</t>
  </si>
  <si>
    <t xml:space="preserve">أقل قيود مع الحفاظ على الامتثال</t>
  </si>
  <si>
    <t xml:space="preserve">البنوك المستهدفة مبدئيا: بنك مصر، البنك الأهلي المصري، بنك أبوظبي الأول، تنمية الصادرات وجهاز تنمية المشروعات. لا توجد عروض ملزمة حتى تاريخ إعداد الخطة؛ كل الحدود والأسعار والآجال افتراضات تخطيطية.</t>
  </si>
  <si>
    <t xml:space="preserve">اختبار الرافعة الشهري خلال Year 2 - السقف الساري 4x من صافي حقوق الملكية طوال الاثني عشر شهرا بالكامل (المرحلة المؤقتة قبل الترخيص النهائي وفق قرار 268/2023)</t>
  </si>
  <si>
    <t xml:space="preserve">Planning Period</t>
  </si>
  <si>
    <t xml:space="preserve">رأس المال المدفوع التراكمي</t>
  </si>
  <si>
    <t xml:space="preserve">منه: الاحتياطي القانوني المؤهل (توزيع مؤقت خطي)</t>
  </si>
  <si>
    <t xml:space="preserve">معلومة فقط: خصومات CAR التقديرية للأصول غير الملموسة — لا تخصم من صافي حقوق الملكية لاختبار 4× بقرار 268/2023</t>
  </si>
  <si>
    <t xml:space="preserve">صافي حقوق الملكية لاختبار قرار 268/2023 = رأس المال المدفوع + الأرباح/(الخسائر) التراكمية</t>
  </si>
  <si>
    <t xml:space="preserve">إجمالي القروض والتمويلات الخاضعة للسقف</t>
  </si>
  <si>
    <t xml:space="preserve">مضاعف الرافعة</t>
  </si>
  <si>
    <t xml:space="preserve">السقف الساري</t>
  </si>
  <si>
    <t xml:space="preserve">هامش الأمان/(الفجوة)</t>
  </si>
  <si>
    <t xml:space="preserve">حالة الالتزام وفق سيناريو الترخيص المتوقع</t>
  </si>
  <si>
    <t xml:space="preserve">مقارنة نهاية Year 2: السيناريو الملزم مقابل سيناريو غير جائز قانونا - للايضاح فقط</t>
  </si>
  <si>
    <t xml:space="preserve">قاعدة القياس المستخدمة في نهاية Year 2</t>
  </si>
  <si>
    <t xml:space="preserve">إجمالي التمويل الخاضع للسقف</t>
  </si>
  <si>
    <t xml:space="preserve">السقف المطبق</t>
  </si>
  <si>
    <t xml:space="preserve">سيناريو غير جائز قانونا (توضيحي فقط): افتراض تطبيق 9x على القاعدة الرأسمالية التنظيمية خلال Year 2 رغم عدم جواز ذلك قبل صدور الترخيص النهائي فعليا</t>
  </si>
  <si>
    <t xml:space="preserve">السيناريو الملزم الفعلي: 4x من صافي حقوق الملكية يسري طوال Year 2 بالكامل وفق المادة الثالثة من قرار 268/2023</t>
  </si>
  <si>
    <t xml:space="preserve">ملاحظة: القاعدة الملزمة طوال Year 1 وYear 2 هي 4x من صافي حقوق الملكية بصرف النظر عن الموعد المستهدف للترخيص. ارقام Year 2 المعتمدة بالخطة التجارية تؤدي فعليا الى مضاعف رافعة اعلى من 4x كما يظهر بالسيناريو الملزم اعلاه؛ راجع Regulatory Capital Plan صفوف 76-78 وScenario - Slower Year 2 وScenario - Standby Capital لمعالجة الفجوة دون تغيير ارقام الخطة التجارية المعتمدة.</t>
  </si>
  <si>
    <t xml:space="preserve">سلم 30 يوما التخطيطي لـ LCR (يستخدم أفضل بيانات متاحة؛ بعض البنود متوسط شهري = الرقم السنوي ÷ 12 لحين ورود الاستحقاقات التعاقدية)</t>
  </si>
  <si>
    <t xml:space="preserve">نقدية وما في حكمها</t>
  </si>
  <si>
    <t xml:space="preserve">ودائع بنكية مؤهلة (لا توجد حاليا)</t>
  </si>
  <si>
    <t xml:space="preserve">أذون/سندات خزانة مؤهلة (لا توجد حاليا)</t>
  </si>
  <si>
    <t xml:space="preserve">إجمالي الأصول السائلة عالية الجودة HQLA</t>
  </si>
  <si>
    <t xml:space="preserve">تحصيلات مقدرة خلال 30 يوما (متوسط شهري من الخطة السنوية لحين جدول التحصيل التعاقدي)</t>
  </si>
  <si>
    <t xml:space="preserve">سداد أصل الدين المقدر خلال 30 يوما (متوسط شهري من الخطة السنوية)</t>
  </si>
  <si>
    <t xml:space="preserve">تكلفة التمويل المقدرة خلال 30 يوما (متوسط شهري من الخطة السنوية)</t>
  </si>
  <si>
    <t xml:space="preserve">مصروفات تشغيلية مقدرة خلال 30 يوما (متوسط شهري من الخطة السنوية)</t>
  </si>
  <si>
    <t xml:space="preserve">التزامات تعاقدية أخرى (سحوبات دين قصير الأجل متوقعة)</t>
  </si>
  <si>
    <t xml:space="preserve">إجمالي التدفقات الخارجة التعاقدية قبل الضغط</t>
  </si>
  <si>
    <t xml:space="preserve">إضافة ضغط احترازي إضافي (حاليا صفر - بانتظار سياسة رسمية)</t>
  </si>
  <si>
    <t xml:space="preserve">إجمالي التدفقات الخارجة الإجمالية</t>
  </si>
  <si>
    <t xml:space="preserve">التدفقات الداخلة المؤهلة الفعلية</t>
  </si>
  <si>
    <t xml:space="preserve">سقف الاعتداد بالتدفقات الداخلة 90% (وفق النص النهائي لقرار 137/2025)</t>
  </si>
  <si>
    <t xml:space="preserve">نسبة تغطية السيولة LCR (من التفصيل)</t>
  </si>
  <si>
    <t xml:space="preserve">مطابقة مع الملخص أعلاه (يجب أن تساوي صفرا)</t>
  </si>
  <si>
    <t xml:space="preserve">ملاحظة: حساب LCR الحالي Proxy تخطيطي. النقدية مأخوذة من الرصيد الختامي، بينما التحصيلات وسداد أصل الدين وتكلفة التمويل والمصروفات تقرب إلى متوسط 30 يوما من الخطة السنوية عند غياب جدول تعاقدي أدق. لا يجوز اعتباره LCR رقابيا نهائيا قبل استبدال هذه التقديرات بعقود البنك وجدول تحصيل العقود الفعلي.</t>
  </si>
  <si>
    <t xml:space="preserve">سلم استحقاق صافي التمويل المستقر التفصيلي - Year 2 كمثال (يدعم صفوف 25-35 أعلاه)</t>
  </si>
  <si>
    <t xml:space="preserve">القيمة الدفترية</t>
  </si>
  <si>
    <t xml:space="preserve">الأجل المتبقي</t>
  </si>
  <si>
    <t xml:space="preserve">معامل ASF/RSF</t>
  </si>
  <si>
    <t xml:space="preserve">القيمة المرجحة</t>
  </si>
  <si>
    <t xml:space="preserve">مصدر البيانات</t>
  </si>
  <si>
    <t xml:space="preserve">فعلي/تخطيطي</t>
  </si>
  <si>
    <t xml:space="preserve">القاعدة الرأسمالية</t>
  </si>
  <si>
    <t xml:space="preserve">&gt;= سنة</t>
  </si>
  <si>
    <t xml:space="preserve">Regulatory Capital Plan!C7</t>
  </si>
  <si>
    <t xml:space="preserve">تخطيطي محسوب من النموذج</t>
  </si>
  <si>
    <t xml:space="preserve">دين بنكي متبق سنة فأكثر</t>
  </si>
  <si>
    <t xml:space="preserve">Assumptions!C102 (نسبة تخطيطية)</t>
  </si>
  <si>
    <t xml:space="preserve">تخطيطي</t>
  </si>
  <si>
    <t xml:space="preserve">دين بنكي 6-12 شهر</t>
  </si>
  <si>
    <t xml:space="preserve">6-12 شهر</t>
  </si>
  <si>
    <t xml:space="preserve">افتراض تخطيطي 10%</t>
  </si>
  <si>
    <t xml:space="preserve">دين بنكي أقل من 6 أشهر</t>
  </si>
  <si>
    <t xml:space="preserve">&lt;6 أشهر</t>
  </si>
  <si>
    <t xml:space="preserve">افتراض تخطيطي (المتبقي)</t>
  </si>
  <si>
    <t xml:space="preserve">التزامات تشغيلية وتمويل مؤجل</t>
  </si>
  <si>
    <t xml:space="preserve">&lt;6 أشهر (افتراض)</t>
  </si>
  <si>
    <t xml:space="preserve">محفظة تأجير متبقية سنة فأكثر</t>
  </si>
  <si>
    <t xml:space="preserve">&gt;= سنة (افتراض)</t>
  </si>
  <si>
    <t xml:space="preserve">افتراض تخطيطي 70% (Sources A07)</t>
  </si>
  <si>
    <t xml:space="preserve">محفظة تأجير 6-12 شهر</t>
  </si>
  <si>
    <t xml:space="preserve">6-12 شهر (افتراض)</t>
  </si>
  <si>
    <t xml:space="preserve">افتراض تخطيطي 20%</t>
  </si>
  <si>
    <t xml:space="preserve">محفظة تأجير أقل من 6 أشهر</t>
  </si>
  <si>
    <t xml:space="preserve">أصول تشغيلية أخرى</t>
  </si>
  <si>
    <t xml:space="preserve">NSFR (من التفصيل)</t>
  </si>
  <si>
    <t xml:space="preserve">ملاحظة: معاملات ASF/RSF (100%/75%/50%) ونسب توزيع الآجال (70%/20%/10% وما شابه) لا تزال افتراضات تخطيطية موثقة في Sources A07 لعدم توافر عقود بنكية ملزمة وجدول استحقاق محفظة فعلي بعد. يجب تحديث هذا الجدول وإعادة احتساب NSFR عند ورود البيانات التعاقدية الفعلية.</t>
  </si>
  <si>
    <t xml:space="preserve">سيناريو: تباطؤ نمو Year 2</t>
  </si>
  <si>
    <t xml:space="preserve">الخطة الأصلية Year 2</t>
  </si>
  <si>
    <t xml:space="preserve">السيناريو المعدل</t>
  </si>
  <si>
    <t xml:space="preserve">ملاحظة</t>
  </si>
  <si>
    <t xml:space="preserve">معامل تباطؤ النمو - نسبة من الخطة الأصلية (يطبق معا على المنح والتحصيلات والتمويل)</t>
  </si>
  <si>
    <t xml:space="preserve">خلية زرقاء قابلة للتعديل - جرب أي نسبة</t>
  </si>
  <si>
    <t xml:space="preserve">مؤشرات النشاط والتمويل المرتبط بها</t>
  </si>
  <si>
    <t xml:space="preserve">عدد العقود التقديري</t>
  </si>
  <si>
    <t xml:space="preserve">رصيد المحفظة الإيجارية الختامي</t>
  </si>
  <si>
    <t xml:space="preserve">رصيد Year 1 + (الإضافة الأصلية × المعامل)</t>
  </si>
  <si>
    <t xml:space="preserve">رصيد الدين البنكي الختامي</t>
  </si>
  <si>
    <t xml:space="preserve">يتحرك مع نفس معامل التمويل</t>
  </si>
  <si>
    <t xml:space="preserve">الإيرادات والمصروفات - Year 2</t>
  </si>
  <si>
    <t xml:space="preserve">إيرادات خدمات مساندة</t>
  </si>
  <si>
    <t xml:space="preserve">تكلفة العاملين (ثابتة)</t>
  </si>
  <si>
    <t xml:space="preserve">خطة توظيف ثابتة، لا تتأثر بالتباطؤ</t>
  </si>
  <si>
    <t xml:space="preserve">المصروفات الإدارية والتشغيلية (ثابتة)</t>
  </si>
  <si>
    <t xml:space="preserve">الإهلاك والاستهلاك (ثابت)</t>
  </si>
  <si>
    <t xml:space="preserve">صافي الربح بعد الضريبة؛ الضريبة في السيناريو = صفر لأن ربح ما قبل الضريبة المعدل لا يستنفد بالكامل خسائر Year 1 الضريبية المرحلة وفق افتراض التخطيط الحالي.</t>
  </si>
  <si>
    <t xml:space="preserve">القاعدة الرأسمالية والرافعة المالية</t>
  </si>
  <si>
    <t xml:space="preserve">رأس المال المدفوع (ثابت)</t>
  </si>
  <si>
    <t xml:space="preserve">خطة المساهمين تعاقدية وغير مرتبطة بسرعة النمو</t>
  </si>
  <si>
    <t xml:space="preserve">صافي حقوق الملكية لاختبار 4× وفق قرار 268/2023</t>
  </si>
  <si>
    <t xml:space="preserve">لا تخصم خصومات CAR-only من مقام اختبار 4×</t>
  </si>
  <si>
    <t xml:space="preserve">الرافعة المالية</t>
  </si>
  <si>
    <t xml:space="preserve">الدين ÷ صافي حقوق الملكية</t>
  </si>
  <si>
    <t xml:space="preserve">السقف المستخدم للمقارنة (تحفظي طوال Year 1-Year 2)</t>
  </si>
  <si>
    <t xml:space="preserve">راجع المذكرة عن تحفظ Year 2 في التقرير المرفق</t>
  </si>
  <si>
    <t xml:space="preserve">التدفقات النقدية والسيولة - Year 2</t>
  </si>
  <si>
    <t xml:space="preserve">النقدية أول Year 2 (إقفال Year 1)</t>
  </si>
  <si>
    <t xml:space="preserve">التدفق الاستثماري (ثابت)</t>
  </si>
  <si>
    <t xml:space="preserve">التدفق التمويلي</t>
  </si>
  <si>
    <t xml:space="preserve">يشمل السحب البنكي الجديد + دفعة رأس المال التعاقدية 45 مليون</t>
  </si>
  <si>
    <t xml:space="preserve">التدفقات الخارجة خلال 30 يوما</t>
  </si>
  <si>
    <t xml:space="preserve">التدفقات الداخلة المعتمدة (الأقل من الفعلي أو سقف 90% وفق قرار 137/2025)</t>
  </si>
  <si>
    <t xml:space="preserve">حالة LCR - استرشادية</t>
  </si>
  <si>
    <t xml:space="preserve">ملاحظة: يطبق معامل التباطؤ معا على المنح والتحصيلات والدين ورسوم الخدمات وعوائد التأجير، مع ثبات رأس المال وتكلفة العاملين والمصروفات الثابتة.</t>
  </si>
  <si>
    <t xml:space="preserve">ملاحظة السيناريو الحالي: معامل التباطؤ في C4 اختبار حساسية فقط. إذا بقيت النتيجة في الصف 29 «فجوة»، فلا يجوز وصف السيناريو كحل مكتمل؛ يلزم تباطؤ أكبر أو خفض دين/زيادة حقوق ملكية إضافية.</t>
  </si>
  <si>
    <t xml:space="preserve">أثر التباطؤ على كفاية رأس المال وصافي التمويل المستقر</t>
  </si>
  <si>
    <t xml:space="preserve">الأصول المرجحة بالمخاطر الائتمانية (100% من المحفظة المعدلة)</t>
  </si>
  <si>
    <t xml:space="preserve">الأصول المرجحة بمخاطر التشغيل (بدون تغيير - مرتبطة بمؤشر الأعمال الفعلي)</t>
  </si>
  <si>
    <t xml:space="preserve">لا يتأثر تناسبيا بنفس معامل التباطؤ</t>
  </si>
  <si>
    <t xml:space="preserve">إجمالي RWA المعدل</t>
  </si>
  <si>
    <t xml:space="preserve">كفاية رأس المال CAR المعدلة</t>
  </si>
  <si>
    <t xml:space="preserve">حالة CAR - استرشادية</t>
  </si>
  <si>
    <t xml:space="preserve">صافي التمويل المستقر NSFR المعدل (تقريبي - يستخدم نفس أوزان التفصيل في Funding &amp; Liquidity)</t>
  </si>
  <si>
    <t xml:space="preserve">حالة NSFR - استرشادية</t>
  </si>
  <si>
    <t xml:space="preserve">ملاحظة: كفاية رأس المال وNSFR كلاهما يتحسنان أو يبقيان مستقرين تحت سيناريو التباطؤ لأن المحفظة والدين ينخفضان معا بنفس النسبة تقريبا بينما رأس المال ثابت؛ الأثر الأهم يبقى على الرافعة والسيولة كما في الصفوف أعلاه.</t>
  </si>
  <si>
    <t xml:space="preserve">سيناريو: رأس مال احتياطي عند تأخر الترخيص</t>
  </si>
  <si>
    <t xml:space="preserve">بدون تفعيل السيناريو</t>
  </si>
  <si>
    <t xml:space="preserve">مع تفعيل السيناريو (تأخر الترخيص)</t>
  </si>
  <si>
    <t xml:space="preserve">تفعيل سيناريو تأخر الترخيص النهائي (المادتان 3/4 و4 من قرار 268/2023 - مدة أقصاها سنتان من تاريخ الترخيص المبدئي)</t>
  </si>
  <si>
    <t xml:space="preserve">خلية زرقاء: 1 = مفعل (سقف 4× يمتد إلى بداية Year 3)، 0 = غير مفعل (سقف 9× يبدأ خلال Year 2 وفق الموعد التخطيطي)</t>
  </si>
  <si>
    <t xml:space="preserve">أرصدة Year 2 كما في الخطة الأصلية</t>
  </si>
  <si>
    <t xml:space="preserve">رصيد الدين البنكي الختامي Year 2</t>
  </si>
  <si>
    <t xml:space="preserve">السيناريو لا يغير رصيد الدين، فقط القاعدة الرأسمالية</t>
  </si>
  <si>
    <t xml:space="preserve">قاعدة القياس قبل الضخ (9×: القاعدة الرأسمالية؛ 4× عند التأخير: صافي حقوق الملكية)</t>
  </si>
  <si>
    <t xml:space="preserve">قرار 268/2023 يستخدم صافي حقوق الملكية أثناء مرحلة 4×؛ خصومات CAR تخص حساب كفاية رأس المال</t>
  </si>
  <si>
    <t xml:space="preserve">السقف التنظيمي المطبق</t>
  </si>
  <si>
    <t xml:space="preserve">السقف الواجب التطبيق</t>
  </si>
  <si>
    <t xml:space="preserve">العمود الأيسر: افتراض ترخيص نهائي خلال Year 2 وفق الموعد المستهدف</t>
  </si>
  <si>
    <t xml:space="preserve">الرافعة المالية قبل الضخ</t>
  </si>
  <si>
    <t xml:space="preserve">يختلف مقام القياس حسب المرحلة: 9× يستخدم القاعدة الرأسمالية التخطيطية، و4× يستخدم صافي حقوق الملكية وفق قرار 268/2023</t>
  </si>
  <si>
    <t xml:space="preserve">حالة الرافعة قبل الضخ</t>
  </si>
  <si>
    <t xml:space="preserve">احتساب الحد الأدنى لضخ رأس المال الاحتياطي</t>
  </si>
  <si>
    <t xml:space="preserve">الحد الأدنى للقاعدة الرأسمالية اللازمة لتحقيق السقف</t>
  </si>
  <si>
    <t xml:space="preserve">= رصيد الدين ÷ السقف</t>
  </si>
  <si>
    <t xml:space="preserve">الفجوة الرأسمالية (إن وجدت)</t>
  </si>
  <si>
    <t xml:space="preserve">الحد الأدنى لمبلغ الضخ الاحتياطي (تلقائي - يغطي الفجوة بالضبط دون زيادة)</t>
  </si>
  <si>
    <t xml:space="preserve">مبلغ الضخ الاحتياطي المستخدم في السيناريو (تخطيطي وغير ملتزم)</t>
  </si>
  <si>
    <t xml:space="preserve">يساوي الحد الأدنى الحسابي لإغلاق فجوة 4×؛ يحتاج قرار مساهمين/حوكمة وتمويل فعلي</t>
  </si>
  <si>
    <t xml:space="preserve">بديل غير رأسمالي: خفض الدين المطلوب بدلا من الضخ لتحقيق 4×</t>
  </si>
  <si>
    <t xml:space="preserve">بديل مستقل عن الضخ: خفض رصيد الدين إلى 4× صافي حقوق الملكية؛ لا يجمع مع الضخ إلا بقرار إدارة صريح</t>
  </si>
  <si>
    <t xml:space="preserve">الوضع بعد الضخ</t>
  </si>
  <si>
    <t xml:space="preserve">القاعدة الرأسمالية بعد الضخ</t>
  </si>
  <si>
    <t xml:space="preserve">الرافعة المالية بعد الضخ</t>
  </si>
  <si>
    <t xml:space="preserve">حالة الرافعة بعد الضخ</t>
  </si>
  <si>
    <t xml:space="preserve">أثر الضخ على السيولة</t>
  </si>
  <si>
    <t xml:space="preserve">الأصول السائلة عالية الجودة قبل الضخ</t>
  </si>
  <si>
    <t xml:space="preserve">الأصول السائلة عالية الجودة بعد الضخ (نقد فعلي إضافي من المساهمين)</t>
  </si>
  <si>
    <t xml:space="preserve">صافي التدفقات النقدية الخارجة خلال 30 يوما (دون تغيير)</t>
  </si>
  <si>
    <t xml:space="preserve">نسبة تغطية السيولة LCR قبل الضخ</t>
  </si>
  <si>
    <t xml:space="preserve">نسبة تغطية السيولة LCR بعد الضخ</t>
  </si>
  <si>
    <t xml:space="preserve">الضخ نقدية فعلية من المساهمين، فيعزز السيولة بدلا من إضعافها</t>
  </si>
  <si>
    <t xml:space="preserve">حالة LCR بعد الضخ - استرشادية</t>
  </si>
  <si>
    <t xml:space="preserve">ملاحظة: هذا سيناريو احترازي فقط عند تأخر الترخيص. مبلغ الضخ المحسوب ليس التزاما قائما، ويجب اعتماده وتمويله فعليا قبل استخدامه كمعالجة للرافعة.</t>
  </si>
  <si>
    <t xml:space="preserve">عند تفعيل السيناريو، يحسب النموذج تلقائيا الحد الأدنى النظري للضخ الذي يعيد الرافعة إلى 4×. أي مبلغ أقل يبقي فجوة الرافعة قائمة؛ أثر LCR/CAR يظل استرشاديا.</t>
  </si>
  <si>
    <t xml:space="preserve">أثر الضخ على كفاية رأس المال</t>
  </si>
  <si>
    <t xml:space="preserve">كفاية رأس المال قبل الضخ</t>
  </si>
  <si>
    <t xml:space="preserve">كفاية رأس المال بعد الضخ</t>
  </si>
  <si>
    <t xml:space="preserve">حالة CAR بعد الضخ - استرشادية</t>
  </si>
  <si>
    <t xml:space="preserve">هل يتطلب الضخ تعديل رأس المال المرخص به/المصدر؟</t>
  </si>
  <si>
    <t xml:space="preserve">نعم إذا كان رأس المال المصدر والمدفوع قد بلغ بالفعل 75,000,000 جنيه كما في الخطة الأساسية: أي ضخ رأسمالي إضافي يتجاوز السقف الحالي يحتاج أولا إلى الإجراءات القانونية/الجمعية العامة اللازمة لزيادة رأس المال المرخص/المصدر حسب مستندات الشركة واعتماد المستشار القانوني/FRA. لا يعامل مبلغ السيناريو كتمويل ملتزم قبل ذلك.</t>
  </si>
  <si>
    <t xml:space="preserve">رد شركة فليكسي على ملاحظات الهيئة العامة للرقابة المالية على دراسة الجدوى</t>
  </si>
  <si>
    <t xml:space="preserve">#</t>
  </si>
  <si>
    <t xml:space="preserve">الملاحظة كما وردت في خطاب الهيئة</t>
  </si>
  <si>
    <t xml:space="preserve">الرد والافتراض المستخدم</t>
  </si>
  <si>
    <t xml:space="preserve">المرجع - اضغط للانتقال</t>
  </si>
  <si>
    <t xml:space="preserve">أولا: دراسة الجدوى المالية - القوائم التقديرية وأسس الاحتساب</t>
  </si>
  <si>
    <t xml:space="preserve">إعداد قائمة الدخل التقديرية للشركة لمدة خمس سنوات، مع توضيح أسس ومنهجية احتساب كافة البنود الواردة بها.</t>
  </si>
  <si>
    <t xml:space="preserve">معدة بالكامل لخمس سنوات (Year 1-Year 5) في ورقة Income Statement، مبنية على الافتراضات الصريحة في ورقة Assumptions.</t>
  </si>
  <si>
    <t xml:space="preserve">إعداد قائمة المركز المالي التقديرية للشركة لمدة خمس سنوات.</t>
  </si>
  <si>
    <t xml:space="preserve">معدة سنويا لخمس سنوات في ورقة Balance Sheet، مع فحص توازن آلي في ورقة Checks يؤكد تطابق الأصول مع الخصوم وحقوق الملكية كل سنة.</t>
  </si>
  <si>
    <t xml:space="preserve">إعداد قائمة التدفقات النقدية التقديرية للشركة لمدة خمس سنوات.</t>
  </si>
  <si>
    <t xml:space="preserve">معدة سنويا لخمس سنوات في ورقة Cash Flow (تشغيلي، استثماري، تمويلي)، مع ربط آلي لرصيد النقدية الختامي بالميزانية.</t>
  </si>
  <si>
    <t xml:space="preserve">توضيح أساس احتساب الإيرادات المتوقعة.</t>
  </si>
  <si>
    <t xml:space="preserve">ثلاثة مكونات موضحة كافتراضات في ورقة Assumptions: عائد العميل، رسوم الخدمات الإدارية، والإيرادات المساندة. خطة المنح الشهرية والربع سنوية القائدة لها مفصلة في ورقة Originations.</t>
  </si>
  <si>
    <t xml:space="preserve">توضيح أساس احتساب التكاليف المتوقعة.</t>
  </si>
  <si>
    <t xml:space="preserve">التكلفتان الرئيسيتان (تكلفة التمويل البنكي، ومخصص الخسائر الائتمانية) موضحتان كافتراضين في ورقة Assumptions، وتنعكسان تلقائيا في قائمة الدخل.</t>
  </si>
  <si>
    <t xml:space="preserve">توضيح أساس احتساب المصروفات الإدارية والعمومية.</t>
  </si>
  <si>
    <t xml:space="preserve">مفصلة بندا ببند (تقنية، تسويق، إيجارات وغيرها) في ورقة Opex، وتجمع تلقائيا في قائمة الدخل.</t>
  </si>
  <si>
    <t xml:space="preserve">إعداد تقديرات المرتبات والأجور وفقا للهيكل التنظيمي المقترح للشركة، على أساس سنوي لمدة خمس سنوات، وليس على أساس شهري كما ورد بالدراسة الحالية.</t>
  </si>
  <si>
    <t xml:space="preserve">أعيد بناؤها على أساس سنوي لخمس سنوات في ورقة Staff: كل وظيفة بالهيكل التنظيمي، الراتب الأساسي، والعدد والتكلفة سنويا حتى نهاية Year 5، بما يطابق كشف الرواتب المرفق من الشركة.</t>
  </si>
  <si>
    <t xml:space="preserve">استكمال البيانات التالية</t>
  </si>
  <si>
    <t xml:space="preserve">تحديد رأس المال المرخص به ورأس المال المصدر.</t>
  </si>
  <si>
    <t xml:space="preserve">وفق الافتراض الإداري الحالي في النموذج: رأس المال المرخص/المصدر المستهدف 75,000,000 جنيه، والمدفوع يرتفع من 15 إلى 75 مليون جنيه خلال Year 2 وفق جدول Capital. يبقى وصف رأس المال المرخص والمصدر خاضعا للتوثيق النهائي بعقد التأسيس/السجل التجاري كما هو موضح في Regulatory Data Requirements.</t>
  </si>
  <si>
    <t xml:space="preserve">تحديد إجمالي عدد الأسهم.</t>
  </si>
  <si>
    <t xml:space="preserve">وفق افتراض القيمة الاسمية الحالية (1 جنيه للسهم) وخطة رأس المال المستهدفة، يعرض النموذج 75,000,000 سهم عند اكتمال رأس المال. العدد النهائي وحالة الإصدار/السداد يخضعان لاعتماد عقد التأسيس والسجل التجاري؛ راجع Sources A02 وRegulatory Data Requirements.</t>
  </si>
  <si>
    <t xml:space="preserve">تحديد القيمة الاسمية للسهم.</t>
  </si>
  <si>
    <t xml:space="preserve">جنيه مصري واحد للسهم؛ افتراض أولي لحين اعتماد عقد التأسيس (موثق في Sources كافتراض A02).</t>
  </si>
  <si>
    <t xml:space="preserve">تحديد مصادر التمويل وحجم وعمر القروض المقترحة.</t>
  </si>
  <si>
    <t xml:space="preserve">ثلاثة بدائل موضحة بالحجم والعمر والتسعير في جدول "بدائل التمويل" بورقة Feasibility (تسهيل دوار، تمويل متوسط الأجل، توريق مستقبلي)، والسحب الفعلي المخطط في Assumptions وFunding &amp; Liquidity.</t>
  </si>
  <si>
    <t xml:space="preserve">حساب تكلفة الاقتراض والقسط السنوي، لاستخدامهما ضمن الدراسة المالية وإجراء المفاضلة بين البدائل التمويلية.</t>
  </si>
  <si>
    <t xml:space="preserve">موضحة كافتراض في Assumptions، وتستخدم لحساب خدمة الدين في Funding &amp; Liquidity، وتكلفة الدين بعد الضريبة وWACC في Feasibility.</t>
  </si>
  <si>
    <t xml:space="preserve">تحديد معايير المفاضلة بين مصادر التمويل المختلفة، وفقا لاحتياجات الشركة وقدرتها على السداد.</t>
  </si>
  <si>
    <t xml:space="preserve">جدول "مفاضلة مصادر التمويل" في Funding &amp; Liquidity يقارن البدائل الثلاثة وفق أربعة معايير موزونة: التكلفة (35%)، مطابقة الأجل (30%)، المرونة (20%)، الضمانات (15%).</t>
  </si>
  <si>
    <t xml:space="preserve">إعداد الجدول الزمني المقترح لسداد رأس مال الشركة.</t>
  </si>
  <si>
    <t xml:space="preserve">جدول تحصيل رأس المال من المساهمين (لا سداد قرض) على دفعات ربع سنوية تبدأ قبل Year 1 وتستكمل خلال Year 2 حتى بلوغ 75 مليون جنيه، في ورقة Capital.</t>
  </si>
  <si>
    <t xml:space="preserve">تحديد الخطة الاستثمارية للشركة، متضمنة بيانا تفصيليا بالاستثمارات المقدرة خلال السنوات الخمس القادمة، موزعة على قنوات الاستثمار المختلفة.</t>
  </si>
  <si>
    <t xml:space="preserve">خطة تفصيلية لخمس سنوات على ستة قنوات (منصة التأجير، الأمن السيبراني، معدات المركز الرئيسي، مكاتب التوقيع، تراخيص وبرمجيات، مخزن الأصول المستردة) في ورقة Investments.</t>
  </si>
  <si>
    <t xml:space="preserve">تحديد حجم عمليات التمويل المتوقع منحها بشكل ربع سنوي، مع بيان الافتراضات والأسس المستخدمة في تقدير تلك العمليات.</t>
  </si>
  <si>
    <t xml:space="preserve">خطة شهرية وربع سنوية كاملة لستين شهرا في ورقة Originations، مبنية على توزيع موسمي لحجم المنح السنوي في Assumptions.</t>
  </si>
  <si>
    <t xml:space="preserve">ثانيا: معايير تقييم الجدوى واتخاذ القرار الاستثماري</t>
  </si>
  <si>
    <t xml:space="preserve">حساب وتحليل صافي القيمة الحالية للتدفقات النقدية NPV.</t>
  </si>
  <si>
    <t xml:space="preserve">محسوب في Feasibility بخصم تدفقات المساهمين (رأس المال، التوزيعات، القيمة النهائية) بمعدل 25%.</t>
  </si>
  <si>
    <t xml:space="preserve">حساب وتحليل فترة الاسترداد Payback Period.</t>
  </si>
  <si>
    <t xml:space="preserve">محسوبة في Feasibility من التدفق التراكمي غير المخصوم للمساهمين.</t>
  </si>
  <si>
    <t xml:space="preserve">حساب وتحليل فترة الاسترداد المخصومة Discounted Payback Period.</t>
  </si>
  <si>
    <t xml:space="preserve">محسوبة في Feasibility من التدفق التراكمي المخصوم بمعدل تكلفة حقوق الملكية.</t>
  </si>
  <si>
    <t xml:space="preserve">حساب وتحليل معدل العائد المحاسبي ARR.</t>
  </si>
  <si>
    <t xml:space="preserve">محسوب في Feasibility كمتوسط صافي الربح السنوي ÷ متوسط رأس المال المستثمر.</t>
  </si>
  <si>
    <t xml:space="preserve">حساب وتحليل معدل العائد الداخلي IRR.</t>
  </si>
  <si>
    <t xml:space="preserve">محسوب في Feasibility على تدفقات المساهمين خلال الخمس سنوات.</t>
  </si>
  <si>
    <t xml:space="preserve">حساب تكلفة رأس المال Cost of Capital.</t>
  </si>
  <si>
    <t xml:space="preserve">محسوبة في Feasibility: تكلفة حقوق الملكية (25%)، تكلفة الدين بعد الضريبة، وWACC المرجح فعليا.</t>
  </si>
  <si>
    <t xml:space="preserve">حساب وتحليل دليل الربحية Profitability Index.</t>
  </si>
  <si>
    <t xml:space="preserve">محسوب في Feasibility كنسبة التدفقات المخصومة إلى صافي الاستثمار الأولي المخصوم.</t>
  </si>
  <si>
    <t xml:space="preserve">توضيح آلية احتساب نقطة التعادل ومكوناتها، حيث أن نقطة التعادل الواردة بالدراسة الحالية لم يتم عرضها أو توضيحها بصورة كافية.</t>
  </si>
  <si>
    <t xml:space="preserve">أعيد بناؤها بالكامل في ورقة مستقلة Break Even: هامش المساهمة لكل جنيه من متوسط المحفظة مقابل التكاليف الثابتة، لاستخراج حجم المحفظة والمنح المطلوبين للتعادل وهامش الأمان الفعلي كل سنة.</t>
  </si>
  <si>
    <t xml:space="preserve">إعداد تحليل حساسية لبنود قائمة الدخل الرئيسية، وبيان أثر التغير في كل بند على أرباح الشركة ونتائج أعمالها.</t>
  </si>
  <si>
    <t xml:space="preserve">مصفوفة حساسية ثنائية في ورقة Sensitivity لأثر تغير عائد العميل (±4 نقاط) وحجم المنح (±20%) معا على صافي ربح Year 5.</t>
  </si>
  <si>
    <t xml:space="preserve">إعداد تحليل السيناريوهات، متضمنا السيناريو الأفضل، والسيناريو الأسوأ، والسيناريو الفعلي/الأساسي، مع بيان أثر كل سيناريو على النتائج المالية للشركة.</t>
  </si>
  <si>
    <t xml:space="preserve">ثلاثة سيناريوهات ربحية (أفضل، أساسي، أسوأ) في ورقة Scenarios تغير خمسة محركات معا وتعرض أثرها الجبري على صافي الربح لكل سنة. هذه Sensitivity على قائمة الدخل وليست إعادة تشغيل كاملة للمحفظة والتمويل والسيولة وCAR؛ لذلك يجب إعادة اختبار التمويل والسيولة والمؤشرات الرقابية عند اعتماد أي سيناريو بديل.</t>
  </si>
  <si>
    <t xml:space="preserve">ثالثا: المؤشرات المالية</t>
  </si>
  <si>
    <t xml:space="preserve">حساب وتحليل مؤشرات السيولة.</t>
  </si>
  <si>
    <t xml:space="preserve">LCR وNSFR معروضان في Funding &amp; Liquidity وملخصان في Ratios كتقديرات تخطيطية مبنية على بيانات وآجال متاحة حاليا. لا تعد النتائج اختبار امتثال نهائيا قبل استبدال افتراضات آجال الدين والمحفظة بالجداول التعاقدية الفعلية.</t>
  </si>
  <si>
    <t xml:space="preserve">حساب وتحليل العائد على الأصول ROA.</t>
  </si>
  <si>
    <t xml:space="preserve">محسوب في Ratios كصافي الربح ÷ متوسط إجمالي الأصول.</t>
  </si>
  <si>
    <t xml:space="preserve">حساب وتحليل العائد على حقوق المساهمين ROE.</t>
  </si>
  <si>
    <t xml:space="preserve">محسوب في Ratios كصافي الربح ÷ متوسط حقوق الملكية.</t>
  </si>
  <si>
    <t xml:space="preserve">حساب وتحليل العائد على الاستثمار ROI.</t>
  </si>
  <si>
    <t xml:space="preserve">محسوب في Ratios كصافي التدفق التشغيلي والاستثماري ÷ متوسط رأس المال المستثمر الفعلي.</t>
  </si>
  <si>
    <t xml:space="preserve">مراجعة مؤشرات هيكل الملكية والرافعة المالية بصفة خاصة، وإعادة مراجعة نسبة الرافعة المالية الواردة بالدراسة والتي ظهرت بقيمة 43 مرة، مع توضيح أساس احتسابها ومدى توافقها مع الضوابط المنظمة، مع مراعاة تعهد الشركة بألا تزيد الرافعة عن 4 أمثال صافي حقوق الملكية وفق المادة الثالثة البند 3 من قرار 268/2023.</t>
  </si>
  <si>
    <t xml:space="preserve">تم فصل مقياسين مختلفين: (1) قيد الاقتراض الرقابي للهيئة: قبل الترخيص النهائي الدين مقسوما على صافي حقوق الملكية بسقف 4x يسري بالكامل طوال Year 1 وYear 2، وبعد صدور الترخيص النهائي فعليا الدين مقسوما على القاعدة الرأسمالية التنظيمية بسقف 9x من Year 3 فصاعدا. (2) نسبة رافعة بازل الاسترشادية = رأس مال الشريحة الاولى بعد الخصومات مقسوما على اجمالي الانكشافات غير المرجحة داخل وخارج الميزانية، وتعرض مستقلة في Basel III. النتيجة الفعلية لارقام Year 2 المعتمدة تتجاوز سقف 4x وتظهر كفجوة رقابية حقيقية في Regulatory Capital Plan، مع سيناريوهات معالجة مستقلة (خفض دين او زيادة حقوق ملكية) في Scenario - Slower Year 2 وScenario - Standby Capital دون تعديل ارقام الخطة التجارية المعتمدة.</t>
  </si>
  <si>
    <t xml:space="preserve">استكمالا لبند 31 - أداة إدارة سقف الرافعة الأولى: تباطؤ النمو (Scenario - Slower Year 2).</t>
  </si>
  <si>
    <t xml:space="preserve">سيناريو حساسية يطبق حاليا معامل تباطؤ 89% (خلية زرقاء قابلة للتعديل) على المنح والتحصيلات والدين والإيرادات مع ثبات رأس المال والتكاليف الثابتة. بالإعداد الحالي لا يغلق السيناريو فجوة 4× بالكامل عند افتراض استمرار الترخيص المؤقت؛ لذلك لا يعرض كحل مكتمل، ويجب زيادة التباطؤ أو استخدام خفض دين/زيادة حقوق ملكية إضافية.</t>
  </si>
  <si>
    <t xml:space="preserve">استكمالا لبند 31 - أداة إدارة سقف الرافعة الثانية: رأس مال احتياطي (Scenario - Standby Capital).</t>
  </si>
  <si>
    <t xml:space="preserve">أداة احترازية تفعل فقط إذا تأخر الترخيص النهائي وبقي سقف 4× ساريا. تحسب تلقائيا الحد الأدنى النظري لضخ حقوق الملكية اللازم لإغلاق الفجوة، وتعرض بديلا مستقلا هو مقدار خفض الدين المطلوب. المبالغ المحسوبة ليست التزاما قائما وتحتاج موافقات المساهمين والإجراءات القانونية والتمويل الفعلي قبل استخدامها كمعالجة.</t>
  </si>
  <si>
    <t xml:space="preserve">رابعا: الهيكل التنظيمي والوظائف الرقابية</t>
  </si>
  <si>
    <t xml:space="preserve">استكمال الهيكل التنظيمي المقترح للشركة، مع الإشارة بشكل واضح إلى وظيفة مسؤول مكافحة غسل الأموال وتمويل الإرهاب، وتوضيح موقعها ضمن الهيكل التنظيمي، واختصاصاتها، بما يتوافق مع القواعد والضوابط والقرارات المنظمة.</t>
  </si>
  <si>
    <t xml:space="preserve">أدرجت وظيفة "مسؤول مكافحة غسل الأموال وتمويل الإرهاب" كوظيفة مستقلة في ورقة Staff، مرتبطة بلجنة المراجعة/مجلس الإدارة، باختصاصات KYC وUBO ومراقبة العمليات والإبلاغ. المخطط التنظيمي الرسمي مستند إداري منفصل يرفق خارج الملف المالي.</t>
  </si>
  <si>
    <t xml:space="preserve">ملاحظة ختامية: تغطي الردود أعلاه متطلبات خطاب الهيئة ضمن نطاق الدراسة المالية. أي بنود تحتاج مستندات أو بيانات فعلية أو اعتمادا خارجيا موضحة صراحة في ورقة "Regulatory Data Requirements" ولا تعد مستوفاة نهائيا قبل استكمالها.</t>
  </si>
  <si>
    <t xml:space="preserve">بازل 3 - كفاية رأس المال والسيولة والرافعة</t>
  </si>
  <si>
    <t xml:space="preserve">+ الاحتياطي القانوني</t>
  </si>
  <si>
    <t xml:space="preserve">+ الأرباح / (الخسائر) المرحلة</t>
  </si>
  <si>
    <t xml:space="preserve">= القاعدة قبل الخصومات / Capital Base before Deductions</t>
  </si>
  <si>
    <t xml:space="preserve">- أصول غير ملموسة مقدرة</t>
  </si>
  <si>
    <t xml:space="preserve">= القاعدة بعد الخصومات (شريحة أولى) / Capital Base after Deductions</t>
  </si>
  <si>
    <t xml:space="preserve">الأصول المرجحة بمخاطر الائتمان (ترجيح 100% للمحفظة المنتظمة)</t>
  </si>
  <si>
    <t xml:space="preserve">صافي المحفظة الإيجارية</t>
  </si>
  <si>
    <t xml:space="preserve">+ أصول تشغيلية أخرى</t>
  </si>
  <si>
    <t xml:space="preserve">= إجمالي الأصول المرجحة بمخاطر الائتمان / Total Credit RWA</t>
  </si>
  <si>
    <t xml:space="preserve">الأصول المرجحة بمخاطر التشغيل - نهج مؤشر الأعمال SMA</t>
  </si>
  <si>
    <t xml:space="preserve">ILDC - فوائد وإيجار وحصص أرباح</t>
  </si>
  <si>
    <t xml:space="preserve">+ SC - مكون الخدمات</t>
  </si>
  <si>
    <t xml:space="preserve">+ FC - المكون المالي</t>
  </si>
  <si>
    <t xml:space="preserve">= مؤشر الأعمال BI / Business Indicator</t>
  </si>
  <si>
    <t xml:space="preserve">معامل الترجيح المطبق (حسب الشريحة الفعلية - راجع صفوف 90-97)</t>
  </si>
  <si>
    <t xml:space="preserve">× مضاعف الخسارة الداخلية ILM</t>
  </si>
  <si>
    <t xml:space="preserve">× معامل التحويل BI-to-RWA (12.5 وفق SMA)</t>
  </si>
  <si>
    <t xml:space="preserve">= إجمالي الأصول المرجحة بمخاطر التشغيل / Total Operational RWA</t>
  </si>
  <si>
    <t xml:space="preserve">الأصول المرجحة بمخاطر السوق (صفر - لا توجد محفظة تداول)</t>
  </si>
  <si>
    <t xml:space="preserve">الأصول المرجحة بمخاطر السوق</t>
  </si>
  <si>
    <t xml:space="preserve">نسبة كفاية رأس المال CAR</t>
  </si>
  <si>
    <t xml:space="preserve">= إجمالي الأصول المرجحة بالمخاطر RWA / Total RWA</t>
  </si>
  <si>
    <t xml:space="preserve">= نسبة كفاية رأس المال المحققة CAR / Achieved CAR</t>
  </si>
  <si>
    <t xml:space="preserve">الحد الأدنى الإلزامي 12% (قرار 137/2025)</t>
  </si>
  <si>
    <t xml:space="preserve">هامش الأمان فوق الحد الأدنى</t>
  </si>
  <si>
    <t xml:space="preserve">فائض رأس المال بالجنيه</t>
  </si>
  <si>
    <t xml:space="preserve">الحالة التخطيطية (لا تمثل اعتمادا رقابيا نهائيا)</t>
  </si>
  <si>
    <t xml:space="preserve">أولا: حد الاقتراض الرقابي للهيئة (الدين ÷ القاعدة الرأسمالية)</t>
  </si>
  <si>
    <t xml:space="preserve">رصيد الدين البنكي القائم</t>
  </si>
  <si>
    <t xml:space="preserve">÷ المقام الصحيح (صافي حقوق الملكية قبل خصومات CAR في مرحلة 4x؛ القاعدة بعد الخصومات في مرحلة 9x)</t>
  </si>
  <si>
    <t xml:space="preserve">= مضاعف الاقتراض الرقابي المحقق / Achieved FRA Borrowing Multiple</t>
  </si>
  <si>
    <t xml:space="preserve">السقف الساري نهاية كل سنة</t>
  </si>
  <si>
    <t xml:space="preserve">هذا المقياس هو قيد الهيئة على الاقتراض، وليس نسبة رافعة بازل المبنية على اجمالي الانكشافات. السقف 4x من صافي حقوق الملكية يسري الزاميا طوال Year 1 وYear 2 بغض النظر عن الموعد المستهدف للترخيص، وينتقل الى 9x من القاعدة الرأسمالية التنظيمية فقط من Year 3 فصاعدا بافتراض صدور الترخيص النهائي فعليا. اذا تأخر صدور الترخيص الى ما بعد بداية Year 3 يعاد اختبار تلك السنة على 4x. راجع Funding &amp; Liquidity وScenario - Slower Year 2 وScenario - Standby Capital لمعالجة اي فجوة.</t>
  </si>
  <si>
    <t xml:space="preserve">ثانيا: نسبة رافعة بازل المبنية على الانكشافات</t>
  </si>
  <si>
    <t xml:space="preserve">الصيغة الاسترشادية لبازل: رأس مال الشريحة الأولى بعد الخصومات ÷ مقياس إجمالي الانكشافات غير المرجحة بالمخاطر. إجمالي الانكشافات = أصول الميزانية + الانكشافات خارج الميزانية بعد CCF + المشتقات وSFT.</t>
  </si>
  <si>
    <t xml:space="preserve">رأس مال الشريحة الأولى بعد الخصومات</t>
  </si>
  <si>
    <t xml:space="preserve">+ الانكشافات داخل الميزانية (إجمالي الأصول)</t>
  </si>
  <si>
    <t xml:space="preserve">+ الانكشافات خارج الميزانية بعد معامل التحويل CCF</t>
  </si>
  <si>
    <t xml:space="preserve">+ انكشافات المشتقات وSFT</t>
  </si>
  <si>
    <t xml:space="preserve">= مقياس إجمالي الانكشافات غير المرجحة / Total Unweighted Exposure Measure</t>
  </si>
  <si>
    <t xml:space="preserve">= نسبة رافعة بازل الاسترشادية / Basel Leverage Ratio</t>
  </si>
  <si>
    <t xml:space="preserve">الحد المرجعي لبازل</t>
  </si>
  <si>
    <t xml:space="preserve">الحالة الاسترشادية</t>
  </si>
  <si>
    <t xml:space="preserve">ملاحظة: القرار التنظيمي للشركات غير المصرفية يطبق عمليا حد الاقتراض 4×/9× بصورة منفصلة. نسبة بازل 3% معروضة هنا للفصل المفاهيمي والاسترشاد؛ الانكشافات خارج الميزانية والمشتقات مدخلة حاليا بصفر ويجب تحديثها من العقود الفعلية قبل الاعتماد. المصدر: https://fra.gov.eg/wp-content/uploads/2024/10/1October-2024-%D9%85%D8%B9%D8%A7%D9%8A%D9%8A%D8%B1-%D8%A7%D9%84%D9%85%D9%84%D8%A7%D8%A1%D8%A9-%D9%88%D9%81%D9%82%D8%A7-%D8%A8%D8%A7%D8%B2%D9%843-1.pdf</t>
  </si>
  <si>
    <t xml:space="preserve">نسبة تغطية السيولة LCR (حد أدنى 100%)</t>
  </si>
  <si>
    <t xml:space="preserve">الأصول السائلة عالية الجودة HQLA</t>
  </si>
  <si>
    <t xml:space="preserve">التدفقات الخارجة الإجمالية خلال 30 يوما</t>
  </si>
  <si>
    <t xml:space="preserve">التدفقات الداخلة الفعلية</t>
  </si>
  <si>
    <t xml:space="preserve">= صافي التدفقات الخارجة / Net 30-Day Outflows</t>
  </si>
  <si>
    <t xml:space="preserve">= نسبة تغطية السيولة LCR / Achieved LCR</t>
  </si>
  <si>
    <t xml:space="preserve">الحد الأدنى الإلزامي</t>
  </si>
  <si>
    <t xml:space="preserve">نسبة صافي التمويل المستقر NSFR (ASF ÷ RSF - حد أدنى 100%)</t>
  </si>
  <si>
    <t xml:space="preserve">القاعدة الرأسمالية (ASF 100%)</t>
  </si>
  <si>
    <t xml:space="preserve">+ دين ≥ سنة (ASF 100%)</t>
  </si>
  <si>
    <t xml:space="preserve">+ دين 6-12 شهر (ASF 75%)</t>
  </si>
  <si>
    <t xml:space="preserve">+ دين &lt;6 أشهر (ASF 50%)</t>
  </si>
  <si>
    <t xml:space="preserve">= إجمالي التمويل المستقر المتاح ASF / Total Available Stable Funding</t>
  </si>
  <si>
    <t xml:space="preserve">محفظة ≥ سنة (RSF 100%)</t>
  </si>
  <si>
    <t xml:space="preserve">+ محفظة 6-12 شهر (RSF 75%)</t>
  </si>
  <si>
    <t xml:space="preserve">+ محفظة &lt;6 أشهر (RSF 50%)</t>
  </si>
  <si>
    <t xml:space="preserve">+ أصول تشغيلية أخرى (RSF 100%)</t>
  </si>
  <si>
    <t xml:space="preserve">= إجمالي التمويل المستقر المطلوب RSF / Total Required Stable Funding</t>
  </si>
  <si>
    <t xml:space="preserve">= نسبة صافي التمويل المستقر NSFR / Achieved NSFR</t>
  </si>
  <si>
    <t xml:space="preserve">حد التركز الائتماني للعميل الواحد (30% من القاعدة الرأسمالية)</t>
  </si>
  <si>
    <t xml:space="preserve">الحد التنظيمي 30%</t>
  </si>
  <si>
    <t xml:space="preserve">الحد الداخلي المخطط 25% (أكثر تحفظا)</t>
  </si>
  <si>
    <t xml:space="preserve">أكبر تعرض مخطط فعليا</t>
  </si>
  <si>
    <t xml:space="preserve">تصنيف مؤشر الأعمال حسب شرائح SMA (12%/15%/18%) - يدعم معامل الترجيح في السطر 23</t>
  </si>
  <si>
    <t xml:space="preserve">مؤشر الأعمال BI للسنة</t>
  </si>
  <si>
    <t xml:space="preserve">متوسط مؤشر الأعمال (حتى 3 سنوات متاحة - معاملة الشركة الناشئة بأول بيانات متاحة)</t>
  </si>
  <si>
    <t xml:space="preserve">حد الشريحة الأولى - قيمة تخطيطية فقط؛ التصنيف النهائي تحدده الهيئة سنويا</t>
  </si>
  <si>
    <t xml:space="preserve">حد الشريحة الثانية - قيمة تخطيطية فقط؛ التصنيف النهائي تحدده الهيئة سنويا</t>
  </si>
  <si>
    <t xml:space="preserve">معامل مستخدم للتخطيط (12%/15%/18%) - يخضع لتصنيف الهيئة السنوي</t>
  </si>
  <si>
    <t xml:space="preserve">ملاحظة رقابية: معامل 12% المستخدم في الحالة الأساسية افتراض تخطيطي، وليس تصنيفا نهائيا صادرا عن الهيئة. يجب تحديثه فور ورود تصنيف الهيئة السنوي، مع الاحتفاظ بحساسية 15% و18% لأغراض التحمل.</t>
  </si>
  <si>
    <t xml:space="preserve">جدول الخسائر التشغيلية ومضاعف الخسارة الداخلية ILM (يدعم السطر 24)</t>
  </si>
  <si>
    <t xml:space="preserve">الخسائر التشغيلية المسجلة خلال السنة (لا يوجد سجل - شركة ناشئة)</t>
  </si>
  <si>
    <t xml:space="preserve">متوسط الخسائر التشغيلية للفترة المتاحة</t>
  </si>
  <si>
    <t xml:space="preserve">مكون الخسارة Loss Component (LC) = 15 × متوسط الخسائر السنوية</t>
  </si>
  <si>
    <t xml:space="preserve">لا يوجد سجل خسائر فعلي</t>
  </si>
  <si>
    <t xml:space="preserve">مضاعف الخسارة الداخلية ILM (=1 كافتراض مؤقت غير نهائي لعدم توافر بيانات خسائر)</t>
  </si>
  <si>
    <t xml:space="preserve">جدول تركز العملاء الفعلي (Year 2 - كمثال؛ يستكمل بنفس الهيكل لكل سنة عند توافر بيانات عملاء فعلية)</t>
  </si>
  <si>
    <t xml:space="preserve">رقم العميل</t>
  </si>
  <si>
    <t xml:space="preserve">الاسم/الرمز</t>
  </si>
  <si>
    <t xml:space="preserve">المجموعة المرتبطة</t>
  </si>
  <si>
    <t xml:space="preserve">الرصيد القائم</t>
  </si>
  <si>
    <t xml:space="preserve">تمويل معتمد غير مسحوب</t>
  </si>
  <si>
    <t xml:space="preserve">انكشافات أخرى</t>
  </si>
  <si>
    <t xml:space="preserve">ضمانات مقبولة</t>
  </si>
  <si>
    <t xml:space="preserve">صافي الانكشاف</t>
  </si>
  <si>
    <t xml:space="preserve">% من القاعدة الرأسمالية</t>
  </si>
  <si>
    <t xml:space="preserve">الحد الداخلي 25%</t>
  </si>
  <si>
    <t xml:space="preserve">بيانات معلقة</t>
  </si>
  <si>
    <t xml:space="preserve">أكبر انكشاف فعلي (مشتق بالصيغة، وليس افتراضا)</t>
  </si>
  <si>
    <t xml:space="preserve">ملاحظة: الصفوف 85-88 أعلاه تعرض الحد التنظيمي 30% والحد الداخلي 25% من القاعدة الرأسمالية كنسب، لكنها لا تعكس بيانات عملاء فعلية؛ حالتها "بيانات معلقة" وليست "متوافق" حتى يتوافر سجل تركز فعلي بالهيكل أعلاه. أضف صفوفا بنفس النمط لكل عميل/مجموعة مرتبطة فعلية.</t>
  </si>
  <si>
    <t xml:space="preserve">تحليل حساسية كفاية رأس المال CAR لمعامل مخاطر التشغيل (12%/15%/18%) - معامل 12% افتراض تخطيطي أساسي وليس تصنيفا نهائيا من الهيئة، ويعاد احتسابه فور ورود التصنيف السنوي الرسمي</t>
  </si>
  <si>
    <t xml:space="preserve">الأصول المرجحة بمخاطر التشغيل عند معامل 12%</t>
  </si>
  <si>
    <t xml:space="preserve">إجمالي الأصول المرجحة بالمخاطر عند 12%</t>
  </si>
  <si>
    <t xml:space="preserve">كفاية رأس المال CAR عند 12%</t>
  </si>
  <si>
    <t xml:space="preserve">الحالة عند 12%</t>
  </si>
  <si>
    <t xml:space="preserve">الأصول المرجحة بمخاطر التشغيل عند معامل 15% (حساسية)</t>
  </si>
  <si>
    <t xml:space="preserve">إجمالي الأصول المرجحة بالمخاطر عند 15%</t>
  </si>
  <si>
    <t xml:space="preserve">كفاية رأس المال CAR عند 15%</t>
  </si>
  <si>
    <t xml:space="preserve">الحالة عند 15%</t>
  </si>
  <si>
    <t xml:space="preserve">الأصول المرجحة بمخاطر التشغيل عند معامل 18% (حساسية - أعلى شريحة)</t>
  </si>
  <si>
    <t xml:space="preserve">إجمالي الأصول المرجحة بالمخاطر عند 18%</t>
  </si>
  <si>
    <t xml:space="preserve">كفاية رأس المال CAR عند 18%</t>
  </si>
  <si>
    <t xml:space="preserve">الحالة عند 18%</t>
  </si>
  <si>
    <t xml:space="preserve">ملاحظة: معامل 12% في الحالة الأساسية ناتج من شريحة BI التخطيطية الحالية، وليس تصنيفا نهائيا صادرا عن الهيئة. حساسية 15% و18% معروضة لاختبار التحمل. يجب تحديث المعامل فور ورود تحديد/تفسير رقابي معتمد.</t>
  </si>
  <si>
    <t xml:space="preserve">متطلبات البيانات الرقابية المعلقة</t>
  </si>
  <si>
    <t xml:space="preserve">قائمة بالبيانات والمستندات الخارجية اللازمة لتحويل التقديرات التخطيطية إلى اختبارات/معالجات نهائية. حالة الاستلام أدناه مبنية فقط على المستندات المتاحة حاليا في ملف العمل، ولا تفترض أي مستندات غير مرفقة.</t>
  </si>
  <si>
    <t xml:space="preserve">البيانات المطلوبة</t>
  </si>
  <si>
    <t xml:space="preserve">الجهة المسؤولة</t>
  </si>
  <si>
    <t xml:space="preserve">مصدر المستند</t>
  </si>
  <si>
    <t xml:space="preserve">تاريخ الاستحقاق</t>
  </si>
  <si>
    <t xml:space="preserve">حالة الاستلام</t>
  </si>
  <si>
    <t xml:space="preserve">أثر الغياب</t>
  </si>
  <si>
    <t xml:space="preserve">الخلايا/النسب المتأثرة</t>
  </si>
  <si>
    <t xml:space="preserve">1. الترخيص النهائي الفعلي</t>
  </si>
  <si>
    <t xml:space="preserve">تأكيد كتابي من الهيئة بصدور الترخيص النهائي، مع تاريخ الصدور الفعلي</t>
  </si>
  <si>
    <t xml:space="preserve">الإدارة/الشؤون القانونية + الهيئة</t>
  </si>
  <si>
    <t xml:space="preserve">خطاب الهيئة الرسمي</t>
  </si>
  <si>
    <t xml:space="preserve">عند الصدور</t>
  </si>
  <si>
    <t xml:space="preserve">لم يستلم بعد</t>
  </si>
  <si>
    <t xml:space="preserve">يسري حد 4x الزاميا طوال Year 1 وYear 2 بصرف النظر عن الموعد المستهدف للترخيص، ولا يتحول النموذج الى 9x الا من Year 3 بافتراض صدور الترخيص النهائي فعليا. اذا لم يصدر الترخيص النهائي فعليا بحلول بداية Year 3 تعاد سنة الفجوة على اساس 4x ويستلزم ذلك خفض الدين او زيادة القاعدة الرأسمالية.</t>
  </si>
  <si>
    <t xml:space="preserve">Assumptions!B19,B111:B112; Monthly Model row 34/36; Funding &amp; Liquidity!I49:K60; Regulatory Capital Plan!B14:F16</t>
  </si>
  <si>
    <t xml:space="preserve">2. سجل القروض والتمويلات الفعلي</t>
  </si>
  <si>
    <t xml:space="preserve">كشف تفصيلي بكل تسهيل بنكي/تمويل قائم: المبلغ، تاريخ السحب، الاستحقاق، هل هو تابع (subordinated) أم لا</t>
  </si>
  <si>
    <t xml:space="preserve">الإدارة/الخزينة</t>
  </si>
  <si>
    <t xml:space="preserve">عقود التسهيلات البنكية الموقعة</t>
  </si>
  <si>
    <t xml:space="preserve">عند كل سحب جديد</t>
  </si>
  <si>
    <t xml:space="preserve">لم تقدم عقود/سجلات فعلية - أرقام النموذج تخطيطية</t>
  </si>
  <si>
    <t xml:space="preserve">يحدد "إجمالي القروض والتمويلات الخاضعة للسقف" بدقة ويستبعد أي دين تابع مؤهل</t>
  </si>
  <si>
    <t xml:space="preserve">Funding &amp; Liquidity!G49:G60, Regulatory Capital Plan!B12:F13, Basel III!B40:B42</t>
  </si>
  <si>
    <t xml:space="preserve">3. حقوق الملكية الشهرية الفعلية</t>
  </si>
  <si>
    <t xml:space="preserve">أرصدة شهرية فعلية لرأس المال المدفوع والاحتياطيات والأرباح المرحلة (بعد الإقفال المحاسبي الشهري/الربع سنوي)</t>
  </si>
  <si>
    <t xml:space="preserve">الإدارة/المحاسبة</t>
  </si>
  <si>
    <t xml:space="preserve">الإقفال المحاسبي الشهري أو الربع سنوي</t>
  </si>
  <si>
    <t xml:space="preserve">شهريا بدءا من أول شهر تشغيل</t>
  </si>
  <si>
    <t xml:space="preserve">لا توجد أرصدة فعلية بعد - يستخدم النموذج إسقاطات شهرية</t>
  </si>
  <si>
    <t xml:space="preserve">استبدال الربط الخطي المؤقت للاحتياطي والاستبعادات ببيانات فعلية</t>
  </si>
  <si>
    <t xml:space="preserve">Funding &amp; Liquidity!D49:F60</t>
  </si>
  <si>
    <t xml:space="preserve">4. سجل الأصول الثابتة وغير الملموسة</t>
  </si>
  <si>
    <t xml:space="preserve">تفصيل الأجهزة والأثاث، البرمجيات الجاهزة، تطوير المنصة، التراخيص، مصروفات التأسيس، الأصول تحت الإنشاء</t>
  </si>
  <si>
    <t xml:space="preserve">الإدارة/المحاسبة + مراقب الحسابات</t>
  </si>
  <si>
    <t xml:space="preserve">سجل الأصول الثابتة المعتمد</t>
  </si>
  <si>
    <t xml:space="preserve">قبل تقديم الملف النهائي</t>
  </si>
  <si>
    <t xml:space="preserve">لم يقدم سجل أصول معتمد</t>
  </si>
  <si>
    <t xml:space="preserve">يستبدل نسبة الخصم الثابتة 60% بخصم فعلي لكل فئة أصل</t>
  </si>
  <si>
    <t xml:space="preserve">Regulatory Capital Plan!B8:F9, Basel III!B9</t>
  </si>
  <si>
    <t xml:space="preserve">5. الالتزامات والتعهدات خارج الميزانية</t>
  </si>
  <si>
    <t xml:space="preserve">تسهيلات غير مسحوبة، خطابات ضمان، تعهدات تعاقدية غير منفذة، تعهدات شراء أصول</t>
  </si>
  <si>
    <t xml:space="preserve">إقرار إداري موقع أو عقود فعلية</t>
  </si>
  <si>
    <t xml:space="preserve">إقرار/افتراض إداري داخل النموذج؛ لم يقدم إقرار موقع مستقل</t>
  </si>
  <si>
    <t xml:space="preserve">يغير مقياس إجمالي الانكشافات ونسبة رافعة بازل الاسترشادية إذا ظهرت التزامات جديدة</t>
  </si>
  <si>
    <t xml:space="preserve">Basel III!B51, Assumptions!B106:F109</t>
  </si>
  <si>
    <t xml:space="preserve">6. بيانات خسائر التشغيل الفعلية</t>
  </si>
  <si>
    <t xml:space="preserve">سجل خسائر التشغيل السنوية (إن وجدت) لاحتساب مكون الخسارة الفعلي ومضاعف الخسارة الداخلية ILM</t>
  </si>
  <si>
    <t xml:space="preserve">الإدارة/إدارة المخاطر</t>
  </si>
  <si>
    <t xml:space="preserve">سجل حوادث التشغيل والخسائر</t>
  </si>
  <si>
    <t xml:space="preserve">عند توافر 3 سنوات بيانات على الأقل</t>
  </si>
  <si>
    <t xml:space="preserve">غير متاح حاليا لحداثة الشركة - ILM=1 تخطيطي</t>
  </si>
  <si>
    <t xml:space="preserve">يبقي ILM=1 كافتراض مؤقت بدلا من قيمة محسوبة فعليا</t>
  </si>
  <si>
    <t xml:space="preserve">Basel III!B24:F24, Regulatory Capital Plan!B26:F26</t>
  </si>
  <si>
    <t xml:space="preserve">7. الجدول الزمني لاستحقاق الدين</t>
  </si>
  <si>
    <t xml:space="preserve">آجال استحقاق فعلية لكل تسهيل بنكي (أقل من 6 أشهر / 6-12 شهر / سنة فأكثر) من عقود ملزمة</t>
  </si>
  <si>
    <t xml:space="preserve">عروض/عقود بنكية ملزمة</t>
  </si>
  <si>
    <t xml:space="preserve">عند توقيع كل عقد</t>
  </si>
  <si>
    <t xml:space="preserve">لم تقدم عقود/عروض ملزمة بآجال فعلية</t>
  </si>
  <si>
    <t xml:space="preserve">يستبدل نسب 90%/10% وأوزان ASF التخطيطية بآجال العقود الفعلية</t>
  </si>
  <si>
    <t xml:space="preserve">Funding &amp; Liquidity!B26:B28, Assumptions!B102</t>
  </si>
  <si>
    <t xml:space="preserve">8. الجدول الزمني لاستحقاق المحفظة</t>
  </si>
  <si>
    <t xml:space="preserve">توزيع فعلي لآجال استحقاق عقود التأجير المتبقية (أقل من 6 أشهر / 6-12 شهر / سنة فأكثر)</t>
  </si>
  <si>
    <t xml:space="preserve">سجل عقود التأجير</t>
  </si>
  <si>
    <t xml:space="preserve">لا يوجد سجل عقود فعلي بعد - نسب آجال تخطيطية</t>
  </si>
  <si>
    <t xml:space="preserve">يستبدل أوزان RSF التخطيطية بآجال المحفظة الفعلية</t>
  </si>
  <si>
    <t xml:space="preserve">Funding &amp; Liquidity!B30:B32</t>
  </si>
  <si>
    <t xml:space="preserve">9. بيانات تركز العملاء والأطراف المرتبطة</t>
  </si>
  <si>
    <t xml:space="preserve">كشف بكل عميل/مجموعة مرتبطة: الرصيد القائم، التسهيلات المعتمدة غير المسحوبة، الضمانات المقبولة</t>
  </si>
  <si>
    <t xml:space="preserve">الإدارة/الائتمان</t>
  </si>
  <si>
    <t xml:space="preserve">سجل العملاء والعقود</t>
  </si>
  <si>
    <t xml:space="preserve">لا يوجد سجل عملاء فعلي بعد - اختبار تشغيلي لاحق</t>
  </si>
  <si>
    <t xml:space="preserve">يتيح إجراء اختبار 30% على أكبر تعرض فعلي لعميل/مجموعة مرتبطة بدلا من الاكتفاء بحد داخلي استرشادي دون بيانات تعرض فعلية.</t>
  </si>
  <si>
    <t xml:space="preserve">Regulatory Capital Plan!B36:F39, Basel III!B85:F88</t>
  </si>
  <si>
    <t xml:space="preserve">10. اعتماد التسوية الضريبية</t>
  </si>
  <si>
    <t xml:space="preserve">تأكيد المستشار الضريبي/مراقب الحسابات على آلية ترحيل خسارة Year 1 مقابل ربح Year 2 وأي حد أقصى سنوي للاستخدام</t>
  </si>
  <si>
    <t xml:space="preserve">المستشار الضريبي/مراقب الحسابات</t>
  </si>
  <si>
    <t xml:space="preserve">رأي ضريبي مكتوب</t>
  </si>
  <si>
    <t xml:space="preserve">لم يقدم رأي ضريبي/اعتماد مراقب الحسابات</t>
  </si>
  <si>
    <t xml:space="preserve">قد يغير مبلغ ضريبة Year 2 المحسوب آليا إذا وجد حد سنوي لاستخدام الخسائر أو فروق ضريبية أخرى.</t>
  </si>
  <si>
    <t xml:space="preserve">Income Statement!B33:F47, Assumptions!B88:F88</t>
  </si>
  <si>
    <t xml:space="preserve">11. تأكيد رأس المال المرخص به نهائيا</t>
  </si>
  <si>
    <t xml:space="preserve">نسخة معتمدة من عقد التأسيس/السجل التجاري تثبت رأس المال المرخص به وعدد الأسهم</t>
  </si>
  <si>
    <t xml:space="preserve">الإدارة/الشؤون القانونية</t>
  </si>
  <si>
    <t xml:space="preserve">عقد التأسيس المعتمد + السجل التجاري</t>
  </si>
  <si>
    <t xml:space="preserve">خطة الإدارة تستهدف 75 مليون؛ لم تقدم مستندات قانونية نهائية</t>
  </si>
  <si>
    <t xml:space="preserve">يثبت التطابق بين Assumptions وCapital وSources ويزيل أي التباس متبق</t>
  </si>
  <si>
    <t xml:space="preserve">Assumptions!B20, Capital!B14, Capital!B18:B19</t>
  </si>
  <si>
    <t xml:space="preserve">12. عروض التمويل البنكي الملزمة</t>
  </si>
  <si>
    <t xml:space="preserve">عروض تسهيلات ملزمة من البنوك المستهدفة: الحد، السعر، الأجل، الضمانات</t>
  </si>
  <si>
    <t xml:space="preserve">خطابات عروض بنكية</t>
  </si>
  <si>
    <t xml:space="preserve">قبل استكمال هيكل التمويل</t>
  </si>
  <si>
    <t xml:space="preserve">لم تقدم عروض بنكية ملزمة</t>
  </si>
  <si>
    <t xml:space="preserve">يستبدل حدود وأسعار وآجال Funding &amp; Liquidity التخطيطية بأرقام فعلية ملزمة</t>
  </si>
  <si>
    <t xml:space="preserve">Funding &amp; Liquidity!B5:B11, Assumptions!B101</t>
  </si>
  <si>
    <t xml:space="preserve">13. تفسير شرط الاعتماد الأساسي على رأس مال المخاطر (قرار 268/2023 مادة 3 بند 9)</t>
  </si>
  <si>
    <t xml:space="preserve">رأي قانوني/تأكيد من FRA يحدد نطاق شرط أن يكون تمويل الشركة معتمدا بشكل أساسي على شركات أو صناديق رأس مال المخاطر، وهل يقيد استخدام التسهيلات البنكية خلال فترة ترخيص الشركة الناشئة قبل الترخيص النهائي.</t>
  </si>
  <si>
    <t xml:space="preserve">الشؤون القانونية + الإدارة + FRA</t>
  </si>
  <si>
    <t xml:space="preserve">قرار 268/2023 مادة 3(9) + رأي قانوني/مكاتبة الهيئة</t>
  </si>
  <si>
    <t xml:space="preserve">قبل اعتماد هيكل التمويل البنكي للفترة السابقة على الترخيص النهائي</t>
  </si>
  <si>
    <t xml:space="preserve">النص الرسمي يؤكد وجود الشرط؛ نطاق تطبيقه على التسهيلات البنكية لم يحسم قانونيا/FRA</t>
  </si>
  <si>
    <t xml:space="preserve">مهم لأن الخطة تستخدم تمويلا بنكيا جوهريا في Year 2 بينما الترخيص النهائي مستهدف خلال العام؛ إذا اعتبرت الهيئة الشرط ساريا على تمويل المحفظة خلال المرحلة المؤقتة فقد يلزم تعديل توقيت/مصدر التمويل قبل الترخيص النهائي.</t>
  </si>
  <si>
    <t xml:space="preserve">Assumptions; Monthly Model; Funding &amp; Liquidity; جاهزية التقديم</t>
  </si>
  <si>
    <t xml:space="preserve">14. جدول EIR/عقود عوائد التأجير Year 1-Year 2</t>
  </si>
  <si>
    <t xml:space="preserve">الجدول الأصلي أو نموذج التسعير/العقود الذي يثبت عوائد التأجير المعتمدة Year 1 وYear 2 وتوقيت الاعتراف بالعائد</t>
  </si>
  <si>
    <t xml:space="preserve">الإدارة المالية/التجارية + مراقب الحسابات</t>
  </si>
  <si>
    <t xml:space="preserve">نموذج التسعير الأصلي/عقود أو جدول EIR معتمد</t>
  </si>
  <si>
    <t xml:space="preserve">قبل اعتماد أرقام العائد كحساب تعاقدي مستقل</t>
  </si>
  <si>
    <t xml:space="preserve">لم يقدم - Year 1 وYear 2 ظلا مدخلات خطة إدارة معتمدة</t>
  </si>
  <si>
    <t xml:space="preserve">تبقى عوائد Year 1-Year 2 مدخلات خطة معتمدة وليست EIR معاد بناؤه؛ لا يؤثر ذلك على سلامة الربط الحسابي لكنه يمنع إثبات المنهج التعاقدي بصورة مستقلة.</t>
  </si>
  <si>
    <t xml:space="preserve">Cohort Interest!B8:C10; Assumptions!B80:C80; Income Statement!B9:C9</t>
  </si>
  <si>
    <t xml:space="preserve">15. اعتماد محاسبي للاعتراف بالرسوم ودعم الشركاء Year 1</t>
  </si>
  <si>
    <t xml:space="preserve">مذكرة مراقب الحسابات بشأن (أ) سياسة 70%/30% للرسوم وتوقيت التطبيق، و(ب) تصنيف مبلغ دعم الشركاء Year 1 البالغ 3,118,262.40 جنيه</t>
  </si>
  <si>
    <t xml:space="preserve">مراقب الحسابات + الإدارة المالية</t>
  </si>
  <si>
    <t xml:space="preserve">مذكرة محاسبية/سياسة إيراد معتمدة</t>
  </si>
  <si>
    <t xml:space="preserve">قبل اعتماد العرض المحاسبي النهائي للتقديم</t>
  </si>
  <si>
    <t xml:space="preserve">لم يقدم</t>
  </si>
  <si>
    <t xml:space="preserve">قد يغير توقيت/تصنيف الإيراد والالتزامات وربما الضريبة، دون أن يبرر أي plug؛ النموذج الحالي يفصح عن المعالجة التخطيطية ولا يصفها كاعتماد نهائي.</t>
  </si>
  <si>
    <t xml:space="preserve">Sources!A03,A13; Cohort Fees; Income Statement; Balance Sheet; Cash Flow</t>
  </si>
  <si>
    <t xml:space="preserve">جاهزية التقديم للهيئة</t>
  </si>
  <si>
    <t xml:space="preserve">مضاعف الاقتراض الحالي</t>
  </si>
  <si>
    <t xml:space="preserve">السقف المتوقع وفق خطة الترخيص</t>
  </si>
  <si>
    <t xml:space="preserve">الحالة التخطيطية وفق سيناريو الترخيص المتوقع</t>
  </si>
  <si>
    <t xml:space="preserve">خفض الدين المطلوب للالتزام بالسقف الساري (4× أو 9× حسب حالة الترخيص)</t>
  </si>
  <si>
    <t xml:space="preserve">زيادة القاعدة الرأسمالية المطلوبة بدلا من خفض الدين (بنفس السقف الساري)</t>
  </si>
  <si>
    <t xml:space="preserve">LCR بعد تصحيح سقف التدفقات إلى 90%</t>
  </si>
  <si>
    <t xml:space="preserve">معامل مخاطر التشغيل</t>
  </si>
  <si>
    <t xml:space="preserve">قرار التقديم</t>
  </si>
  <si>
    <t xml:space="preserve">صالحة كنموذج جدوى مالي مكتمل حسابيا مع نتائج رقابية تخطيطية مشروطة. حزمة التأكيدات الخارجية لم تكتمل بعد؛ لذلك لا تقدم النتائج التنظيمية أو بعض المعالجات المحاسبية باعتبارها اعتمادا نهائيا قبل استكمال البنود في Regulatory Data Requirements.</t>
  </si>
  <si>
    <t xml:space="preserve">إجراءات واجبة قبل الإرسال</t>
  </si>
  <si>
    <t xml:space="preserve">1</t>
  </si>
  <si>
    <t xml:space="preserve">إرفاق مذكرة توضح أن البيانات توقعات وليست نتائج فعلية.</t>
  </si>
  <si>
    <t xml:space="preserve">المصدر الرسمي</t>
  </si>
  <si>
    <t xml:space="preserve">2</t>
  </si>
  <si>
    <t xml:space="preserve">السقف 4x هو القاعدة الملزمة طوال Year 1 وYear 2 نفسها، وليس اختبار ضغط بديلا؛ يظهر النموذج الفجوة الفعلية الناتجة عن ارقام Year 2 المعتمدة مع بيان خفض الدين او زيادة القاعدة الرأسمالية اللازمين لاغلاقها دون تعديل ارقام الخطة المعتمدة.</t>
  </si>
  <si>
    <t xml:space="preserve">3</t>
  </si>
  <si>
    <t xml:space="preserve">إذا تأخر الترخيص النهائي عن الموعد المستهدف وبقي سقف 4× ساريا، فعل فورا سيناريو خفض الدين أو زيادة القاعدة الرأسمالية بالقيمة التي يعيد النموذج احتسابها تحت سيناريو التأخير.</t>
  </si>
  <si>
    <t xml:space="preserve">قرار مجلس إدارة الهيئة رقم 268 لسنة 2023</t>
  </si>
  <si>
    <t xml:space="preserve">4</t>
  </si>
  <si>
    <t xml:space="preserve">تأكيد أن معامل 12% تخطيطي وخاضع لتصنيف الهيئة السنوي.</t>
  </si>
  <si>
    <t xml:space="preserve">5</t>
  </si>
  <si>
    <t xml:space="preserve">إرفاق الإقرار الإداري الخاص بالانكشافات خارج الميزانية.</t>
  </si>
  <si>
    <t xml:space="preserve">6</t>
  </si>
  <si>
    <t xml:space="preserve">إرفاق ما يتاح من عروض التمويل، مستند رأس المال المرخص، والرأي الضريبي.</t>
  </si>
  <si>
    <t xml:space="preserve">7</t>
  </si>
  <si>
    <t xml:space="preserve">عدم وصف بيانات التركز والسيولة بأنها فعلية قبل ورود سجلات العقود والعملاء.</t>
  </si>
  <si>
    <t xml:space="preserve">المستندات والبيانات المعلقة</t>
  </si>
  <si>
    <t xml:space="preserve">القائمة الكاملة بالبيانات والمستندات المطلوبة من الإدارة (15 بندا، بالجهة المسؤولة والمصدر والموعد المستهدف وحالة الاستلام وأثر عدم التوفر والخلايا المتأثرة) موثقة بالكامل في ورقة "Regulatory Data Requirements".</t>
  </si>
  <si>
    <t xml:space="preserve">الإفصاحات الإلزامية - نتائج مشروطة ببيانات فعلية لم تتوافر بعد</t>
  </si>
  <si>
    <t xml:space="preserve">البند المشروط ببيانات فعلية</t>
  </si>
  <si>
    <t xml:space="preserve">آجال وعروض التسهيلات البنكية الفعلية</t>
  </si>
  <si>
    <t xml:space="preserve">← Funding &amp; Liquidity</t>
  </si>
  <si>
    <t xml:space="preserve">جدول استحقاقات الدين الفعلي (بدلا من افتراض 80%-90%)</t>
  </si>
  <si>
    <t xml:space="preserve">← Assumptions</t>
  </si>
  <si>
    <t xml:space="preserve">جدول استحقاقات المحفظة الفعلي (بدلا من افتراض 70/20/10)</t>
  </si>
  <si>
    <t xml:space="preserve">سجل العملاء والمجموعات المرتبطة الفعلي</t>
  </si>
  <si>
    <t xml:space="preserve">← Basel III</t>
  </si>
  <si>
    <t xml:space="preserve">الانكشافات الفعلية خارج الميزانية</t>
  </si>
  <si>
    <t xml:space="preserve">سجل الأصول الثابتة وغير الملموسة المعتمد من المراجع</t>
  </si>
  <si>
    <t xml:space="preserve">← Regulatory Capital Plan</t>
  </si>
  <si>
    <t xml:space="preserve">اعتماد مراقب الحسابات للتسوية الضريبية</t>
  </si>
  <si>
    <t xml:space="preserve">← Income Statement</t>
  </si>
  <si>
    <t xml:space="preserve">مستند رأس المال المرخص به المعتمد</t>
  </si>
  <si>
    <t xml:space="preserve">← Capital</t>
  </si>
  <si>
    <t xml:space="preserve">تصنيف معامل مخاطر التشغيل الرسمي الصادر عن الهيئة</t>
  </si>
  <si>
    <t xml:space="preserve">تفسير قانوني مكتوب لنطاق شرط الاعتماد الأساسي على شركات/صناديق رأس مال المخاطر خلال ترخيص الشركة الناشئة (قرار 268/2023 مادة 3(9))</t>
  </si>
  <si>
    <t xml:space="preserve">← Regulatory Data Requirements</t>
  </si>
  <si>
    <t xml:space="preserve">اعتماد مراقب الحسابات لتصنيف دعم الشركاء Year 1 وتوقيت الاعتراف بإيرادات الخدمات المساندة</t>
  </si>
  <si>
    <t xml:space="preserve">← Sources / Income Statement</t>
  </si>
  <si>
    <t xml:space="preserve">ملاحظة: هذه الشاشة ملخص تنفيذي فقط. القائمة الكاملة والمحدثة من 15 بندا موجودة في "Regulatory Data Requirements". جميع النتائج الرقابية والمعالجات المحاسبية المشروطة يجب تحديثها وإعادة احتسابها عند ورود المستندات الفعلية.</t>
  </si>
</sst>
</file>

<file path=xl/styles.xml><?xml version="1.0" encoding="utf-8"?>
<styleSheet xmlns="http://schemas.openxmlformats.org/spreadsheetml/2006/main">
  <numFmts count="95">
    <numFmt numFmtId="164" formatCode="General"/>
    <numFmt numFmtId="165" formatCode="#,##0;[RED]\(#,##0\);\-"/>
    <numFmt numFmtId="166" formatCode="0.0%;[RED]\(0.0%\);\-"/>
    <numFmt numFmtId="167" formatCode="&quot;Pre-Plan Establishment&quot;"/>
    <numFmt numFmtId="168" formatCode="&quot;Start of Year 1&quot;"/>
    <numFmt numFmtId="169" formatCode="&quot;Early Year 1&quot;"/>
    <numFmt numFmtId="170" formatCode="&quot;During Year 2&quot;"/>
    <numFmt numFmtId="171" formatCode="0.00\x;[RED]\(0.00&quot;x)&quot;;\-"/>
    <numFmt numFmtId="172" formatCode="0"/>
    <numFmt numFmtId="173" formatCode="0.00%"/>
    <numFmt numFmtId="174" formatCode="0.00\x"/>
    <numFmt numFmtId="175" formatCode="#,##0.00"/>
    <numFmt numFmtId="176" formatCode="0.0%"/>
    <numFmt numFmtId="177" formatCode="#,##0"/>
    <numFmt numFmtId="178" formatCode="0.0\x"/>
    <numFmt numFmtId="179" formatCode="0%"/>
    <numFmt numFmtId="180" formatCode="dd\-mmm\-yyyy"/>
    <numFmt numFmtId="181" formatCode="yyyy\-mm\-dd"/>
    <numFmt numFmtId="182" formatCode="&quot;Initial Capital&quot;"/>
    <numFmt numFmtId="183" formatCode="&quot;Year 1 - Installment 1&quot;"/>
    <numFmt numFmtId="184" formatCode="&quot;Year 1 - Installment 2&quot;"/>
    <numFmt numFmtId="185" formatCode="&quot;Year 1 - Installment 3&quot;"/>
    <numFmt numFmtId="186" formatCode="&quot;Year 1 - Installment 4&quot;"/>
    <numFmt numFmtId="187" formatCode="&quot;Year 2 - Installment 1&quot;"/>
    <numFmt numFmtId="188" formatCode="&quot;Year 2 - Installment 2&quot;"/>
    <numFmt numFmtId="189" formatCode="&quot;Year 2 - Final Installment&quot;"/>
    <numFmt numFmtId="190" formatCode="&quot;Period 1&quot;"/>
    <numFmt numFmtId="191" formatCode="&quot;Period 2&quot;"/>
    <numFmt numFmtId="192" formatCode="&quot;Period 3&quot;"/>
    <numFmt numFmtId="193" formatCode="&quot;Period 4&quot;"/>
    <numFmt numFmtId="194" formatCode="&quot;Period 5&quot;"/>
    <numFmt numFmtId="195" formatCode="&quot;Period 6&quot;"/>
    <numFmt numFmtId="196" formatCode="&quot;Period 7&quot;"/>
    <numFmt numFmtId="197" formatCode="&quot;Period 8&quot;"/>
    <numFmt numFmtId="198" formatCode="&quot;Period 9&quot;"/>
    <numFmt numFmtId="199" formatCode="&quot;Period 10&quot;"/>
    <numFmt numFmtId="200" formatCode="&quot;Period 11&quot;"/>
    <numFmt numFmtId="201" formatCode="&quot;Period 12&quot;"/>
    <numFmt numFmtId="202" formatCode="&quot;Period 13&quot;"/>
    <numFmt numFmtId="203" formatCode="&quot;Period 14&quot;"/>
    <numFmt numFmtId="204" formatCode="&quot;Period 15&quot;"/>
    <numFmt numFmtId="205" formatCode="&quot;Period 16&quot;"/>
    <numFmt numFmtId="206" formatCode="&quot;Period 17&quot;"/>
    <numFmt numFmtId="207" formatCode="&quot;Period 18&quot;"/>
    <numFmt numFmtId="208" formatCode="&quot;Period 19&quot;"/>
    <numFmt numFmtId="209" formatCode="&quot;Period 20&quot;"/>
    <numFmt numFmtId="210" formatCode="&quot;Period 21&quot;"/>
    <numFmt numFmtId="211" formatCode="&quot;Period 22&quot;"/>
    <numFmt numFmtId="212" formatCode="&quot;Period 23&quot;"/>
    <numFmt numFmtId="213" formatCode="&quot;Period 24&quot;"/>
    <numFmt numFmtId="214" formatCode="&quot;Period 25&quot;"/>
    <numFmt numFmtId="215" formatCode="&quot;Period 26&quot;"/>
    <numFmt numFmtId="216" formatCode="&quot;Period 27&quot;"/>
    <numFmt numFmtId="217" formatCode="&quot;Period 28&quot;"/>
    <numFmt numFmtId="218" formatCode="&quot;Period 29&quot;"/>
    <numFmt numFmtId="219" formatCode="&quot;Period 30&quot;"/>
    <numFmt numFmtId="220" formatCode="&quot;Period 31&quot;"/>
    <numFmt numFmtId="221" formatCode="&quot;Period 32&quot;"/>
    <numFmt numFmtId="222" formatCode="&quot;Period 33&quot;"/>
    <numFmt numFmtId="223" formatCode="&quot;Period 34&quot;"/>
    <numFmt numFmtId="224" formatCode="&quot;Period 35&quot;"/>
    <numFmt numFmtId="225" formatCode="&quot;Period 36&quot;"/>
    <numFmt numFmtId="226" formatCode="&quot;Period 37&quot;"/>
    <numFmt numFmtId="227" formatCode="&quot;Period 38&quot;"/>
    <numFmt numFmtId="228" formatCode="&quot;Period 39&quot;"/>
    <numFmt numFmtId="229" formatCode="&quot;Period 40&quot;"/>
    <numFmt numFmtId="230" formatCode="&quot;Period 41&quot;"/>
    <numFmt numFmtId="231" formatCode="&quot;Period 42&quot;"/>
    <numFmt numFmtId="232" formatCode="&quot;Period 43&quot;"/>
    <numFmt numFmtId="233" formatCode="&quot;Period 44&quot;"/>
    <numFmt numFmtId="234" formatCode="&quot;Period 45&quot;"/>
    <numFmt numFmtId="235" formatCode="&quot;Period 46&quot;"/>
    <numFmt numFmtId="236" formatCode="&quot;Period 47&quot;"/>
    <numFmt numFmtId="237" formatCode="&quot;Period 48&quot;"/>
    <numFmt numFmtId="238" formatCode="&quot;Period 49&quot;"/>
    <numFmt numFmtId="239" formatCode="&quot;Period 50&quot;"/>
    <numFmt numFmtId="240" formatCode="&quot;Period 51&quot;"/>
    <numFmt numFmtId="241" formatCode="&quot;Period 52&quot;"/>
    <numFmt numFmtId="242" formatCode="&quot;Period 53&quot;"/>
    <numFmt numFmtId="243" formatCode="&quot;Period 54&quot;"/>
    <numFmt numFmtId="244" formatCode="&quot;Period 55&quot;"/>
    <numFmt numFmtId="245" formatCode="&quot;Period 56&quot;"/>
    <numFmt numFmtId="246" formatCode="&quot;Period 57&quot;"/>
    <numFmt numFmtId="247" formatCode="&quot;Period 58&quot;"/>
    <numFmt numFmtId="248" formatCode="&quot;Period 59&quot;"/>
    <numFmt numFmtId="249" formatCode="&quot;Period 60&quot;"/>
    <numFmt numFmtId="250" formatCode="&quot;Year 1&quot;"/>
    <numFmt numFmtId="251" formatCode="&quot;Year 2&quot;"/>
    <numFmt numFmtId="252" formatCode="&quot;Year 3&quot;"/>
    <numFmt numFmtId="253" formatCode="&quot;Year 4&quot;"/>
    <numFmt numFmtId="254" formatCode="&quot;Year 5&quot;"/>
    <numFmt numFmtId="255" formatCode="#,##0.0;[RED]\(#,##0.0\);\-"/>
    <numFmt numFmtId="256" formatCode="0.00"/>
    <numFmt numFmtId="257" formatCode="0.0"/>
    <numFmt numFmtId="258" formatCode="0.0,,\m;[RED]\(0.0,,&quot;m)&quot;;\-"/>
  </numFmts>
  <fonts count="57">
    <font>
      <sz val="10"/>
      <name val="Arial"/>
      <family val="2"/>
      <charset val="1"/>
    </font>
    <font>
      <sz val="10"/>
      <name val="Arial"/>
      <family val="0"/>
    </font>
    <font>
      <sz val="10"/>
      <name val="Arial"/>
      <family val="0"/>
    </font>
    <font>
      <sz val="10"/>
      <name val="Arial"/>
      <family val="0"/>
    </font>
    <font>
      <sz val="10"/>
      <name val="Arial"/>
      <family val="0"/>
      <charset val="1"/>
    </font>
    <font>
      <b val="true"/>
      <sz val="20"/>
      <color rgb="FFFFFFFF"/>
      <name val="FreeSans"/>
      <family val="0"/>
      <charset val="1"/>
    </font>
    <font>
      <b val="true"/>
      <sz val="15"/>
      <color rgb="FF17375E"/>
      <name val="FreeSans"/>
      <family val="0"/>
      <charset val="1"/>
    </font>
    <font>
      <b val="true"/>
      <sz val="12"/>
      <color rgb="FFFFFFFF"/>
      <name val="FreeSans"/>
      <family val="0"/>
      <charset val="1"/>
    </font>
    <font>
      <sz val="10"/>
      <color rgb="FF1F1F1F"/>
      <name val="FreeSans"/>
      <family val="0"/>
      <charset val="1"/>
    </font>
    <font>
      <sz val="10"/>
      <color rgb="FF1F1F1F"/>
      <name val="Calibri"/>
      <family val="0"/>
      <charset val="1"/>
    </font>
    <font>
      <sz val="10"/>
      <color rgb="FF9C5700"/>
      <name val="FreeSans"/>
      <family val="0"/>
      <charset val="1"/>
    </font>
    <font>
      <i val="true"/>
      <sz val="11"/>
      <color rgb="FF17375E"/>
      <name val="FreeSans"/>
      <family val="0"/>
      <charset val="1"/>
    </font>
    <font>
      <b val="true"/>
      <sz val="10"/>
      <color rgb="FF17375E"/>
      <name val="Arial"/>
      <family val="0"/>
      <charset val="1"/>
    </font>
    <font>
      <b val="true"/>
      <sz val="15"/>
      <color rgb="FFFFFFFF"/>
      <name val="FreeSans"/>
      <family val="0"/>
      <charset val="1"/>
    </font>
    <font>
      <b val="true"/>
      <sz val="11"/>
      <color rgb="FF17375E"/>
      <name val="Arial"/>
      <family val="0"/>
      <charset val="1"/>
    </font>
    <font>
      <sz val="11"/>
      <name val="Calibri"/>
      <family val="0"/>
      <charset val="1"/>
    </font>
    <font>
      <b val="true"/>
      <sz val="11"/>
      <color rgb="FF17375E"/>
      <name val="Calibri"/>
      <family val="0"/>
      <charset val="1"/>
    </font>
    <font>
      <sz val="11"/>
      <name val="Arial"/>
      <family val="0"/>
      <charset val="1"/>
    </font>
    <font>
      <b val="true"/>
      <sz val="11"/>
      <color rgb="FF0563C1"/>
      <name val="Arial"/>
      <family val="0"/>
      <charset val="1"/>
    </font>
    <font>
      <b val="true"/>
      <sz val="10"/>
      <color theme="0"/>
      <name val="Arial"/>
      <family val="0"/>
      <charset val="1"/>
    </font>
    <font>
      <sz val="10"/>
      <color rgb="FF1F1F1F"/>
      <name val="Arial"/>
      <family val="0"/>
      <charset val="1"/>
    </font>
    <font>
      <b val="true"/>
      <sz val="10"/>
      <color rgb="FF1F1F1F"/>
      <name val="Arial"/>
      <family val="0"/>
      <charset val="1"/>
    </font>
    <font>
      <sz val="10"/>
      <color rgb="FF0000FF"/>
      <name val="Arial"/>
      <family val="0"/>
      <charset val="1"/>
    </font>
    <font>
      <b val="true"/>
      <sz val="10"/>
      <color rgb="FF0000FF"/>
      <name val="Arial"/>
      <family val="0"/>
      <charset val="1"/>
    </font>
    <font>
      <sz val="10"/>
      <color rgb="FF008000"/>
      <name val="Arial"/>
      <family val="0"/>
      <charset val="1"/>
    </font>
    <font>
      <sz val="10"/>
      <color rgb="FF9C5700"/>
      <name val="Arial"/>
      <family val="0"/>
      <charset val="1"/>
    </font>
    <font>
      <b val="true"/>
      <sz val="10"/>
      <color rgb="FFFFFFFF"/>
      <name val="Arial"/>
      <family val="0"/>
      <charset val="1"/>
    </font>
    <font>
      <b val="true"/>
      <sz val="10"/>
      <name val="Arial"/>
      <family val="0"/>
      <charset val="1"/>
    </font>
    <font>
      <sz val="10"/>
      <color rgb="FF17375E"/>
      <name val="Arial"/>
      <family val="0"/>
      <charset val="1"/>
    </font>
    <font>
      <i val="true"/>
      <sz val="10"/>
      <color rgb="FF1F1F1F"/>
      <name val="Arial"/>
      <family val="0"/>
      <charset val="1"/>
    </font>
    <font>
      <sz val="11"/>
      <name val="FreeSans"/>
      <family val="0"/>
      <charset val="1"/>
    </font>
    <font>
      <sz val="11"/>
      <color rgb="FF0000FF"/>
      <name val="Calibri"/>
      <family val="0"/>
      <charset val="1"/>
    </font>
    <font>
      <b val="true"/>
      <sz val="11"/>
      <color rgb="FF17375E"/>
      <name val="FreeSans"/>
      <family val="0"/>
      <charset val="1"/>
    </font>
    <font>
      <b val="true"/>
      <sz val="11"/>
      <color rgb="FFFFFFFF"/>
      <name val="FreeSans"/>
      <family val="0"/>
      <charset val="1"/>
    </font>
    <font>
      <sz val="9"/>
      <color rgb="FF9C5700"/>
      <name val="FreeSans"/>
      <family val="0"/>
      <charset val="1"/>
    </font>
    <font>
      <b val="true"/>
      <sz val="16"/>
      <color rgb="FFFFFFFF"/>
      <name val="FreeSans"/>
      <family val="0"/>
      <charset val="1"/>
    </font>
    <font>
      <b val="true"/>
      <sz val="11"/>
      <color rgb="FF16324F"/>
      <name val="FreeSans"/>
      <family val="0"/>
      <charset val="1"/>
    </font>
    <font>
      <sz val="11"/>
      <color rgb="FF0000FF"/>
      <name val="FreeSans"/>
      <family val="0"/>
      <charset val="1"/>
    </font>
    <font>
      <sz val="11"/>
      <color rgb="FF000000"/>
      <name val="Calibri"/>
      <family val="0"/>
      <charset val="1"/>
    </font>
    <font>
      <sz val="11"/>
      <color rgb="FF000000"/>
      <name val="FreeSans"/>
      <family val="0"/>
      <charset val="1"/>
    </font>
    <font>
      <b val="true"/>
      <sz val="11"/>
      <color rgb="FF16324F"/>
      <name val="Calibri"/>
      <family val="0"/>
      <charset val="1"/>
    </font>
    <font>
      <b val="true"/>
      <sz val="11"/>
      <color rgb="FF000000"/>
      <name val="FreeSans"/>
      <family val="0"/>
      <charset val="1"/>
    </font>
    <font>
      <b val="true"/>
      <sz val="11"/>
      <color rgb="FF000000"/>
      <name val="Calibri"/>
      <family val="0"/>
      <charset val="1"/>
    </font>
    <font>
      <sz val="9"/>
      <color rgb="FF17375E"/>
      <name val="FreeSans"/>
      <family val="0"/>
      <charset val="1"/>
    </font>
    <font>
      <sz val="9"/>
      <color rgb="FF1F1F1F"/>
      <name val="FreeSans"/>
      <family val="0"/>
      <charset val="1"/>
    </font>
    <font>
      <sz val="11"/>
      <color rgb="FF008000"/>
      <name val="Calibri"/>
      <family val="0"/>
      <charset val="1"/>
    </font>
    <font>
      <b val="true"/>
      <sz val="11"/>
      <name val="FreeSans"/>
      <family val="0"/>
      <charset val="1"/>
    </font>
    <font>
      <b val="true"/>
      <sz val="11"/>
      <name val="Calibri"/>
      <family val="0"/>
      <charset val="1"/>
    </font>
    <font>
      <b val="true"/>
      <sz val="10"/>
      <color rgb="FF006100"/>
      <name val="Arial"/>
      <family val="0"/>
      <charset val="1"/>
    </font>
    <font>
      <sz val="10"/>
      <color rgb="FF006100"/>
      <name val="Arial"/>
      <family val="0"/>
      <charset val="1"/>
    </font>
    <font>
      <b val="true"/>
      <sz val="10"/>
      <color rgb="FF9C5700"/>
      <name val="Arial"/>
      <family val="0"/>
      <charset val="1"/>
    </font>
    <font>
      <i val="true"/>
      <sz val="11"/>
      <color rgb="FF17365D"/>
      <name val="FreeSans"/>
      <family val="0"/>
      <charset val="1"/>
    </font>
    <font>
      <sz val="9"/>
      <color rgb="FF7F6000"/>
      <name val="FreeSans"/>
      <family val="0"/>
      <charset val="1"/>
    </font>
    <font>
      <b val="true"/>
      <sz val="13"/>
      <color rgb="FF1F4E78"/>
      <name val="Arial"/>
      <family val="0"/>
      <charset val="1"/>
    </font>
    <font>
      <b val="true"/>
      <sz val="16"/>
      <color rgb="FFFFFFFF"/>
      <name val="Arial"/>
      <family val="0"/>
      <charset val="1"/>
    </font>
    <font>
      <b val="true"/>
      <sz val="10"/>
      <color rgb="FF000000"/>
      <name val="Arial"/>
      <family val="0"/>
      <charset val="1"/>
    </font>
    <font>
      <b val="true"/>
      <sz val="10"/>
      <color rgb="FF7F6000"/>
      <name val="Arial"/>
      <family val="0"/>
      <charset val="1"/>
    </font>
  </fonts>
  <fills count="12">
    <fill>
      <patternFill patternType="none"/>
    </fill>
    <fill>
      <patternFill patternType="gray125"/>
    </fill>
    <fill>
      <patternFill patternType="solid">
        <fgColor rgb="FF17375E"/>
        <bgColor rgb="FF17365D"/>
      </patternFill>
    </fill>
    <fill>
      <patternFill patternType="solid">
        <fgColor rgb="FFD9EAF7"/>
        <bgColor rgb="FFEAF2F8"/>
      </patternFill>
    </fill>
    <fill>
      <patternFill patternType="solid">
        <fgColor rgb="FF1F4E78"/>
        <bgColor rgb="FF17375E"/>
      </patternFill>
    </fill>
    <fill>
      <patternFill patternType="solid">
        <fgColor rgb="FFFFFFFF"/>
        <bgColor rgb="FFEEF5FA"/>
      </patternFill>
    </fill>
    <fill>
      <patternFill patternType="solid">
        <fgColor rgb="FFEAF2F8"/>
        <bgColor rgb="FFEEF5FA"/>
      </patternFill>
    </fill>
    <fill>
      <patternFill patternType="solid">
        <fgColor rgb="FFFFF2CC"/>
        <bgColor rgb="FFFCE4D6"/>
      </patternFill>
    </fill>
    <fill>
      <patternFill patternType="solid">
        <fgColor rgb="FF16324F"/>
        <bgColor rgb="FF17365D"/>
      </patternFill>
    </fill>
    <fill>
      <patternFill patternType="solid">
        <fgColor rgb="FFEEF5FA"/>
        <bgColor rgb="FFEAF2F8"/>
      </patternFill>
    </fill>
    <fill>
      <patternFill patternType="solid">
        <fgColor rgb="FFE2F0D9"/>
        <bgColor rgb="FFEAF2F8"/>
      </patternFill>
    </fill>
    <fill>
      <patternFill patternType="solid">
        <fgColor rgb="FF17365D"/>
        <bgColor rgb="FF17375E"/>
      </patternFill>
    </fill>
  </fills>
  <borders count="9">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7C9D6"/>
      </left>
      <right/>
      <top style="thin">
        <color rgb="FFB7C9D6"/>
      </top>
      <bottom style="thin">
        <color rgb="FFB7C9D6"/>
      </bottom>
      <diagonal/>
    </border>
    <border diagonalUp="false" diagonalDown="false">
      <left/>
      <right/>
      <top style="thin">
        <color rgb="FFB7C9D6"/>
      </top>
      <bottom style="thin">
        <color rgb="FFB7C9D6"/>
      </bottom>
      <diagonal/>
    </border>
    <border diagonalUp="false" diagonalDown="false">
      <left/>
      <right style="thin">
        <color rgb="FFB7C9D6"/>
      </right>
      <top style="thin">
        <color rgb="FFB7C9D6"/>
      </top>
      <bottom style="thin">
        <color rgb="FFB7C9D6"/>
      </bottom>
      <diagonal/>
    </border>
    <border diagonalUp="false" diagonalDown="false">
      <left/>
      <right/>
      <top style="thin">
        <color rgb="FFB7C9D6"/>
      </top>
      <bottom/>
      <diagonal/>
    </border>
    <border diagonalUp="false" diagonalDown="false">
      <left/>
      <right/>
      <top style="thin">
        <color rgb="FF16324F"/>
      </top>
      <bottom style="double">
        <color rgb="FF16324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14" fillId="3" borderId="2" xfId="0" applyFont="true" applyBorder="true" applyAlignment="true" applyProtection="false">
      <alignment horizontal="general" vertical="center" textRotation="0" wrapText="true" indent="0" shrinkToFit="false"/>
      <protection locked="true" hidden="false"/>
    </xf>
    <xf numFmtId="164" fontId="15" fillId="0" borderId="2" xfId="0" applyFont="true" applyBorder="true" applyAlignment="true" applyProtection="false">
      <alignment horizontal="center" vertical="center" textRotation="0" wrapText="false" indent="0" shrinkToFit="false"/>
      <protection locked="true" hidden="false"/>
    </xf>
    <xf numFmtId="164" fontId="16" fillId="0" borderId="2" xfId="0" applyFont="true" applyBorder="true" applyAlignment="true" applyProtection="false">
      <alignment horizontal="general" vertical="center" textRotation="0" wrapText="true" indent="0" shrinkToFit="false"/>
      <protection locked="true" hidden="false"/>
    </xf>
    <xf numFmtId="164" fontId="17" fillId="0" borderId="2" xfId="0" applyFont="true" applyBorder="true" applyAlignment="true" applyProtection="false">
      <alignment horizontal="general" vertical="center" textRotation="0" wrapText="true" indent="0" shrinkToFit="false"/>
      <protection locked="true" hidden="false"/>
    </xf>
    <xf numFmtId="164" fontId="18" fillId="0" borderId="2" xfId="0" applyFont="true" applyBorder="true" applyAlignment="true" applyProtection="false">
      <alignment horizontal="center" vertical="center" textRotation="0" wrapText="false" indent="0" shrinkToFit="false"/>
      <protection locked="true" hidden="false"/>
    </xf>
    <xf numFmtId="164" fontId="14" fillId="0" borderId="2" xfId="0" applyFont="true" applyBorder="true" applyAlignment="true" applyProtection="false">
      <alignment horizontal="general" vertical="center" textRotation="0" wrapText="true" indent="0" shrinkToFit="false"/>
      <protection locked="true" hidden="false"/>
    </xf>
    <xf numFmtId="164" fontId="19" fillId="8" borderId="0"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3" borderId="3" xfId="0" applyFont="true" applyBorder="true" applyAlignment="true" applyProtection="false">
      <alignment horizontal="center" vertical="center" textRotation="0" wrapText="true" indent="0" shrinkToFit="false"/>
      <protection locked="true" hidden="false"/>
    </xf>
    <xf numFmtId="164" fontId="21" fillId="3" borderId="4" xfId="0" applyFont="true" applyBorder="true" applyAlignment="true" applyProtection="false">
      <alignment horizontal="center" vertical="center" textRotation="0" wrapText="true" indent="0" shrinkToFit="false"/>
      <protection locked="true" hidden="false"/>
    </xf>
    <xf numFmtId="164" fontId="21" fillId="3" borderId="5" xfId="0" applyFont="true" applyBorder="true" applyAlignment="true" applyProtection="false">
      <alignment horizontal="center" vertical="center" textRotation="0" wrapText="true" indent="0" shrinkToFit="false"/>
      <protection locked="true" hidden="false"/>
    </xf>
    <xf numFmtId="165" fontId="22" fillId="7" borderId="0" xfId="0" applyFont="true" applyBorder="false" applyAlignment="true" applyProtection="false">
      <alignment horizontal="general" vertical="bottom" textRotation="0" wrapText="false" indent="0" shrinkToFit="false"/>
      <protection locked="true" hidden="false"/>
    </xf>
    <xf numFmtId="165" fontId="20" fillId="7" borderId="0" xfId="0" applyFont="true" applyBorder="false" applyAlignment="true" applyProtection="false">
      <alignment horizontal="general" vertical="bottom" textRotation="0" wrapText="false" indent="0" shrinkToFit="false"/>
      <protection locked="true" hidden="false"/>
    </xf>
    <xf numFmtId="166" fontId="20" fillId="7" borderId="0" xfId="0" applyFont="true" applyBorder="false" applyAlignment="true" applyProtection="false">
      <alignment horizontal="general" vertical="bottom" textRotation="0" wrapText="false" indent="0" shrinkToFit="false"/>
      <protection locked="true" hidden="false"/>
    </xf>
    <xf numFmtId="166"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true" applyAlignment="true" applyProtection="false">
      <alignment horizontal="left" vertical="center" textRotation="0" wrapText="false" indent="0" shrinkToFit="false"/>
      <protection locked="true" hidden="false"/>
    </xf>
    <xf numFmtId="164" fontId="20" fillId="0" borderId="6" xfId="0" applyFont="true" applyBorder="true" applyAlignment="true" applyProtection="false">
      <alignment horizontal="general" vertical="bottom" textRotation="0" wrapText="true" indent="0" shrinkToFit="false"/>
      <protection locked="true" hidden="false"/>
    </xf>
    <xf numFmtId="167" fontId="20" fillId="7" borderId="6" xfId="0" applyFont="true" applyBorder="tru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8" fontId="20" fillId="7" borderId="0" xfId="0" applyFont="true" applyBorder="false" applyAlignment="true" applyProtection="false">
      <alignment horizontal="general" vertical="bottom" textRotation="0" wrapText="true" indent="0" shrinkToFit="false"/>
      <protection locked="true" hidden="false"/>
    </xf>
    <xf numFmtId="169" fontId="20" fillId="7" borderId="0" xfId="0" applyFont="true" applyBorder="false" applyAlignment="true" applyProtection="false">
      <alignment horizontal="general" vertical="bottom" textRotation="0" wrapText="true" indent="0" shrinkToFit="false"/>
      <protection locked="true" hidden="false"/>
    </xf>
    <xf numFmtId="170" fontId="20" fillId="7" borderId="0" xfId="0" applyFont="true" applyBorder="false" applyAlignment="true" applyProtection="false">
      <alignment horizontal="general" vertical="bottom" textRotation="0" wrapText="true" indent="0" shrinkToFit="false"/>
      <protection locked="true" hidden="false"/>
    </xf>
    <xf numFmtId="165" fontId="20" fillId="7" borderId="0" xfId="0" applyFont="true" applyBorder="false" applyAlignment="true" applyProtection="false">
      <alignment horizontal="general" vertical="bottom" textRotation="0" wrapText="true" indent="0" shrinkToFit="false"/>
      <protection locked="true" hidden="false"/>
    </xf>
    <xf numFmtId="165" fontId="20" fillId="0" borderId="0" xfId="0" applyFont="true" applyBorder="false" applyAlignment="true" applyProtection="false">
      <alignment horizontal="general" vertical="bottom" textRotation="0" wrapText="true" indent="0" shrinkToFit="false"/>
      <protection locked="true" hidden="false"/>
    </xf>
    <xf numFmtId="171" fontId="20" fillId="7"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right" vertical="bottom" textRotation="0" wrapText="true" indent="0" shrinkToFit="false"/>
      <protection locked="true" hidden="false"/>
    </xf>
    <xf numFmtId="166" fontId="20" fillId="7" borderId="0" xfId="0" applyFont="true" applyBorder="false" applyAlignment="true" applyProtection="false">
      <alignment horizontal="general" vertical="bottom" textRotation="0" wrapText="true" indent="0" shrinkToFit="false"/>
      <protection locked="true" hidden="false"/>
    </xf>
    <xf numFmtId="166" fontId="20" fillId="0" borderId="0" xfId="0" applyFont="true" applyBorder="false" applyAlignment="true" applyProtection="false">
      <alignment horizontal="general" vertical="bottom" textRotation="0" wrapText="true" indent="0" shrinkToFit="false"/>
      <protection locked="true" hidden="false"/>
    </xf>
    <xf numFmtId="172" fontId="20" fillId="7" borderId="0" xfId="0" applyFont="true" applyBorder="false" applyAlignment="true" applyProtection="false">
      <alignment horizontal="general" vertical="bottom" textRotation="0" wrapText="true" indent="0" shrinkToFit="false"/>
      <protection locked="true" hidden="false"/>
    </xf>
    <xf numFmtId="166" fontId="22" fillId="7" borderId="0" xfId="0" applyFont="true" applyBorder="false" applyAlignment="true" applyProtection="false">
      <alignment horizontal="general" vertical="bottom" textRotation="0" wrapText="true" indent="0" shrinkToFit="false"/>
      <protection locked="true" hidden="false"/>
    </xf>
    <xf numFmtId="173" fontId="22" fillId="7" borderId="0" xfId="0" applyFont="true" applyBorder="false" applyAlignment="true" applyProtection="false">
      <alignment horizontal="general" vertical="bottom" textRotation="0" wrapText="true" indent="0" shrinkToFit="false"/>
      <protection locked="true" hidden="false"/>
    </xf>
    <xf numFmtId="173" fontId="22" fillId="0" borderId="0" xfId="0" applyFont="true" applyBorder="false" applyAlignment="true" applyProtection="false">
      <alignment horizontal="general" vertical="bottom" textRotation="0" wrapText="true" indent="0" shrinkToFit="false"/>
      <protection locked="true" hidden="false"/>
    </xf>
    <xf numFmtId="173" fontId="22" fillId="0" borderId="0" xfId="0" applyFont="true" applyBorder="false" applyAlignment="true" applyProtection="false">
      <alignment horizontal="general" vertical="bottom" textRotation="0" wrapText="false" indent="0" shrinkToFit="false"/>
      <protection locked="true" hidden="false"/>
    </xf>
    <xf numFmtId="164" fontId="20" fillId="7" borderId="0" xfId="0" applyFont="true" applyBorder="false" applyAlignment="true" applyProtection="false">
      <alignment horizontal="general" vertical="bottom" textRotation="0" wrapText="true" indent="0" shrinkToFit="false"/>
      <protection locked="true" hidden="false"/>
    </xf>
    <xf numFmtId="164" fontId="21" fillId="0" borderId="0" xfId="0" applyFont="true" applyBorder="false" applyAlignment="true" applyProtection="false">
      <alignment horizontal="general" vertical="bottom" textRotation="0" wrapText="true" indent="0" shrinkToFit="false"/>
      <protection locked="true" hidden="false"/>
    </xf>
    <xf numFmtId="174" fontId="22" fillId="7" borderId="0" xfId="0" applyFont="true" applyBorder="false" applyAlignment="true" applyProtection="false">
      <alignment horizontal="general" vertical="bottom" textRotation="0" wrapText="true" indent="0" shrinkToFit="false"/>
      <protection locked="true" hidden="false"/>
    </xf>
    <xf numFmtId="174" fontId="22" fillId="7" borderId="0" xfId="0" applyFont="true" applyBorder="false" applyAlignment="true" applyProtection="false">
      <alignment horizontal="general" vertical="bottom" textRotation="0" wrapText="false" indent="0" shrinkToFit="false"/>
      <protection locked="true" hidden="false"/>
    </xf>
    <xf numFmtId="164" fontId="20" fillId="7" borderId="0" xfId="0" applyFont="true" applyBorder="false" applyAlignment="true" applyProtection="false">
      <alignment horizontal="general" vertical="bottom" textRotation="0" wrapText="false" indent="0" shrinkToFit="false"/>
      <protection locked="true" hidden="false"/>
    </xf>
    <xf numFmtId="164" fontId="19" fillId="4" borderId="0" xfId="0" applyFont="true" applyBorder="true" applyAlignment="true" applyProtection="false">
      <alignment horizontal="general" vertical="bottom" textRotation="0" wrapText="false" indent="0" shrinkToFit="false"/>
      <protection locked="true" hidden="false"/>
    </xf>
    <xf numFmtId="174" fontId="20" fillId="0" borderId="0" xfId="0" applyFont="true" applyBorder="false" applyAlignment="true" applyProtection="false">
      <alignment horizontal="general" vertical="bottom" textRotation="0" wrapText="true" indent="0" shrinkToFit="false"/>
      <protection locked="true" hidden="false"/>
    </xf>
    <xf numFmtId="175" fontId="20" fillId="0" borderId="0" xfId="0" applyFont="true" applyBorder="false" applyAlignment="true" applyProtection="false">
      <alignment horizontal="general" vertical="bottom" textRotation="0" wrapText="true" indent="0" shrinkToFit="false"/>
      <protection locked="true" hidden="false"/>
    </xf>
    <xf numFmtId="165" fontId="23" fillId="7" borderId="0" xfId="0" applyFont="true" applyBorder="false" applyAlignment="true" applyProtection="false">
      <alignment horizontal="general" vertical="bottom" textRotation="0" wrapText="true" indent="0" shrinkToFit="false"/>
      <protection locked="true" hidden="false"/>
    </xf>
    <xf numFmtId="165" fontId="22" fillId="7" borderId="0" xfId="0" applyFont="true" applyBorder="false" applyAlignment="true" applyProtection="false">
      <alignment horizontal="general" vertical="bottom" textRotation="0" wrapText="true" indent="0" shrinkToFit="false"/>
      <protection locked="true" hidden="false"/>
    </xf>
    <xf numFmtId="176" fontId="20" fillId="0" borderId="0" xfId="0" applyFont="true" applyBorder="false" applyAlignment="true" applyProtection="false">
      <alignment horizontal="general" vertical="bottom" textRotation="0" wrapText="true" indent="0" shrinkToFit="false"/>
      <protection locked="true" hidden="false"/>
    </xf>
    <xf numFmtId="175" fontId="24" fillId="0" borderId="0" xfId="0" applyFont="true" applyBorder="false" applyAlignment="true" applyProtection="false">
      <alignment horizontal="general" vertical="bottom" textRotation="0" wrapText="true" indent="0" shrinkToFit="false"/>
      <protection locked="true" hidden="false"/>
    </xf>
    <xf numFmtId="174" fontId="22" fillId="0" borderId="0" xfId="0" applyFont="true" applyBorder="false" applyAlignment="true" applyProtection="false">
      <alignment horizontal="general" vertical="bottom" textRotation="0" wrapText="true" indent="0" shrinkToFit="false"/>
      <protection locked="true" hidden="false"/>
    </xf>
    <xf numFmtId="164" fontId="19" fillId="4" borderId="0" xfId="0" applyFont="true" applyBorder="true" applyAlignment="true" applyProtection="false">
      <alignment horizontal="general" vertical="bottom" textRotation="0" wrapText="true" indent="0" shrinkToFit="false"/>
      <protection locked="true" hidden="false"/>
    </xf>
    <xf numFmtId="164" fontId="20" fillId="0" borderId="0" xfId="0" applyFont="true" applyBorder="true" applyAlignment="true" applyProtection="false">
      <alignment horizontal="general" vertical="bottom" textRotation="0" wrapText="true" indent="0" shrinkToFit="false"/>
      <protection locked="true" hidden="false"/>
    </xf>
    <xf numFmtId="164" fontId="25" fillId="0" borderId="0" xfId="0" applyFont="true" applyBorder="true" applyAlignment="true" applyProtection="false">
      <alignment horizontal="general" vertical="bottom" textRotation="0" wrapText="true" indent="0" shrinkToFit="false"/>
      <protection locked="true" hidden="false"/>
    </xf>
    <xf numFmtId="164" fontId="25" fillId="7" borderId="0" xfId="0" applyFont="true" applyBorder="true" applyAlignment="true" applyProtection="false">
      <alignment horizontal="general" vertical="bottom"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5" fontId="21" fillId="0" borderId="0" xfId="0" applyFont="true" applyBorder="false" applyAlignment="true" applyProtection="false">
      <alignment horizontal="general" vertical="bottom" textRotation="0" wrapText="false" indent="0" shrinkToFit="false"/>
      <protection locked="true" hidden="false"/>
    </xf>
    <xf numFmtId="164" fontId="26" fillId="2" borderId="0" xfId="0" applyFont="true" applyBorder="true" applyAlignment="true" applyProtection="false">
      <alignment horizontal="left" vertical="bottom" textRotation="0" wrapText="false" indent="0" shrinkToFit="false"/>
      <protection locked="true" hidden="false"/>
    </xf>
    <xf numFmtId="165" fontId="4" fillId="0" borderId="2" xfId="0" applyFont="true" applyBorder="true" applyAlignment="true" applyProtection="false">
      <alignment horizontal="general" vertical="bottom" textRotation="0" wrapText="false" indent="0" shrinkToFit="false"/>
      <protection locked="true" hidden="false"/>
    </xf>
    <xf numFmtId="177" fontId="22" fillId="7" borderId="2" xfId="0" applyFont="true" applyBorder="true" applyAlignment="true" applyProtection="false">
      <alignment horizontal="general" vertical="bottom" textRotation="0" wrapText="false" indent="0" shrinkToFit="false"/>
      <protection locked="true" hidden="false"/>
    </xf>
    <xf numFmtId="165" fontId="22" fillId="7" borderId="2" xfId="0" applyFont="true" applyBorder="true" applyAlignment="true" applyProtection="false">
      <alignment horizontal="general" vertical="bottom" textRotation="0" wrapText="false" indent="0" shrinkToFit="false"/>
      <protection locked="true" hidden="false"/>
    </xf>
    <xf numFmtId="173" fontId="22" fillId="7" borderId="2" xfId="0" applyFont="true" applyBorder="true" applyAlignment="true" applyProtection="false">
      <alignment horizontal="general" vertical="bottom" textRotation="0" wrapText="false" indent="0" shrinkToFit="false"/>
      <protection locked="true" hidden="false"/>
    </xf>
    <xf numFmtId="178" fontId="22" fillId="7" borderId="2" xfId="0" applyFont="true" applyBorder="tru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5" fontId="23" fillId="7" borderId="2" xfId="0" applyFont="true" applyBorder="true" applyAlignment="true" applyProtection="false">
      <alignment horizontal="general" vertical="bottom" textRotation="0" wrapText="false" indent="0" shrinkToFit="false"/>
      <protection locked="true" hidden="false"/>
    </xf>
    <xf numFmtId="179" fontId="23" fillId="7" borderId="2" xfId="0" applyFont="true" applyBorder="true" applyAlignment="true" applyProtection="false">
      <alignment horizontal="general" vertical="bottom" textRotation="0" wrapText="false" indent="0" shrinkToFit="false"/>
      <protection locked="true" hidden="false"/>
    </xf>
    <xf numFmtId="164" fontId="28" fillId="6" borderId="0" xfId="0" applyFont="true" applyBorder="true" applyAlignment="true" applyProtection="false">
      <alignment horizontal="general" vertical="bottom" textRotation="0" wrapText="true" indent="0" shrinkToFit="false"/>
      <protection locked="true" hidden="false"/>
    </xf>
    <xf numFmtId="164" fontId="29" fillId="0" borderId="0" xfId="0" applyFont="true" applyBorder="true" applyAlignment="true" applyProtection="false">
      <alignment horizontal="general" vertical="bottom" textRotation="0" wrapText="true" indent="0" shrinkToFit="false"/>
      <protection locked="true" hidden="false"/>
    </xf>
    <xf numFmtId="164" fontId="30" fillId="0" borderId="0" xfId="0" applyFont="true" applyBorder="false" applyAlignment="true" applyProtection="false">
      <alignment horizontal="general" vertical="bottom" textRotation="0" wrapText="true" indent="0" shrinkToFit="false"/>
      <protection locked="true" hidden="false"/>
    </xf>
    <xf numFmtId="164" fontId="31" fillId="0" borderId="0" xfId="0" applyFont="true" applyBorder="false" applyAlignment="true" applyProtection="false">
      <alignment horizontal="general" vertical="bottom" textRotation="0" wrapText="true" indent="0" shrinkToFit="false"/>
      <protection locked="true" hidden="false"/>
    </xf>
    <xf numFmtId="164" fontId="19" fillId="4" borderId="0" xfId="0" applyFont="true" applyBorder="false" applyAlignment="true" applyProtection="false">
      <alignment horizontal="general" vertical="bottom" textRotation="0" wrapText="false" indent="0" shrinkToFit="false"/>
      <protection locked="true" hidden="false"/>
    </xf>
    <xf numFmtId="180" fontId="20" fillId="7" borderId="6" xfId="0" applyFont="true" applyBorder="true" applyAlignment="true" applyProtection="false">
      <alignment horizontal="general" vertical="bottom" textRotation="0" wrapText="true" indent="0" shrinkToFit="false"/>
      <protection locked="true" hidden="false"/>
    </xf>
    <xf numFmtId="181" fontId="20" fillId="7" borderId="0" xfId="0" applyFont="true" applyBorder="false" applyAlignment="true" applyProtection="false">
      <alignment horizontal="general" vertical="bottom" textRotation="0" wrapText="true" indent="0" shrinkToFit="false"/>
      <protection locked="true" hidden="false"/>
    </xf>
    <xf numFmtId="164" fontId="25" fillId="7" borderId="0" xfId="0" applyFont="true" applyBorder="false" applyAlignment="true" applyProtection="false">
      <alignment horizontal="general" vertical="bottom" textRotation="0" wrapText="true" indent="0" shrinkToFit="false"/>
      <protection locked="true" hidden="false"/>
    </xf>
    <xf numFmtId="164" fontId="32" fillId="3" borderId="1" xfId="0" applyFont="true" applyBorder="true" applyAlignment="true" applyProtection="false">
      <alignment horizontal="center" vertical="bottom" textRotation="0" wrapText="false" indent="0" shrinkToFit="false"/>
      <protection locked="true" hidden="false"/>
    </xf>
    <xf numFmtId="164" fontId="16" fillId="3" borderId="1" xfId="0" applyFont="true" applyBorder="true" applyAlignment="true" applyProtection="false">
      <alignment horizontal="center" vertical="bottom" textRotation="0" wrapText="false" indent="0" shrinkToFit="false"/>
      <protection locked="true" hidden="false"/>
    </xf>
    <xf numFmtId="182" fontId="15" fillId="0" borderId="2" xfId="0" applyFont="true" applyBorder="true" applyAlignment="true" applyProtection="false">
      <alignment horizontal="general" vertical="center" textRotation="0" wrapText="false" indent="0" shrinkToFit="false"/>
      <protection locked="true" hidden="false"/>
    </xf>
    <xf numFmtId="164" fontId="30" fillId="0" borderId="2" xfId="0" applyFont="true" applyBorder="true" applyAlignment="true" applyProtection="false">
      <alignment horizontal="general" vertical="center" textRotation="0" wrapText="false" indent="0" shrinkToFit="false"/>
      <protection locked="true" hidden="false"/>
    </xf>
    <xf numFmtId="165" fontId="15" fillId="0" borderId="2" xfId="0" applyFont="true" applyBorder="true" applyAlignment="true" applyProtection="false">
      <alignment horizontal="general" vertical="center" textRotation="0" wrapText="false" indent="0" shrinkToFit="false"/>
      <protection locked="true" hidden="false"/>
    </xf>
    <xf numFmtId="183" fontId="15" fillId="0" borderId="2" xfId="0" applyFont="true" applyBorder="true" applyAlignment="true" applyProtection="false">
      <alignment horizontal="general" vertical="center" textRotation="0" wrapText="false" indent="0" shrinkToFit="false"/>
      <protection locked="true" hidden="false"/>
    </xf>
    <xf numFmtId="184" fontId="15" fillId="0" borderId="2" xfId="0" applyFont="true" applyBorder="true" applyAlignment="true" applyProtection="false">
      <alignment horizontal="general" vertical="center" textRotation="0" wrapText="false" indent="0" shrinkToFit="false"/>
      <protection locked="true" hidden="false"/>
    </xf>
    <xf numFmtId="185" fontId="15" fillId="0" borderId="2" xfId="0" applyFont="true" applyBorder="true" applyAlignment="true" applyProtection="false">
      <alignment horizontal="general" vertical="center" textRotation="0" wrapText="false" indent="0" shrinkToFit="false"/>
      <protection locked="true" hidden="false"/>
    </xf>
    <xf numFmtId="186" fontId="15" fillId="0" borderId="2" xfId="0" applyFont="true" applyBorder="true" applyAlignment="true" applyProtection="false">
      <alignment horizontal="general" vertical="center" textRotation="0" wrapText="false" indent="0" shrinkToFit="false"/>
      <protection locked="true" hidden="false"/>
    </xf>
    <xf numFmtId="187" fontId="15" fillId="0" borderId="2" xfId="0" applyFont="true" applyBorder="true" applyAlignment="true" applyProtection="false">
      <alignment horizontal="general" vertical="center" textRotation="0" wrapText="false" indent="0" shrinkToFit="false"/>
      <protection locked="true" hidden="false"/>
    </xf>
    <xf numFmtId="188" fontId="15" fillId="0" borderId="2" xfId="0" applyFont="true" applyBorder="true" applyAlignment="true" applyProtection="false">
      <alignment horizontal="general" vertical="center" textRotation="0" wrapText="false" indent="0" shrinkToFit="false"/>
      <protection locked="true" hidden="false"/>
    </xf>
    <xf numFmtId="189" fontId="15" fillId="0" borderId="2" xfId="0" applyFont="true" applyBorder="true" applyAlignment="true" applyProtection="false">
      <alignment horizontal="general" vertical="center" textRotation="0" wrapText="false" indent="0" shrinkToFit="false"/>
      <protection locked="true" hidden="false"/>
    </xf>
    <xf numFmtId="164" fontId="33" fillId="4" borderId="0" xfId="0" applyFont="true" applyBorder="true" applyAlignment="true" applyProtection="false">
      <alignment horizontal="left" vertical="bottom" textRotation="0" wrapText="false" indent="0" shrinkToFit="false"/>
      <protection locked="true" hidden="false"/>
    </xf>
    <xf numFmtId="164" fontId="32" fillId="3" borderId="2" xfId="0" applyFont="true" applyBorder="true" applyAlignment="true" applyProtection="false">
      <alignment horizontal="general" vertical="center" textRotation="0" wrapText="true" indent="0" shrinkToFit="false"/>
      <protection locked="true" hidden="false"/>
    </xf>
    <xf numFmtId="164" fontId="15" fillId="0" borderId="2" xfId="0" applyFont="true" applyBorder="true" applyAlignment="true" applyProtection="false">
      <alignment horizontal="general" vertical="center" textRotation="0" wrapText="false" indent="0" shrinkToFit="false"/>
      <protection locked="true" hidden="false"/>
    </xf>
    <xf numFmtId="173" fontId="15" fillId="0" borderId="2" xfId="0" applyFont="true" applyBorder="true" applyAlignment="true" applyProtection="false">
      <alignment horizontal="general" vertical="center" textRotation="0" wrapText="false" indent="0" shrinkToFit="false"/>
      <protection locked="true" hidden="false"/>
    </xf>
    <xf numFmtId="164" fontId="34" fillId="7" borderId="0" xfId="0" applyFont="true" applyBorder="true" applyAlignment="true" applyProtection="false">
      <alignment horizontal="general" vertical="bottom" textRotation="0" wrapText="true" indent="0" shrinkToFit="false"/>
      <protection locked="true" hidden="false"/>
    </xf>
    <xf numFmtId="164" fontId="35" fillId="8" borderId="0" xfId="0" applyFont="true" applyBorder="true" applyAlignment="true" applyProtection="false">
      <alignment horizontal="center" vertical="center" textRotation="0" wrapText="false" indent="0" shrinkToFit="false"/>
      <protection locked="true" hidden="false"/>
    </xf>
    <xf numFmtId="164" fontId="36" fillId="3" borderId="3" xfId="0" applyFont="true" applyBorder="true" applyAlignment="true" applyProtection="false">
      <alignment horizontal="center" vertical="center" textRotation="0" wrapText="true" indent="0" shrinkToFit="false"/>
      <protection locked="true" hidden="false"/>
    </xf>
    <xf numFmtId="164" fontId="36" fillId="3" borderId="4" xfId="0" applyFont="true" applyBorder="true" applyAlignment="true" applyProtection="false">
      <alignment horizontal="center" vertical="center" textRotation="0" wrapText="true" indent="0" shrinkToFit="false"/>
      <protection locked="true" hidden="false"/>
    </xf>
    <xf numFmtId="164" fontId="36" fillId="3" borderId="5" xfId="0" applyFont="true" applyBorder="true" applyAlignment="true" applyProtection="false">
      <alignment horizontal="center" vertical="center" textRotation="0" wrapText="true" indent="0" shrinkToFit="false"/>
      <protection locked="true" hidden="false"/>
    </xf>
    <xf numFmtId="164" fontId="37" fillId="7" borderId="0" xfId="0" applyFont="true" applyBorder="false" applyAlignment="true" applyProtection="false">
      <alignment horizontal="general" vertical="bottom" textRotation="0" wrapText="false" indent="0" shrinkToFit="false"/>
      <protection locked="true" hidden="false"/>
    </xf>
    <xf numFmtId="166" fontId="31" fillId="7" borderId="0" xfId="0" applyFont="true" applyBorder="false" applyAlignment="true" applyProtection="false">
      <alignment horizontal="general" vertical="bottom" textRotation="0" wrapText="false" indent="0" shrinkToFit="false"/>
      <protection locked="true" hidden="false"/>
    </xf>
    <xf numFmtId="165" fontId="31" fillId="7"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6" fontId="38"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5"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true" applyAlignment="true" applyProtection="false">
      <alignment horizontal="general" vertical="bottom" textRotation="0" wrapText="true" indent="0" shrinkToFit="false"/>
      <protection locked="true" hidden="false"/>
    </xf>
    <xf numFmtId="164" fontId="35" fillId="8"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0" fillId="3" borderId="4" xfId="0" applyFont="true" applyBorder="true" applyAlignment="true" applyProtection="false">
      <alignment horizontal="center" vertical="center" textRotation="0" wrapText="true" indent="0" shrinkToFit="false"/>
      <protection locked="true" hidden="false"/>
    </xf>
    <xf numFmtId="164" fontId="37" fillId="7" borderId="0" xfId="0" applyFont="true" applyBorder="false" applyAlignment="true" applyProtection="false">
      <alignment horizontal="general" vertical="bottom" textRotation="0" wrapText="true" indent="0" shrinkToFit="false"/>
      <protection locked="true" hidden="false"/>
    </xf>
    <xf numFmtId="177" fontId="31" fillId="7" borderId="0" xfId="0" applyFont="true" applyBorder="false" applyAlignment="true" applyProtection="false">
      <alignment horizontal="general" vertical="bottom" textRotation="0" wrapText="true" indent="0" shrinkToFit="false"/>
      <protection locked="true" hidden="false"/>
    </xf>
    <xf numFmtId="165" fontId="38" fillId="0" borderId="0" xfId="0" applyFont="true" applyBorder="false" applyAlignment="true" applyProtection="false">
      <alignment horizontal="general" vertical="bottom" textRotation="0" wrapText="true" indent="0" shrinkToFit="false"/>
      <protection locked="true" hidden="false"/>
    </xf>
    <xf numFmtId="165" fontId="41" fillId="9" borderId="7" xfId="0" applyFont="true" applyBorder="true" applyAlignment="true" applyProtection="false">
      <alignment horizontal="general" vertical="bottom" textRotation="0" wrapText="true" indent="0" shrinkToFit="false"/>
      <protection locked="true" hidden="false"/>
    </xf>
    <xf numFmtId="177" fontId="42" fillId="9" borderId="7" xfId="0" applyFont="true" applyBorder="true" applyAlignment="true" applyProtection="false">
      <alignment horizontal="general" vertical="bottom" textRotation="0" wrapText="tru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4" fontId="36" fillId="0" borderId="0" xfId="0" applyFont="true" applyBorder="false" applyAlignment="true" applyProtection="false">
      <alignment horizontal="general" vertical="bottom" textRotation="0" wrapText="true" indent="0" shrinkToFit="false"/>
      <protection locked="true" hidden="false"/>
    </xf>
    <xf numFmtId="164" fontId="43" fillId="6" borderId="0" xfId="0" applyFont="true" applyBorder="true" applyAlignment="true" applyProtection="false">
      <alignment horizontal="general" vertical="bottom" textRotation="0" wrapText="true" indent="0" shrinkToFit="false"/>
      <protection locked="true" hidden="false"/>
    </xf>
    <xf numFmtId="164" fontId="40" fillId="3" borderId="5" xfId="0" applyFont="true" applyBorder="true" applyAlignment="true" applyProtection="false">
      <alignment horizontal="center" vertical="center" textRotation="0" wrapText="true" indent="0" shrinkToFit="false"/>
      <protection locked="true" hidden="false"/>
    </xf>
    <xf numFmtId="177" fontId="31" fillId="7" borderId="0" xfId="0" applyFont="true" applyBorder="false" applyAlignment="true" applyProtection="false">
      <alignment horizontal="general" vertical="bottom" textRotation="0" wrapText="false" indent="0" shrinkToFit="false"/>
      <protection locked="true" hidden="false"/>
    </xf>
    <xf numFmtId="165" fontId="41" fillId="9" borderId="7"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44" fillId="5" borderId="0" xfId="0" applyFont="true" applyBorder="true" applyAlignment="true" applyProtection="false">
      <alignment horizontal="general" vertical="bottom" textRotation="0" wrapText="true" indent="0" shrinkToFit="false"/>
      <protection locked="true" hidden="false"/>
    </xf>
    <xf numFmtId="190" fontId="31" fillId="7" borderId="0" xfId="0" applyFont="true" applyBorder="false" applyAlignment="true" applyProtection="false">
      <alignment horizontal="general" vertical="bottom" textRotation="0" wrapText="false" indent="0" shrinkToFit="false"/>
      <protection locked="true" hidden="false"/>
    </xf>
    <xf numFmtId="191" fontId="31" fillId="7" borderId="0" xfId="0" applyFont="true" applyBorder="false" applyAlignment="true" applyProtection="false">
      <alignment horizontal="general" vertical="bottom" textRotation="0" wrapText="false" indent="0" shrinkToFit="false"/>
      <protection locked="true" hidden="false"/>
    </xf>
    <xf numFmtId="192" fontId="31" fillId="7" borderId="0" xfId="0" applyFont="true" applyBorder="false" applyAlignment="true" applyProtection="false">
      <alignment horizontal="general" vertical="bottom" textRotation="0" wrapText="false" indent="0" shrinkToFit="false"/>
      <protection locked="true" hidden="false"/>
    </xf>
    <xf numFmtId="193" fontId="31" fillId="7" borderId="0" xfId="0" applyFont="true" applyBorder="false" applyAlignment="true" applyProtection="false">
      <alignment horizontal="general" vertical="bottom" textRotation="0" wrapText="false" indent="0" shrinkToFit="false"/>
      <protection locked="true" hidden="false"/>
    </xf>
    <xf numFmtId="194" fontId="31" fillId="7" borderId="0" xfId="0" applyFont="true" applyBorder="false" applyAlignment="true" applyProtection="false">
      <alignment horizontal="general" vertical="bottom" textRotation="0" wrapText="false" indent="0" shrinkToFit="false"/>
      <protection locked="true" hidden="false"/>
    </xf>
    <xf numFmtId="195" fontId="31" fillId="7" borderId="0" xfId="0" applyFont="true" applyBorder="false" applyAlignment="true" applyProtection="false">
      <alignment horizontal="general" vertical="bottom" textRotation="0" wrapText="false" indent="0" shrinkToFit="false"/>
      <protection locked="true" hidden="false"/>
    </xf>
    <xf numFmtId="196" fontId="31" fillId="7" borderId="0" xfId="0" applyFont="true" applyBorder="false" applyAlignment="true" applyProtection="false">
      <alignment horizontal="general" vertical="bottom" textRotation="0" wrapText="false" indent="0" shrinkToFit="false"/>
      <protection locked="true" hidden="false"/>
    </xf>
    <xf numFmtId="197" fontId="31" fillId="7" borderId="0" xfId="0" applyFont="true" applyBorder="false" applyAlignment="true" applyProtection="false">
      <alignment horizontal="general" vertical="bottom" textRotation="0" wrapText="false" indent="0" shrinkToFit="false"/>
      <protection locked="true" hidden="false"/>
    </xf>
    <xf numFmtId="198" fontId="31" fillId="7" borderId="0" xfId="0" applyFont="true" applyBorder="false" applyAlignment="true" applyProtection="false">
      <alignment horizontal="general" vertical="bottom" textRotation="0" wrapText="false" indent="0" shrinkToFit="false"/>
      <protection locked="true" hidden="false"/>
    </xf>
    <xf numFmtId="199" fontId="31" fillId="7" borderId="0" xfId="0" applyFont="true" applyBorder="false" applyAlignment="true" applyProtection="false">
      <alignment horizontal="general" vertical="bottom" textRotation="0" wrapText="false" indent="0" shrinkToFit="false"/>
      <protection locked="true" hidden="false"/>
    </xf>
    <xf numFmtId="200" fontId="31" fillId="7" borderId="0" xfId="0" applyFont="true" applyBorder="false" applyAlignment="true" applyProtection="false">
      <alignment horizontal="general" vertical="bottom" textRotation="0" wrapText="false" indent="0" shrinkToFit="false"/>
      <protection locked="true" hidden="false"/>
    </xf>
    <xf numFmtId="201" fontId="31" fillId="7" borderId="0" xfId="0" applyFont="true" applyBorder="false" applyAlignment="true" applyProtection="false">
      <alignment horizontal="general" vertical="bottom" textRotation="0" wrapText="false" indent="0" shrinkToFit="false"/>
      <protection locked="true" hidden="false"/>
    </xf>
    <xf numFmtId="202" fontId="31" fillId="7" borderId="0" xfId="0" applyFont="true" applyBorder="false" applyAlignment="true" applyProtection="false">
      <alignment horizontal="general" vertical="bottom" textRotation="0" wrapText="false" indent="0" shrinkToFit="false"/>
      <protection locked="true" hidden="false"/>
    </xf>
    <xf numFmtId="203" fontId="31" fillId="7" borderId="0" xfId="0" applyFont="true" applyBorder="false" applyAlignment="true" applyProtection="false">
      <alignment horizontal="general" vertical="bottom" textRotation="0" wrapText="false" indent="0" shrinkToFit="false"/>
      <protection locked="true" hidden="false"/>
    </xf>
    <xf numFmtId="204" fontId="31" fillId="7" borderId="0" xfId="0" applyFont="true" applyBorder="false" applyAlignment="true" applyProtection="false">
      <alignment horizontal="general" vertical="bottom" textRotation="0" wrapText="false" indent="0" shrinkToFit="false"/>
      <protection locked="true" hidden="false"/>
    </xf>
    <xf numFmtId="205" fontId="31" fillId="7" borderId="0" xfId="0" applyFont="true" applyBorder="false" applyAlignment="true" applyProtection="false">
      <alignment horizontal="general" vertical="bottom" textRotation="0" wrapText="false" indent="0" shrinkToFit="false"/>
      <protection locked="true" hidden="false"/>
    </xf>
    <xf numFmtId="206" fontId="31" fillId="7" borderId="0" xfId="0" applyFont="true" applyBorder="false" applyAlignment="true" applyProtection="false">
      <alignment horizontal="general" vertical="bottom" textRotation="0" wrapText="false" indent="0" shrinkToFit="false"/>
      <protection locked="true" hidden="false"/>
    </xf>
    <xf numFmtId="207" fontId="31" fillId="7" borderId="0" xfId="0" applyFont="true" applyBorder="false" applyAlignment="true" applyProtection="false">
      <alignment horizontal="general" vertical="bottom" textRotation="0" wrapText="false" indent="0" shrinkToFit="false"/>
      <protection locked="true" hidden="false"/>
    </xf>
    <xf numFmtId="208" fontId="31" fillId="7" borderId="0" xfId="0" applyFont="true" applyBorder="false" applyAlignment="true" applyProtection="false">
      <alignment horizontal="general" vertical="bottom" textRotation="0" wrapText="false" indent="0" shrinkToFit="false"/>
      <protection locked="true" hidden="false"/>
    </xf>
    <xf numFmtId="209" fontId="31" fillId="7" borderId="0" xfId="0" applyFont="true" applyBorder="false" applyAlignment="true" applyProtection="false">
      <alignment horizontal="general" vertical="bottom" textRotation="0" wrapText="false" indent="0" shrinkToFit="false"/>
      <protection locked="true" hidden="false"/>
    </xf>
    <xf numFmtId="210" fontId="31" fillId="7" borderId="0" xfId="0" applyFont="true" applyBorder="false" applyAlignment="true" applyProtection="false">
      <alignment horizontal="general" vertical="bottom" textRotation="0" wrapText="false" indent="0" shrinkToFit="false"/>
      <protection locked="true" hidden="false"/>
    </xf>
    <xf numFmtId="211" fontId="31" fillId="7" borderId="0" xfId="0" applyFont="true" applyBorder="false" applyAlignment="true" applyProtection="false">
      <alignment horizontal="general" vertical="bottom" textRotation="0" wrapText="false" indent="0" shrinkToFit="false"/>
      <protection locked="true" hidden="false"/>
    </xf>
    <xf numFmtId="212" fontId="31" fillId="7" borderId="0" xfId="0" applyFont="true" applyBorder="false" applyAlignment="true" applyProtection="false">
      <alignment horizontal="general" vertical="bottom" textRotation="0" wrapText="false" indent="0" shrinkToFit="false"/>
      <protection locked="true" hidden="false"/>
    </xf>
    <xf numFmtId="213" fontId="31" fillId="7" borderId="0" xfId="0" applyFont="true" applyBorder="false" applyAlignment="true" applyProtection="false">
      <alignment horizontal="general" vertical="bottom" textRotation="0" wrapText="false" indent="0" shrinkToFit="false"/>
      <protection locked="true" hidden="false"/>
    </xf>
    <xf numFmtId="214" fontId="31" fillId="7" borderId="0" xfId="0" applyFont="true" applyBorder="false" applyAlignment="true" applyProtection="false">
      <alignment horizontal="general" vertical="bottom" textRotation="0" wrapText="false" indent="0" shrinkToFit="false"/>
      <protection locked="true" hidden="false"/>
    </xf>
    <xf numFmtId="215" fontId="31" fillId="7" borderId="0" xfId="0" applyFont="true" applyBorder="false" applyAlignment="true" applyProtection="false">
      <alignment horizontal="general" vertical="bottom" textRotation="0" wrapText="false" indent="0" shrinkToFit="false"/>
      <protection locked="true" hidden="false"/>
    </xf>
    <xf numFmtId="216" fontId="31" fillId="7" borderId="0" xfId="0" applyFont="true" applyBorder="false" applyAlignment="true" applyProtection="false">
      <alignment horizontal="general" vertical="bottom" textRotation="0" wrapText="false" indent="0" shrinkToFit="false"/>
      <protection locked="true" hidden="false"/>
    </xf>
    <xf numFmtId="217" fontId="31" fillId="7" borderId="0" xfId="0" applyFont="true" applyBorder="false" applyAlignment="true" applyProtection="false">
      <alignment horizontal="general" vertical="bottom" textRotation="0" wrapText="false" indent="0" shrinkToFit="false"/>
      <protection locked="true" hidden="false"/>
    </xf>
    <xf numFmtId="218" fontId="31" fillId="7" borderId="0" xfId="0" applyFont="true" applyBorder="false" applyAlignment="true" applyProtection="false">
      <alignment horizontal="general" vertical="bottom" textRotation="0" wrapText="false" indent="0" shrinkToFit="false"/>
      <protection locked="true" hidden="false"/>
    </xf>
    <xf numFmtId="219" fontId="31" fillId="7" borderId="0" xfId="0" applyFont="true" applyBorder="false" applyAlignment="true" applyProtection="false">
      <alignment horizontal="general" vertical="bottom" textRotation="0" wrapText="false" indent="0" shrinkToFit="false"/>
      <protection locked="true" hidden="false"/>
    </xf>
    <xf numFmtId="220" fontId="31" fillId="7" borderId="0" xfId="0" applyFont="true" applyBorder="false" applyAlignment="true" applyProtection="false">
      <alignment horizontal="general" vertical="bottom" textRotation="0" wrapText="false" indent="0" shrinkToFit="false"/>
      <protection locked="true" hidden="false"/>
    </xf>
    <xf numFmtId="221" fontId="31" fillId="7" borderId="0" xfId="0" applyFont="true" applyBorder="false" applyAlignment="true" applyProtection="false">
      <alignment horizontal="general" vertical="bottom" textRotation="0" wrapText="false" indent="0" shrinkToFit="false"/>
      <protection locked="true" hidden="false"/>
    </xf>
    <xf numFmtId="222" fontId="31" fillId="7" borderId="0" xfId="0" applyFont="true" applyBorder="false" applyAlignment="true" applyProtection="false">
      <alignment horizontal="general" vertical="bottom" textRotation="0" wrapText="false" indent="0" shrinkToFit="false"/>
      <protection locked="true" hidden="false"/>
    </xf>
    <xf numFmtId="223" fontId="31" fillId="7" borderId="0" xfId="0" applyFont="true" applyBorder="false" applyAlignment="true" applyProtection="false">
      <alignment horizontal="general" vertical="bottom" textRotation="0" wrapText="false" indent="0" shrinkToFit="false"/>
      <protection locked="true" hidden="false"/>
    </xf>
    <xf numFmtId="224" fontId="31" fillId="7" borderId="0" xfId="0" applyFont="true" applyBorder="false" applyAlignment="true" applyProtection="false">
      <alignment horizontal="general" vertical="bottom" textRotation="0" wrapText="false" indent="0" shrinkToFit="false"/>
      <protection locked="true" hidden="false"/>
    </xf>
    <xf numFmtId="225" fontId="31" fillId="7" borderId="0" xfId="0" applyFont="true" applyBorder="false" applyAlignment="true" applyProtection="false">
      <alignment horizontal="general" vertical="bottom" textRotation="0" wrapText="false" indent="0" shrinkToFit="false"/>
      <protection locked="true" hidden="false"/>
    </xf>
    <xf numFmtId="226" fontId="31" fillId="7" borderId="0" xfId="0" applyFont="true" applyBorder="false" applyAlignment="true" applyProtection="false">
      <alignment horizontal="general" vertical="bottom" textRotation="0" wrapText="false" indent="0" shrinkToFit="false"/>
      <protection locked="true" hidden="false"/>
    </xf>
    <xf numFmtId="227" fontId="31" fillId="7" borderId="0" xfId="0" applyFont="true" applyBorder="false" applyAlignment="true" applyProtection="false">
      <alignment horizontal="general" vertical="bottom" textRotation="0" wrapText="false" indent="0" shrinkToFit="false"/>
      <protection locked="true" hidden="false"/>
    </xf>
    <xf numFmtId="228" fontId="31" fillId="7" borderId="0" xfId="0" applyFont="true" applyBorder="false" applyAlignment="true" applyProtection="false">
      <alignment horizontal="general" vertical="bottom" textRotation="0" wrapText="false" indent="0" shrinkToFit="false"/>
      <protection locked="true" hidden="false"/>
    </xf>
    <xf numFmtId="229" fontId="31" fillId="7" borderId="0" xfId="0" applyFont="true" applyBorder="false" applyAlignment="true" applyProtection="false">
      <alignment horizontal="general" vertical="bottom" textRotation="0" wrapText="false" indent="0" shrinkToFit="false"/>
      <protection locked="true" hidden="false"/>
    </xf>
    <xf numFmtId="230" fontId="31" fillId="7" borderId="0" xfId="0" applyFont="true" applyBorder="false" applyAlignment="true" applyProtection="false">
      <alignment horizontal="general" vertical="bottom" textRotation="0" wrapText="false" indent="0" shrinkToFit="false"/>
      <protection locked="true" hidden="false"/>
    </xf>
    <xf numFmtId="231" fontId="31" fillId="7" borderId="0" xfId="0" applyFont="true" applyBorder="false" applyAlignment="true" applyProtection="false">
      <alignment horizontal="general" vertical="bottom" textRotation="0" wrapText="false" indent="0" shrinkToFit="false"/>
      <protection locked="true" hidden="false"/>
    </xf>
    <xf numFmtId="232" fontId="31" fillId="7" borderId="0" xfId="0" applyFont="true" applyBorder="false" applyAlignment="true" applyProtection="false">
      <alignment horizontal="general" vertical="bottom" textRotation="0" wrapText="false" indent="0" shrinkToFit="false"/>
      <protection locked="true" hidden="false"/>
    </xf>
    <xf numFmtId="233" fontId="31" fillId="7" borderId="0" xfId="0" applyFont="true" applyBorder="false" applyAlignment="true" applyProtection="false">
      <alignment horizontal="general" vertical="bottom" textRotation="0" wrapText="false" indent="0" shrinkToFit="false"/>
      <protection locked="true" hidden="false"/>
    </xf>
    <xf numFmtId="234" fontId="31" fillId="7" borderId="0" xfId="0" applyFont="true" applyBorder="false" applyAlignment="true" applyProtection="false">
      <alignment horizontal="general" vertical="bottom" textRotation="0" wrapText="false" indent="0" shrinkToFit="false"/>
      <protection locked="true" hidden="false"/>
    </xf>
    <xf numFmtId="235" fontId="31" fillId="7" borderId="0" xfId="0" applyFont="true" applyBorder="false" applyAlignment="true" applyProtection="false">
      <alignment horizontal="general" vertical="bottom" textRotation="0" wrapText="false" indent="0" shrinkToFit="false"/>
      <protection locked="true" hidden="false"/>
    </xf>
    <xf numFmtId="236" fontId="31" fillId="7" borderId="0" xfId="0" applyFont="true" applyBorder="false" applyAlignment="true" applyProtection="false">
      <alignment horizontal="general" vertical="bottom" textRotation="0" wrapText="false" indent="0" shrinkToFit="false"/>
      <protection locked="true" hidden="false"/>
    </xf>
    <xf numFmtId="237" fontId="31" fillId="7" borderId="0" xfId="0" applyFont="true" applyBorder="false" applyAlignment="true" applyProtection="false">
      <alignment horizontal="general" vertical="bottom" textRotation="0" wrapText="false" indent="0" shrinkToFit="false"/>
      <protection locked="true" hidden="false"/>
    </xf>
    <xf numFmtId="238" fontId="31" fillId="7" borderId="0" xfId="0" applyFont="true" applyBorder="false" applyAlignment="true" applyProtection="false">
      <alignment horizontal="general" vertical="bottom" textRotation="0" wrapText="false" indent="0" shrinkToFit="false"/>
      <protection locked="true" hidden="false"/>
    </xf>
    <xf numFmtId="239" fontId="31" fillId="7" borderId="0" xfId="0" applyFont="true" applyBorder="false" applyAlignment="true" applyProtection="false">
      <alignment horizontal="general" vertical="bottom" textRotation="0" wrapText="false" indent="0" shrinkToFit="false"/>
      <protection locked="true" hidden="false"/>
    </xf>
    <xf numFmtId="240" fontId="31" fillId="7" borderId="0" xfId="0" applyFont="true" applyBorder="false" applyAlignment="true" applyProtection="false">
      <alignment horizontal="general" vertical="bottom" textRotation="0" wrapText="false" indent="0" shrinkToFit="false"/>
      <protection locked="true" hidden="false"/>
    </xf>
    <xf numFmtId="241" fontId="31" fillId="7" borderId="0" xfId="0" applyFont="true" applyBorder="false" applyAlignment="true" applyProtection="false">
      <alignment horizontal="general" vertical="bottom" textRotation="0" wrapText="false" indent="0" shrinkToFit="false"/>
      <protection locked="true" hidden="false"/>
    </xf>
    <xf numFmtId="242" fontId="31" fillId="7" borderId="0" xfId="0" applyFont="true" applyBorder="false" applyAlignment="true" applyProtection="false">
      <alignment horizontal="general" vertical="bottom" textRotation="0" wrapText="false" indent="0" shrinkToFit="false"/>
      <protection locked="true" hidden="false"/>
    </xf>
    <xf numFmtId="243" fontId="31" fillId="7" borderId="0" xfId="0" applyFont="true" applyBorder="false" applyAlignment="true" applyProtection="false">
      <alignment horizontal="general" vertical="bottom" textRotation="0" wrapText="false" indent="0" shrinkToFit="false"/>
      <protection locked="true" hidden="false"/>
    </xf>
    <xf numFmtId="244" fontId="31" fillId="7" borderId="0" xfId="0" applyFont="true" applyBorder="false" applyAlignment="true" applyProtection="false">
      <alignment horizontal="general" vertical="bottom" textRotation="0" wrapText="false" indent="0" shrinkToFit="false"/>
      <protection locked="true" hidden="false"/>
    </xf>
    <xf numFmtId="245" fontId="31" fillId="7" borderId="0" xfId="0" applyFont="true" applyBorder="false" applyAlignment="true" applyProtection="false">
      <alignment horizontal="general" vertical="bottom" textRotation="0" wrapText="false" indent="0" shrinkToFit="false"/>
      <protection locked="true" hidden="false"/>
    </xf>
    <xf numFmtId="246" fontId="31" fillId="7" borderId="0" xfId="0" applyFont="true" applyBorder="false" applyAlignment="true" applyProtection="false">
      <alignment horizontal="general" vertical="bottom" textRotation="0" wrapText="false" indent="0" shrinkToFit="false"/>
      <protection locked="true" hidden="false"/>
    </xf>
    <xf numFmtId="247" fontId="31" fillId="7" borderId="0" xfId="0" applyFont="true" applyBorder="false" applyAlignment="true" applyProtection="false">
      <alignment horizontal="general" vertical="bottom" textRotation="0" wrapText="false" indent="0" shrinkToFit="false"/>
      <protection locked="true" hidden="false"/>
    </xf>
    <xf numFmtId="248" fontId="31" fillId="7" borderId="0" xfId="0" applyFont="true" applyBorder="false" applyAlignment="true" applyProtection="false">
      <alignment horizontal="general" vertical="bottom" textRotation="0" wrapText="false" indent="0" shrinkToFit="false"/>
      <protection locked="true" hidden="false"/>
    </xf>
    <xf numFmtId="249" fontId="31" fillId="7" borderId="0" xfId="0" applyFont="true" applyBorder="false" applyAlignment="true" applyProtection="false">
      <alignment horizontal="general" vertical="bottom" textRotation="0" wrapText="false" indent="0" shrinkToFit="false"/>
      <protection locked="true" hidden="false"/>
    </xf>
    <xf numFmtId="250" fontId="37" fillId="7" borderId="0" xfId="0" applyFont="true" applyBorder="false" applyAlignment="true" applyProtection="false">
      <alignment horizontal="general" vertical="bottom" textRotation="0" wrapText="false" indent="0" shrinkToFit="false"/>
      <protection locked="true" hidden="false"/>
    </xf>
    <xf numFmtId="251" fontId="37" fillId="7" borderId="0" xfId="0" applyFont="true" applyBorder="false" applyAlignment="true" applyProtection="false">
      <alignment horizontal="general" vertical="bottom" textRotation="0" wrapText="false" indent="0" shrinkToFit="false"/>
      <protection locked="true" hidden="false"/>
    </xf>
    <xf numFmtId="252" fontId="37" fillId="7" borderId="0" xfId="0" applyFont="true" applyBorder="false" applyAlignment="true" applyProtection="false">
      <alignment horizontal="general" vertical="bottom" textRotation="0" wrapText="false" indent="0" shrinkToFit="false"/>
      <protection locked="true" hidden="false"/>
    </xf>
    <xf numFmtId="253" fontId="37" fillId="7" borderId="0" xfId="0" applyFont="true" applyBorder="false" applyAlignment="true" applyProtection="false">
      <alignment horizontal="general" vertical="bottom" textRotation="0" wrapText="false" indent="0" shrinkToFit="false"/>
      <protection locked="true" hidden="false"/>
    </xf>
    <xf numFmtId="254" fontId="37" fillId="7" borderId="0" xfId="0" applyFont="true" applyBorder="false" applyAlignment="true" applyProtection="false">
      <alignment horizontal="general" vertical="bottom" textRotation="0" wrapText="false" indent="0" shrinkToFit="false"/>
      <protection locked="true" hidden="false"/>
    </xf>
    <xf numFmtId="165" fontId="45" fillId="0" borderId="0" xfId="0" applyFont="true" applyBorder="false" applyAlignment="true" applyProtection="false">
      <alignment horizontal="general" vertical="bottom" textRotation="0" wrapText="false" indent="0" shrinkToFit="false"/>
      <protection locked="true" hidden="false"/>
    </xf>
    <xf numFmtId="165" fontId="45" fillId="0" borderId="0" xfId="0" applyFont="true" applyBorder="false" applyAlignment="true" applyProtection="false">
      <alignment horizontal="general" vertical="bottom" textRotation="0" wrapText="true" indent="0" shrinkToFit="false"/>
      <protection locked="true" hidden="false"/>
    </xf>
    <xf numFmtId="164" fontId="33" fillId="4" borderId="0" xfId="0" applyFont="true" applyBorder="true" applyAlignment="true" applyProtection="false">
      <alignment horizontal="general" vertical="bottom" textRotation="0" wrapText="false" indent="0" shrinkToFit="false"/>
      <protection locked="true" hidden="false"/>
    </xf>
    <xf numFmtId="164" fontId="32" fillId="3" borderId="2" xfId="0" applyFont="true" applyBorder="true" applyAlignment="true" applyProtection="false">
      <alignment horizontal="center" vertical="center" textRotation="0" wrapText="false" indent="0" shrinkToFit="false"/>
      <protection locked="true" hidden="false"/>
    </xf>
    <xf numFmtId="164" fontId="16" fillId="3" borderId="2" xfId="0" applyFont="true" applyBorder="true" applyAlignment="true" applyProtection="false">
      <alignment horizontal="center" vertical="center" textRotation="0" wrapText="false" indent="0" shrinkToFit="false"/>
      <protection locked="true" hidden="false"/>
    </xf>
    <xf numFmtId="255" fontId="45" fillId="0" borderId="0" xfId="0" applyFont="true" applyBorder="false" applyAlignment="true" applyProtection="false">
      <alignment horizontal="general" vertical="bottom" textRotation="0" wrapText="false" indent="0" shrinkToFit="false"/>
      <protection locked="true" hidden="false"/>
    </xf>
    <xf numFmtId="164" fontId="32" fillId="3"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center" vertical="center" textRotation="0" wrapText="false" indent="0" shrinkToFit="false"/>
      <protection locked="true" hidden="false"/>
    </xf>
    <xf numFmtId="165" fontId="30" fillId="0" borderId="2" xfId="0" applyFont="true" applyBorder="tru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73" fontId="4" fillId="0" borderId="0" xfId="0" applyFont="true" applyBorder="false" applyAlignment="true" applyProtection="false">
      <alignment horizontal="general" vertical="bottom" textRotation="0" wrapText="true" indent="0" shrinkToFit="false"/>
      <protection locked="true" hidden="false"/>
    </xf>
    <xf numFmtId="190" fontId="15" fillId="0" borderId="0" xfId="0" applyFont="true" applyBorder="false" applyAlignment="true" applyProtection="false">
      <alignment horizontal="general" vertical="bottom" textRotation="0" wrapText="false" indent="0" shrinkToFit="false"/>
      <protection locked="true" hidden="false"/>
    </xf>
    <xf numFmtId="191" fontId="15" fillId="0" borderId="0" xfId="0" applyFont="true" applyBorder="false" applyAlignment="true" applyProtection="false">
      <alignment horizontal="general" vertical="bottom" textRotation="0" wrapText="false" indent="0" shrinkToFit="false"/>
      <protection locked="true" hidden="false"/>
    </xf>
    <xf numFmtId="192" fontId="15" fillId="0" borderId="0" xfId="0" applyFont="true" applyBorder="false" applyAlignment="true" applyProtection="false">
      <alignment horizontal="general" vertical="bottom" textRotation="0" wrapText="false" indent="0" shrinkToFit="false"/>
      <protection locked="true" hidden="false"/>
    </xf>
    <xf numFmtId="193" fontId="15" fillId="0" borderId="0" xfId="0" applyFont="true" applyBorder="false" applyAlignment="true" applyProtection="false">
      <alignment horizontal="general" vertical="bottom" textRotation="0" wrapText="false" indent="0" shrinkToFit="false"/>
      <protection locked="true" hidden="false"/>
    </xf>
    <xf numFmtId="194" fontId="15" fillId="0" borderId="0" xfId="0" applyFont="true" applyBorder="false" applyAlignment="true" applyProtection="false">
      <alignment horizontal="general" vertical="bottom" textRotation="0" wrapText="false" indent="0" shrinkToFit="false"/>
      <protection locked="true" hidden="false"/>
    </xf>
    <xf numFmtId="195" fontId="15" fillId="0" borderId="0" xfId="0" applyFont="true" applyBorder="false" applyAlignment="true" applyProtection="false">
      <alignment horizontal="general" vertical="bottom" textRotation="0" wrapText="false" indent="0" shrinkToFit="false"/>
      <protection locked="true" hidden="false"/>
    </xf>
    <xf numFmtId="196" fontId="15" fillId="0" borderId="0" xfId="0" applyFont="true" applyBorder="false" applyAlignment="true" applyProtection="false">
      <alignment horizontal="general" vertical="bottom" textRotation="0" wrapText="false" indent="0" shrinkToFit="false"/>
      <protection locked="true" hidden="false"/>
    </xf>
    <xf numFmtId="197" fontId="15" fillId="0" borderId="0" xfId="0" applyFont="true" applyBorder="false" applyAlignment="true" applyProtection="false">
      <alignment horizontal="general" vertical="bottom" textRotation="0" wrapText="false" indent="0" shrinkToFit="false"/>
      <protection locked="true" hidden="false"/>
    </xf>
    <xf numFmtId="198" fontId="15" fillId="0" borderId="0" xfId="0" applyFont="true" applyBorder="false" applyAlignment="true" applyProtection="false">
      <alignment horizontal="general" vertical="bottom" textRotation="0" wrapText="false" indent="0" shrinkToFit="false"/>
      <protection locked="true" hidden="false"/>
    </xf>
    <xf numFmtId="199" fontId="15" fillId="0" borderId="0" xfId="0" applyFont="true" applyBorder="false" applyAlignment="true" applyProtection="false">
      <alignment horizontal="general" vertical="bottom" textRotation="0" wrapText="false" indent="0" shrinkToFit="false"/>
      <protection locked="true" hidden="false"/>
    </xf>
    <xf numFmtId="200" fontId="15" fillId="0" borderId="0" xfId="0" applyFont="true" applyBorder="false" applyAlignment="true" applyProtection="false">
      <alignment horizontal="general" vertical="bottom" textRotation="0" wrapText="false" indent="0" shrinkToFit="false"/>
      <protection locked="true" hidden="false"/>
    </xf>
    <xf numFmtId="201" fontId="15" fillId="0" borderId="0" xfId="0" applyFont="true" applyBorder="false" applyAlignment="true" applyProtection="false">
      <alignment horizontal="general" vertical="bottom" textRotation="0" wrapText="false" indent="0" shrinkToFit="false"/>
      <protection locked="true" hidden="false"/>
    </xf>
    <xf numFmtId="202" fontId="15" fillId="0" borderId="0" xfId="0" applyFont="true" applyBorder="false" applyAlignment="true" applyProtection="false">
      <alignment horizontal="general" vertical="bottom" textRotation="0" wrapText="false" indent="0" shrinkToFit="false"/>
      <protection locked="true" hidden="false"/>
    </xf>
    <xf numFmtId="203" fontId="15" fillId="0" borderId="0" xfId="0" applyFont="true" applyBorder="false" applyAlignment="true" applyProtection="false">
      <alignment horizontal="general" vertical="bottom" textRotation="0" wrapText="false" indent="0" shrinkToFit="false"/>
      <protection locked="true" hidden="false"/>
    </xf>
    <xf numFmtId="204" fontId="15" fillId="0" borderId="0" xfId="0" applyFont="true" applyBorder="false" applyAlignment="true" applyProtection="false">
      <alignment horizontal="general" vertical="bottom" textRotation="0" wrapText="false" indent="0" shrinkToFit="false"/>
      <protection locked="true" hidden="false"/>
    </xf>
    <xf numFmtId="205" fontId="15" fillId="0" borderId="0" xfId="0" applyFont="true" applyBorder="false" applyAlignment="true" applyProtection="false">
      <alignment horizontal="general" vertical="bottom" textRotation="0" wrapText="false" indent="0" shrinkToFit="false"/>
      <protection locked="true" hidden="false"/>
    </xf>
    <xf numFmtId="206" fontId="15" fillId="0" borderId="0" xfId="0" applyFont="true" applyBorder="false" applyAlignment="true" applyProtection="false">
      <alignment horizontal="general" vertical="bottom" textRotation="0" wrapText="false" indent="0" shrinkToFit="false"/>
      <protection locked="true" hidden="false"/>
    </xf>
    <xf numFmtId="207" fontId="15" fillId="0" borderId="0" xfId="0" applyFont="true" applyBorder="false" applyAlignment="true" applyProtection="false">
      <alignment horizontal="general" vertical="bottom" textRotation="0" wrapText="false" indent="0" shrinkToFit="false"/>
      <protection locked="true" hidden="false"/>
    </xf>
    <xf numFmtId="208" fontId="15" fillId="0" borderId="0" xfId="0" applyFont="true" applyBorder="false" applyAlignment="true" applyProtection="false">
      <alignment horizontal="general" vertical="bottom" textRotation="0" wrapText="false" indent="0" shrinkToFit="false"/>
      <protection locked="true" hidden="false"/>
    </xf>
    <xf numFmtId="209" fontId="15" fillId="0" borderId="0" xfId="0" applyFont="true" applyBorder="false" applyAlignment="true" applyProtection="false">
      <alignment horizontal="general" vertical="bottom" textRotation="0" wrapText="false" indent="0" shrinkToFit="false"/>
      <protection locked="true" hidden="false"/>
    </xf>
    <xf numFmtId="210" fontId="15" fillId="0" borderId="0" xfId="0" applyFont="true" applyBorder="false" applyAlignment="true" applyProtection="false">
      <alignment horizontal="general" vertical="bottom" textRotation="0" wrapText="false" indent="0" shrinkToFit="false"/>
      <protection locked="true" hidden="false"/>
    </xf>
    <xf numFmtId="211" fontId="15" fillId="0" borderId="0" xfId="0" applyFont="true" applyBorder="false" applyAlignment="true" applyProtection="false">
      <alignment horizontal="general" vertical="bottom" textRotation="0" wrapText="false" indent="0" shrinkToFit="false"/>
      <protection locked="true" hidden="false"/>
    </xf>
    <xf numFmtId="212" fontId="15" fillId="0" borderId="0" xfId="0" applyFont="true" applyBorder="false" applyAlignment="true" applyProtection="false">
      <alignment horizontal="general" vertical="bottom" textRotation="0" wrapText="false" indent="0" shrinkToFit="false"/>
      <protection locked="true" hidden="false"/>
    </xf>
    <xf numFmtId="213" fontId="15" fillId="0" borderId="0" xfId="0" applyFont="true" applyBorder="false" applyAlignment="true" applyProtection="false">
      <alignment horizontal="general" vertical="bottom" textRotation="0" wrapText="false" indent="0" shrinkToFit="false"/>
      <protection locked="true" hidden="false"/>
    </xf>
    <xf numFmtId="214" fontId="15" fillId="0" borderId="0" xfId="0" applyFont="true" applyBorder="false" applyAlignment="true" applyProtection="false">
      <alignment horizontal="general" vertical="bottom" textRotation="0" wrapText="false" indent="0" shrinkToFit="false"/>
      <protection locked="true" hidden="false"/>
    </xf>
    <xf numFmtId="215" fontId="15" fillId="0" borderId="0" xfId="0" applyFont="true" applyBorder="false" applyAlignment="true" applyProtection="false">
      <alignment horizontal="general" vertical="bottom" textRotation="0" wrapText="false" indent="0" shrinkToFit="false"/>
      <protection locked="true" hidden="false"/>
    </xf>
    <xf numFmtId="216" fontId="15" fillId="0" borderId="0" xfId="0" applyFont="true" applyBorder="false" applyAlignment="true" applyProtection="false">
      <alignment horizontal="general" vertical="bottom" textRotation="0" wrapText="false" indent="0" shrinkToFit="false"/>
      <protection locked="true" hidden="false"/>
    </xf>
    <xf numFmtId="217" fontId="15" fillId="0" borderId="0" xfId="0" applyFont="true" applyBorder="false" applyAlignment="true" applyProtection="false">
      <alignment horizontal="general" vertical="bottom" textRotation="0" wrapText="false" indent="0" shrinkToFit="false"/>
      <protection locked="true" hidden="false"/>
    </xf>
    <xf numFmtId="218" fontId="15" fillId="0" borderId="0" xfId="0" applyFont="true" applyBorder="false" applyAlignment="true" applyProtection="false">
      <alignment horizontal="general" vertical="bottom" textRotation="0" wrapText="false" indent="0" shrinkToFit="false"/>
      <protection locked="true" hidden="false"/>
    </xf>
    <xf numFmtId="219" fontId="15" fillId="0" borderId="0" xfId="0" applyFont="true" applyBorder="false" applyAlignment="true" applyProtection="false">
      <alignment horizontal="general" vertical="bottom" textRotation="0" wrapText="false" indent="0" shrinkToFit="false"/>
      <protection locked="true" hidden="false"/>
    </xf>
    <xf numFmtId="220" fontId="15" fillId="0" borderId="0" xfId="0" applyFont="true" applyBorder="false" applyAlignment="true" applyProtection="false">
      <alignment horizontal="general" vertical="bottom" textRotation="0" wrapText="false" indent="0" shrinkToFit="false"/>
      <protection locked="true" hidden="false"/>
    </xf>
    <xf numFmtId="221" fontId="15" fillId="0" borderId="0" xfId="0" applyFont="true" applyBorder="false" applyAlignment="true" applyProtection="false">
      <alignment horizontal="general" vertical="bottom" textRotation="0" wrapText="false" indent="0" shrinkToFit="false"/>
      <protection locked="true" hidden="false"/>
    </xf>
    <xf numFmtId="222" fontId="15" fillId="0" borderId="0" xfId="0" applyFont="true" applyBorder="false" applyAlignment="true" applyProtection="false">
      <alignment horizontal="general" vertical="bottom" textRotation="0" wrapText="false" indent="0" shrinkToFit="false"/>
      <protection locked="true" hidden="false"/>
    </xf>
    <xf numFmtId="223" fontId="15" fillId="0" borderId="0" xfId="0" applyFont="true" applyBorder="false" applyAlignment="true" applyProtection="false">
      <alignment horizontal="general" vertical="bottom" textRotation="0" wrapText="false" indent="0" shrinkToFit="false"/>
      <protection locked="true" hidden="false"/>
    </xf>
    <xf numFmtId="224" fontId="15" fillId="0" borderId="0" xfId="0" applyFont="true" applyBorder="false" applyAlignment="true" applyProtection="false">
      <alignment horizontal="general" vertical="bottom" textRotation="0" wrapText="false" indent="0" shrinkToFit="false"/>
      <protection locked="true" hidden="false"/>
    </xf>
    <xf numFmtId="225" fontId="15" fillId="0" borderId="0" xfId="0" applyFont="true" applyBorder="false" applyAlignment="true" applyProtection="false">
      <alignment horizontal="general" vertical="bottom" textRotation="0" wrapText="false" indent="0" shrinkToFit="false"/>
      <protection locked="true" hidden="false"/>
    </xf>
    <xf numFmtId="226" fontId="15" fillId="0" borderId="0" xfId="0" applyFont="true" applyBorder="false" applyAlignment="true" applyProtection="false">
      <alignment horizontal="general" vertical="bottom" textRotation="0" wrapText="false" indent="0" shrinkToFit="false"/>
      <protection locked="true" hidden="false"/>
    </xf>
    <xf numFmtId="227" fontId="15" fillId="0" borderId="0" xfId="0" applyFont="true" applyBorder="false" applyAlignment="true" applyProtection="false">
      <alignment horizontal="general" vertical="bottom" textRotation="0" wrapText="false" indent="0" shrinkToFit="false"/>
      <protection locked="true" hidden="false"/>
    </xf>
    <xf numFmtId="228" fontId="15" fillId="0" borderId="0" xfId="0" applyFont="true" applyBorder="false" applyAlignment="true" applyProtection="false">
      <alignment horizontal="general" vertical="bottom" textRotation="0" wrapText="false" indent="0" shrinkToFit="false"/>
      <protection locked="true" hidden="false"/>
    </xf>
    <xf numFmtId="229" fontId="15" fillId="0" borderId="0" xfId="0" applyFont="true" applyBorder="false" applyAlignment="true" applyProtection="false">
      <alignment horizontal="general" vertical="bottom" textRotation="0" wrapText="false" indent="0" shrinkToFit="false"/>
      <protection locked="true" hidden="false"/>
    </xf>
    <xf numFmtId="230" fontId="15" fillId="0" borderId="0" xfId="0" applyFont="true" applyBorder="false" applyAlignment="true" applyProtection="false">
      <alignment horizontal="general" vertical="bottom" textRotation="0" wrapText="false" indent="0" shrinkToFit="false"/>
      <protection locked="true" hidden="false"/>
    </xf>
    <xf numFmtId="231" fontId="15" fillId="0" borderId="0" xfId="0" applyFont="true" applyBorder="false" applyAlignment="true" applyProtection="false">
      <alignment horizontal="general" vertical="bottom" textRotation="0" wrapText="false" indent="0" shrinkToFit="false"/>
      <protection locked="true" hidden="false"/>
    </xf>
    <xf numFmtId="232" fontId="15" fillId="0" borderId="0" xfId="0" applyFont="true" applyBorder="false" applyAlignment="true" applyProtection="false">
      <alignment horizontal="general" vertical="bottom" textRotation="0" wrapText="false" indent="0" shrinkToFit="false"/>
      <protection locked="true" hidden="false"/>
    </xf>
    <xf numFmtId="233" fontId="15" fillId="0" borderId="0" xfId="0" applyFont="true" applyBorder="false" applyAlignment="true" applyProtection="false">
      <alignment horizontal="general" vertical="bottom" textRotation="0" wrapText="false" indent="0" shrinkToFit="false"/>
      <protection locked="true" hidden="false"/>
    </xf>
    <xf numFmtId="234" fontId="15" fillId="0" borderId="0" xfId="0" applyFont="true" applyBorder="false" applyAlignment="true" applyProtection="false">
      <alignment horizontal="general" vertical="bottom" textRotation="0" wrapText="false" indent="0" shrinkToFit="false"/>
      <protection locked="true" hidden="false"/>
    </xf>
    <xf numFmtId="235" fontId="15" fillId="0" borderId="0" xfId="0" applyFont="true" applyBorder="false" applyAlignment="true" applyProtection="false">
      <alignment horizontal="general" vertical="bottom" textRotation="0" wrapText="false" indent="0" shrinkToFit="false"/>
      <protection locked="true" hidden="false"/>
    </xf>
    <xf numFmtId="236" fontId="15" fillId="0" borderId="0" xfId="0" applyFont="true" applyBorder="false" applyAlignment="true" applyProtection="false">
      <alignment horizontal="general" vertical="bottom" textRotation="0" wrapText="false" indent="0" shrinkToFit="false"/>
      <protection locked="true" hidden="false"/>
    </xf>
    <xf numFmtId="237" fontId="15" fillId="0" borderId="0" xfId="0" applyFont="true" applyBorder="false" applyAlignment="true" applyProtection="false">
      <alignment horizontal="general" vertical="bottom" textRotation="0" wrapText="false" indent="0" shrinkToFit="false"/>
      <protection locked="true" hidden="false"/>
    </xf>
    <xf numFmtId="238" fontId="15" fillId="0" borderId="0" xfId="0" applyFont="true" applyBorder="false" applyAlignment="true" applyProtection="false">
      <alignment horizontal="general" vertical="bottom" textRotation="0" wrapText="false" indent="0" shrinkToFit="false"/>
      <protection locked="true" hidden="false"/>
    </xf>
    <xf numFmtId="239" fontId="15" fillId="0" borderId="0" xfId="0" applyFont="true" applyBorder="false" applyAlignment="true" applyProtection="false">
      <alignment horizontal="general" vertical="bottom" textRotation="0" wrapText="false" indent="0" shrinkToFit="false"/>
      <protection locked="true" hidden="false"/>
    </xf>
    <xf numFmtId="240" fontId="15" fillId="0" borderId="0" xfId="0" applyFont="true" applyBorder="false" applyAlignment="true" applyProtection="false">
      <alignment horizontal="general" vertical="bottom" textRotation="0" wrapText="false" indent="0" shrinkToFit="false"/>
      <protection locked="true" hidden="false"/>
    </xf>
    <xf numFmtId="241" fontId="15" fillId="0" borderId="0" xfId="0" applyFont="true" applyBorder="false" applyAlignment="true" applyProtection="false">
      <alignment horizontal="general" vertical="bottom" textRotation="0" wrapText="false" indent="0" shrinkToFit="false"/>
      <protection locked="true" hidden="false"/>
    </xf>
    <xf numFmtId="242" fontId="15" fillId="0" borderId="0" xfId="0" applyFont="true" applyBorder="false" applyAlignment="true" applyProtection="false">
      <alignment horizontal="general" vertical="bottom" textRotation="0" wrapText="false" indent="0" shrinkToFit="false"/>
      <protection locked="true" hidden="false"/>
    </xf>
    <xf numFmtId="243" fontId="15" fillId="0" borderId="0" xfId="0" applyFont="true" applyBorder="false" applyAlignment="true" applyProtection="false">
      <alignment horizontal="general" vertical="bottom" textRotation="0" wrapText="false" indent="0" shrinkToFit="false"/>
      <protection locked="true" hidden="false"/>
    </xf>
    <xf numFmtId="244" fontId="15" fillId="0" borderId="0" xfId="0" applyFont="true" applyBorder="false" applyAlignment="true" applyProtection="false">
      <alignment horizontal="general" vertical="bottom" textRotation="0" wrapText="false" indent="0" shrinkToFit="false"/>
      <protection locked="true" hidden="false"/>
    </xf>
    <xf numFmtId="245" fontId="15" fillId="0" borderId="0" xfId="0" applyFont="true" applyBorder="false" applyAlignment="true" applyProtection="false">
      <alignment horizontal="general" vertical="bottom" textRotation="0" wrapText="false" indent="0" shrinkToFit="false"/>
      <protection locked="true" hidden="false"/>
    </xf>
    <xf numFmtId="246" fontId="15" fillId="0" borderId="0" xfId="0" applyFont="true" applyBorder="false" applyAlignment="true" applyProtection="false">
      <alignment horizontal="general" vertical="bottom" textRotation="0" wrapText="false" indent="0" shrinkToFit="false"/>
      <protection locked="true" hidden="false"/>
    </xf>
    <xf numFmtId="247" fontId="15" fillId="0" borderId="0" xfId="0" applyFont="true" applyBorder="false" applyAlignment="true" applyProtection="false">
      <alignment horizontal="general" vertical="bottom" textRotation="0" wrapText="false" indent="0" shrinkToFit="false"/>
      <protection locked="true" hidden="false"/>
    </xf>
    <xf numFmtId="248" fontId="15" fillId="0" borderId="0" xfId="0" applyFont="true" applyBorder="false" applyAlignment="true" applyProtection="false">
      <alignment horizontal="general" vertical="bottom" textRotation="0" wrapText="false" indent="0" shrinkToFit="false"/>
      <protection locked="true" hidden="false"/>
    </xf>
    <xf numFmtId="249" fontId="15" fillId="0" borderId="0" xfId="0" applyFont="true" applyBorder="false" applyAlignment="true" applyProtection="false">
      <alignment horizontal="general" vertical="bottom" textRotation="0" wrapText="false" indent="0" shrinkToFit="false"/>
      <protection locked="true" hidden="false"/>
    </xf>
    <xf numFmtId="250" fontId="15" fillId="0" borderId="0" xfId="0" applyFont="true" applyBorder="false" applyAlignment="true" applyProtection="false">
      <alignment horizontal="general" vertical="bottom" textRotation="0" wrapText="false" indent="0" shrinkToFit="false"/>
      <protection locked="true" hidden="false"/>
    </xf>
    <xf numFmtId="251" fontId="15" fillId="0" borderId="0" xfId="0" applyFont="true" applyBorder="false" applyAlignment="true" applyProtection="false">
      <alignment horizontal="general" vertical="bottom" textRotation="0" wrapText="false" indent="0" shrinkToFit="false"/>
      <protection locked="true" hidden="false"/>
    </xf>
    <xf numFmtId="252" fontId="15" fillId="0" borderId="0" xfId="0" applyFont="true" applyBorder="false" applyAlignment="true" applyProtection="false">
      <alignment horizontal="general" vertical="bottom" textRotation="0" wrapText="false" indent="0" shrinkToFit="false"/>
      <protection locked="true" hidden="false"/>
    </xf>
    <xf numFmtId="253" fontId="15" fillId="0" borderId="0" xfId="0" applyFont="true" applyBorder="false" applyAlignment="true" applyProtection="false">
      <alignment horizontal="general" vertical="bottom" textRotation="0" wrapText="false" indent="0" shrinkToFit="false"/>
      <protection locked="true" hidden="false"/>
    </xf>
    <xf numFmtId="254" fontId="15" fillId="0" borderId="0" xfId="0" applyFont="true" applyBorder="false" applyAlignment="true" applyProtection="false">
      <alignment horizontal="general" vertical="bottom" textRotation="0" wrapText="false" indent="0" shrinkToFit="false"/>
      <protection locked="true" hidden="false"/>
    </xf>
    <xf numFmtId="172" fontId="15" fillId="0" borderId="0" xfId="0" applyFont="true" applyBorder="false" applyAlignment="true" applyProtection="false">
      <alignment horizontal="general" vertical="bottom" textRotation="0" wrapText="false" indent="0" shrinkToFit="false"/>
      <protection locked="true" hidden="false"/>
    </xf>
    <xf numFmtId="173" fontId="15"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5" fontId="16" fillId="0"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5" fontId="47"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true" indent="0" shrinkToFit="false"/>
      <protection locked="true" hidden="false"/>
    </xf>
    <xf numFmtId="164" fontId="46" fillId="0" borderId="0" xfId="0" applyFont="true" applyBorder="false" applyAlignment="true" applyProtection="false">
      <alignment horizontal="general" vertical="bottom" textRotation="0" wrapText="true" indent="0" shrinkToFit="false"/>
      <protection locked="true" hidden="false"/>
    </xf>
    <xf numFmtId="174" fontId="15" fillId="0" borderId="0" xfId="0" applyFont="true" applyBorder="false" applyAlignment="true" applyProtection="false">
      <alignment horizontal="general" vertical="bottom" textRotation="0" wrapText="false" indent="0" shrinkToFit="false"/>
      <protection locked="true" hidden="false"/>
    </xf>
    <xf numFmtId="174"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73" fontId="16"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26" fillId="2" borderId="0"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26" fillId="4" borderId="0" xfId="0" applyFont="true" applyBorder="true" applyAlignment="true" applyProtection="false">
      <alignment horizontal="left" vertical="bottom" textRotation="0" wrapText="false" indent="0" shrinkToFit="false"/>
      <protection locked="true" hidden="false"/>
    </xf>
    <xf numFmtId="164" fontId="4" fillId="5" borderId="2" xfId="0" applyFont="true" applyBorder="true" applyAlignment="true" applyProtection="false">
      <alignment horizontal="general" vertical="center" textRotation="0" wrapText="false" indent="0" shrinkToFit="false"/>
      <protection locked="true" hidden="false"/>
    </xf>
    <xf numFmtId="165" fontId="4" fillId="5" borderId="2" xfId="0" applyFont="true" applyBorder="true" applyAlignment="true" applyProtection="false">
      <alignment horizontal="general" vertical="center" textRotation="0" wrapText="false" indent="0" shrinkToFit="false"/>
      <protection locked="true" hidden="false"/>
    </xf>
    <xf numFmtId="177" fontId="4" fillId="5" borderId="2" xfId="0" applyFont="true" applyBorder="true" applyAlignment="true" applyProtection="false">
      <alignment horizontal="general" vertical="center" textRotation="0" wrapText="false" indent="0" shrinkToFit="false"/>
      <protection locked="true" hidden="false"/>
    </xf>
    <xf numFmtId="164" fontId="4" fillId="0" borderId="2" xfId="0" applyFont="true" applyBorder="true" applyAlignment="true" applyProtection="false">
      <alignment horizontal="general" vertical="center" textRotation="0" wrapText="false" indent="0" shrinkToFit="false"/>
      <protection locked="true" hidden="false"/>
    </xf>
    <xf numFmtId="165" fontId="4" fillId="0" borderId="2" xfId="0" applyFont="true" applyBorder="true" applyAlignment="true" applyProtection="false">
      <alignment horizontal="general" vertical="center" textRotation="0" wrapText="false" indent="0" shrinkToFit="false"/>
      <protection locked="true" hidden="false"/>
    </xf>
    <xf numFmtId="164" fontId="26" fillId="4" borderId="2" xfId="0" applyFont="true" applyBorder="true" applyAlignment="true" applyProtection="false">
      <alignment horizontal="left" vertical="center" textRotation="0" wrapText="false" indent="0" shrinkToFit="false"/>
      <protection locked="true" hidden="false"/>
    </xf>
    <xf numFmtId="173" fontId="4" fillId="5" borderId="2" xfId="0" applyFont="true" applyBorder="true" applyAlignment="true" applyProtection="false">
      <alignment horizontal="general" vertical="center" textRotation="0" wrapText="false" indent="0" shrinkToFit="false"/>
      <protection locked="true" hidden="false"/>
    </xf>
    <xf numFmtId="176" fontId="4" fillId="5" borderId="2" xfId="0" applyFont="true" applyBorder="true" applyAlignment="true" applyProtection="false">
      <alignment horizontal="general" vertical="center" textRotation="0" wrapText="false" indent="0" shrinkToFit="false"/>
      <protection locked="true" hidden="false"/>
    </xf>
    <xf numFmtId="164" fontId="27" fillId="5" borderId="2" xfId="0" applyFont="true" applyBorder="true" applyAlignment="true" applyProtection="false">
      <alignment horizontal="general" vertical="center" textRotation="0" wrapText="false" indent="0" shrinkToFit="false"/>
      <protection locked="true" hidden="false"/>
    </xf>
    <xf numFmtId="165" fontId="27" fillId="5" borderId="2" xfId="0" applyFont="true" applyBorder="true" applyAlignment="true" applyProtection="false">
      <alignment horizontal="general" vertical="center" textRotation="0" wrapText="false" indent="0" shrinkToFit="false"/>
      <protection locked="true" hidden="false"/>
    </xf>
    <xf numFmtId="165" fontId="48" fillId="5" borderId="2" xfId="0" applyFont="true" applyBorder="true" applyAlignment="true" applyProtection="false">
      <alignment horizontal="general" vertical="center" textRotation="0" wrapText="false" indent="0" shrinkToFit="false"/>
      <protection locked="true" hidden="false"/>
    </xf>
    <xf numFmtId="165" fontId="27" fillId="0" borderId="0" xfId="0" applyFont="true" applyBorder="false" applyAlignment="true" applyProtection="false">
      <alignment horizontal="general" vertical="bottom" textRotation="0" wrapText="false" indent="0" shrinkToFit="false"/>
      <protection locked="true" hidden="false"/>
    </xf>
    <xf numFmtId="164" fontId="49" fillId="10" borderId="0" xfId="0" applyFont="true" applyBorder="true" applyAlignment="true" applyProtection="false">
      <alignment horizontal="general" vertical="bottom" textRotation="0" wrapText="true" indent="0" shrinkToFit="false"/>
      <protection locked="true" hidden="false"/>
    </xf>
    <xf numFmtId="164" fontId="12" fillId="3" borderId="1" xfId="0" applyFont="true" applyBorder="true" applyAlignment="true" applyProtection="false">
      <alignment horizontal="center" vertical="bottom" textRotation="0" wrapText="false" indent="0" shrinkToFit="false"/>
      <protection locked="true" hidden="false"/>
    </xf>
    <xf numFmtId="256" fontId="4" fillId="5" borderId="2" xfId="0" applyFont="true" applyBorder="true" applyAlignment="true" applyProtection="false">
      <alignment horizontal="general" vertical="center" textRotation="0" wrapText="false" indent="0" shrinkToFit="false"/>
      <protection locked="true" hidden="false"/>
    </xf>
    <xf numFmtId="174" fontId="4" fillId="5" borderId="2" xfId="0" applyFont="true" applyBorder="true" applyAlignment="true" applyProtection="false">
      <alignment horizontal="general" vertical="center" textRotation="0" wrapText="false" indent="0" shrinkToFit="false"/>
      <protection locked="true" hidden="false"/>
    </xf>
    <xf numFmtId="164" fontId="12" fillId="3" borderId="2" xfId="0" applyFont="true" applyBorder="true" applyAlignment="true" applyProtection="false">
      <alignment horizontal="general" vertical="center" textRotation="0" wrapText="true" indent="0" shrinkToFit="false"/>
      <protection locked="true" hidden="false"/>
    </xf>
    <xf numFmtId="165" fontId="12" fillId="3" borderId="2" xfId="0" applyFont="true" applyBorder="true" applyAlignment="true" applyProtection="false">
      <alignment horizontal="general" vertical="center" textRotation="0" wrapText="true" indent="0" shrinkToFit="false"/>
      <protection locked="true" hidden="false"/>
    </xf>
    <xf numFmtId="164" fontId="4" fillId="5" borderId="2" xfId="0" applyFont="true" applyBorder="true" applyAlignment="true" applyProtection="false">
      <alignment horizontal="general" vertical="center" textRotation="0" wrapText="true" indent="0" shrinkToFit="false"/>
      <protection locked="true" hidden="false"/>
    </xf>
    <xf numFmtId="165" fontId="4" fillId="5" borderId="2" xfId="0" applyFont="true" applyBorder="true" applyAlignment="true" applyProtection="false">
      <alignment horizontal="general" vertical="center" textRotation="0" wrapText="true" indent="0" shrinkToFit="false"/>
      <protection locked="true" hidden="false"/>
    </xf>
    <xf numFmtId="178" fontId="4" fillId="5" borderId="2" xfId="0" applyFont="true" applyBorder="true" applyAlignment="true" applyProtection="false">
      <alignment horizontal="general" vertical="center" textRotation="0" wrapText="false" indent="0" shrinkToFit="false"/>
      <protection locked="true" hidden="false"/>
    </xf>
    <xf numFmtId="164" fontId="12" fillId="3" borderId="2" xfId="0" applyFont="true" applyBorder="true" applyAlignment="true" applyProtection="false">
      <alignment horizontal="general" vertical="center" textRotation="0" wrapText="false" indent="0" shrinkToFit="false"/>
      <protection locked="true" hidden="false"/>
    </xf>
    <xf numFmtId="173" fontId="4" fillId="0" borderId="2" xfId="0" applyFont="true" applyBorder="true" applyAlignment="true" applyProtection="false">
      <alignment horizontal="general" vertical="center" textRotation="0" wrapText="false" indent="0" shrinkToFit="false"/>
      <protection locked="true" hidden="false"/>
    </xf>
    <xf numFmtId="164" fontId="12" fillId="3" borderId="2" xfId="0" applyFont="true" applyBorder="true" applyAlignment="true" applyProtection="false">
      <alignment horizontal="center" vertical="center" textRotation="0" wrapText="false" indent="0" shrinkToFit="false"/>
      <protection locked="true" hidden="false"/>
    </xf>
    <xf numFmtId="164" fontId="26" fillId="2" borderId="0" xfId="0" applyFont="true" applyBorder="true" applyAlignment="true" applyProtection="false">
      <alignment horizontal="center" vertical="center" textRotation="0" wrapText="true" indent="0" shrinkToFit="false"/>
      <protection locked="true" hidden="false"/>
    </xf>
    <xf numFmtId="164" fontId="48" fillId="10" borderId="0" xfId="0" applyFont="true" applyBorder="false" applyAlignment="true" applyProtection="false">
      <alignment horizontal="general" vertical="bottom" textRotation="0" wrapText="true" indent="0" shrinkToFit="false"/>
      <protection locked="true" hidden="false"/>
    </xf>
    <xf numFmtId="164" fontId="16" fillId="3" borderId="2" xfId="0" applyFont="true" applyBorder="true" applyAlignment="true" applyProtection="false">
      <alignment horizontal="general" vertical="center" textRotation="0" wrapText="true" indent="0" shrinkToFit="false"/>
      <protection locked="true" hidden="false"/>
    </xf>
    <xf numFmtId="164" fontId="15" fillId="0" borderId="2" xfId="0" applyFont="true" applyBorder="true" applyAlignment="true" applyProtection="false">
      <alignment horizontal="general" vertical="center" textRotation="0" wrapText="true" indent="0" shrinkToFit="false"/>
      <protection locked="true" hidden="false"/>
    </xf>
    <xf numFmtId="164" fontId="30" fillId="0" borderId="2" xfId="0" applyFont="true" applyBorder="true" applyAlignment="true" applyProtection="false">
      <alignment horizontal="general"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26" fillId="4" borderId="0" xfId="0" applyFont="true" applyBorder="true" applyAlignment="true" applyProtection="false">
      <alignment horizontal="left" vertical="bottom" textRotation="0" wrapText="true" indent="0" shrinkToFit="false"/>
      <protection locked="true" hidden="false"/>
    </xf>
    <xf numFmtId="164" fontId="27" fillId="5" borderId="2" xfId="0" applyFont="true" applyBorder="true" applyAlignment="true" applyProtection="false">
      <alignment horizontal="general" vertical="center" textRotation="0" wrapText="true" indent="0" shrinkToFit="false"/>
      <protection locked="true" hidden="false"/>
    </xf>
    <xf numFmtId="165" fontId="27" fillId="5" borderId="2" xfId="0" applyFont="true" applyBorder="true" applyAlignment="true" applyProtection="false">
      <alignment horizontal="general" vertical="center" textRotation="0" wrapText="true" indent="0" shrinkToFit="false"/>
      <protection locked="true" hidden="false"/>
    </xf>
    <xf numFmtId="173" fontId="4" fillId="5" borderId="2" xfId="0" applyFont="true" applyBorder="true" applyAlignment="true" applyProtection="false">
      <alignment horizontal="general" vertical="center" textRotation="0" wrapText="true" indent="0" shrinkToFit="false"/>
      <protection locked="true" hidden="false"/>
    </xf>
    <xf numFmtId="257" fontId="4" fillId="5" borderId="2" xfId="0" applyFont="true" applyBorder="true" applyAlignment="true" applyProtection="false">
      <alignment horizontal="general" vertical="center" textRotation="0" wrapText="true" indent="0" shrinkToFit="false"/>
      <protection locked="true" hidden="false"/>
    </xf>
    <xf numFmtId="164" fontId="4" fillId="0" borderId="2" xfId="0" applyFont="true" applyBorder="true" applyAlignment="true" applyProtection="false">
      <alignment horizontal="general" vertical="center" textRotation="0" wrapText="true" indent="0" shrinkToFit="false"/>
      <protection locked="true" hidden="false"/>
    </xf>
    <xf numFmtId="165" fontId="4" fillId="0" borderId="2" xfId="0" applyFont="true" applyBorder="true" applyAlignment="true" applyProtection="false">
      <alignment horizontal="general" vertical="center" textRotation="0" wrapText="true" indent="0" shrinkToFit="false"/>
      <protection locked="true" hidden="false"/>
    </xf>
    <xf numFmtId="164" fontId="26" fillId="4" borderId="2" xfId="0" applyFont="true" applyBorder="true" applyAlignment="true" applyProtection="false">
      <alignment horizontal="left" vertical="center" textRotation="0" wrapText="true" indent="0" shrinkToFit="false"/>
      <protection locked="true" hidden="false"/>
    </xf>
    <xf numFmtId="190" fontId="4" fillId="5" borderId="2" xfId="0" applyFont="true" applyBorder="true" applyAlignment="true" applyProtection="false">
      <alignment horizontal="general" vertical="center" textRotation="0" wrapText="false" indent="0" shrinkToFit="false"/>
      <protection locked="true" hidden="false"/>
    </xf>
    <xf numFmtId="191" fontId="4" fillId="5" borderId="2" xfId="0" applyFont="true" applyBorder="true" applyAlignment="true" applyProtection="false">
      <alignment horizontal="general" vertical="center" textRotation="0" wrapText="false" indent="0" shrinkToFit="false"/>
      <protection locked="true" hidden="false"/>
    </xf>
    <xf numFmtId="192" fontId="4" fillId="5" borderId="2" xfId="0" applyFont="true" applyBorder="true" applyAlignment="true" applyProtection="false">
      <alignment horizontal="general" vertical="center" textRotation="0" wrapText="false" indent="0" shrinkToFit="false"/>
      <protection locked="true" hidden="false"/>
    </xf>
    <xf numFmtId="193" fontId="4" fillId="5" borderId="2" xfId="0" applyFont="true" applyBorder="true" applyAlignment="true" applyProtection="false">
      <alignment horizontal="general" vertical="center" textRotation="0" wrapText="false" indent="0" shrinkToFit="false"/>
      <protection locked="true" hidden="false"/>
    </xf>
    <xf numFmtId="194" fontId="4" fillId="5" borderId="2" xfId="0" applyFont="true" applyBorder="true" applyAlignment="true" applyProtection="false">
      <alignment horizontal="general" vertical="center" textRotation="0" wrapText="false" indent="0" shrinkToFit="false"/>
      <protection locked="true" hidden="false"/>
    </xf>
    <xf numFmtId="195" fontId="4" fillId="5" borderId="2" xfId="0" applyFont="true" applyBorder="true" applyAlignment="true" applyProtection="false">
      <alignment horizontal="general" vertical="center" textRotation="0" wrapText="false" indent="0" shrinkToFit="false"/>
      <protection locked="true" hidden="false"/>
    </xf>
    <xf numFmtId="196" fontId="4" fillId="5" borderId="2" xfId="0" applyFont="true" applyBorder="true" applyAlignment="true" applyProtection="false">
      <alignment horizontal="general" vertical="center" textRotation="0" wrapText="false" indent="0" shrinkToFit="false"/>
      <protection locked="true" hidden="false"/>
    </xf>
    <xf numFmtId="197" fontId="4" fillId="5" borderId="2" xfId="0" applyFont="true" applyBorder="true" applyAlignment="true" applyProtection="false">
      <alignment horizontal="general" vertical="center" textRotation="0" wrapText="false" indent="0" shrinkToFit="false"/>
      <protection locked="true" hidden="false"/>
    </xf>
    <xf numFmtId="198" fontId="4" fillId="5" borderId="2" xfId="0" applyFont="true" applyBorder="true" applyAlignment="true" applyProtection="false">
      <alignment horizontal="general" vertical="center" textRotation="0" wrapText="false" indent="0" shrinkToFit="false"/>
      <protection locked="true" hidden="false"/>
    </xf>
    <xf numFmtId="199" fontId="4" fillId="5" borderId="2" xfId="0" applyFont="true" applyBorder="true" applyAlignment="true" applyProtection="false">
      <alignment horizontal="general" vertical="center" textRotation="0" wrapText="false" indent="0" shrinkToFit="false"/>
      <protection locked="true" hidden="false"/>
    </xf>
    <xf numFmtId="200" fontId="4" fillId="5" borderId="2" xfId="0" applyFont="true" applyBorder="true" applyAlignment="true" applyProtection="false">
      <alignment horizontal="general" vertical="center" textRotation="0" wrapText="false" indent="0" shrinkToFit="false"/>
      <protection locked="true" hidden="false"/>
    </xf>
    <xf numFmtId="201" fontId="4" fillId="5" borderId="2" xfId="0" applyFont="true" applyBorder="true" applyAlignment="true" applyProtection="false">
      <alignment horizontal="general" vertical="center" textRotation="0" wrapText="false" indent="0" shrinkToFit="false"/>
      <protection locked="true" hidden="false"/>
    </xf>
    <xf numFmtId="179" fontId="4" fillId="5" borderId="2" xfId="0" applyFont="true" applyBorder="true" applyAlignment="true" applyProtection="false">
      <alignment horizontal="general" vertical="center" textRotation="0" wrapText="false" indent="0" shrinkToFit="false"/>
      <protection locked="true" hidden="false"/>
    </xf>
    <xf numFmtId="164" fontId="21" fillId="4" borderId="0" xfId="0" applyFont="true" applyBorder="false" applyAlignment="true" applyProtection="false">
      <alignment horizontal="left" vertical="center" textRotation="0" wrapText="false" indent="0" shrinkToFit="false"/>
      <protection locked="true" hidden="false"/>
    </xf>
    <xf numFmtId="164" fontId="21" fillId="4" borderId="0" xfId="0" applyFont="true" applyBorder="false" applyAlignment="true" applyProtection="false">
      <alignment horizontal="left" vertical="top" textRotation="0" wrapText="true" indent="0" shrinkToFit="false"/>
      <protection locked="true" hidden="false"/>
    </xf>
    <xf numFmtId="177" fontId="4" fillId="5" borderId="2" xfId="0" applyFont="true" applyBorder="true" applyAlignment="true" applyProtection="false">
      <alignment horizontal="general" vertical="top" textRotation="0" wrapText="true" indent="0" shrinkToFit="false"/>
      <protection locked="true" hidden="false"/>
    </xf>
    <xf numFmtId="164" fontId="4" fillId="5" borderId="2" xfId="0" applyFont="true" applyBorder="true" applyAlignment="true" applyProtection="false">
      <alignment horizontal="general" vertical="top" textRotation="0" wrapText="true" indent="0" shrinkToFit="false"/>
      <protection locked="true" hidden="false"/>
    </xf>
    <xf numFmtId="164" fontId="24" fillId="5"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0" fillId="7" borderId="2" xfId="0" applyFont="true" applyBorder="true" applyAlignment="true" applyProtection="false">
      <alignment horizontal="general" vertical="top" textRotation="0" wrapText="true" indent="0" shrinkToFit="false"/>
      <protection locked="true" hidden="false"/>
    </xf>
    <xf numFmtId="164" fontId="24" fillId="5" borderId="2"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true" applyProtection="false">
      <alignment horizontal="right" vertical="bottom" textRotation="0" wrapText="false" indent="0" shrinkToFit="false"/>
      <protection locked="true" hidden="false"/>
    </xf>
    <xf numFmtId="164" fontId="12" fillId="3" borderId="1" xfId="0" applyFont="true" applyBorder="true" applyAlignment="true" applyProtection="false">
      <alignment horizontal="right" vertical="center" textRotation="0" wrapText="false" indent="0" shrinkToFit="false"/>
      <protection locked="true" hidden="false"/>
    </xf>
    <xf numFmtId="164" fontId="21" fillId="4" borderId="0" xfId="0" applyFont="true" applyBorder="false" applyAlignment="true" applyProtection="false">
      <alignment horizontal="right" vertical="center" textRotation="0" wrapText="false" indent="0" shrinkToFit="false"/>
      <protection locked="true" hidden="false"/>
    </xf>
    <xf numFmtId="164" fontId="4" fillId="5" borderId="2" xfId="0" applyFont="true" applyBorder="true" applyAlignment="true" applyProtection="false">
      <alignment horizontal="right" vertical="center" textRotation="0" wrapText="false" indent="0" shrinkToFit="false"/>
      <protection locked="true" hidden="false"/>
    </xf>
    <xf numFmtId="164" fontId="33" fillId="4" borderId="0" xfId="0" applyFont="true" applyBorder="true" applyAlignment="true" applyProtection="false">
      <alignment horizontal="right" vertical="center" textRotation="0" wrapText="false" indent="0" shrinkToFit="false"/>
      <protection locked="true" hidden="false"/>
    </xf>
    <xf numFmtId="164" fontId="51" fillId="5" borderId="2" xfId="0" applyFont="true" applyBorder="true" applyAlignment="true" applyProtection="false">
      <alignment horizontal="general" vertical="center" textRotation="0" wrapText="false" indent="0" shrinkToFit="false"/>
      <protection locked="true" hidden="false"/>
    </xf>
    <xf numFmtId="164" fontId="30" fillId="5" borderId="2" xfId="0" applyFont="true" applyBorder="true" applyAlignment="true" applyProtection="false">
      <alignment horizontal="right" vertical="center" textRotation="0" wrapText="false" indent="0" shrinkToFit="false"/>
      <protection locked="true" hidden="false"/>
    </xf>
    <xf numFmtId="164" fontId="15" fillId="5" borderId="2" xfId="0" applyFont="true" applyBorder="true" applyAlignment="true" applyProtection="false">
      <alignment horizontal="right" vertical="center" textRotation="0" wrapText="false" indent="0" shrinkToFit="false"/>
      <protection locked="true" hidden="false"/>
    </xf>
    <xf numFmtId="164" fontId="52" fillId="5" borderId="2" xfId="0" applyFont="true" applyBorder="true" applyAlignment="true" applyProtection="false">
      <alignment horizontal="general" vertical="center" textRotation="0" wrapText="false" indent="0" shrinkToFit="false"/>
      <protection locked="true" hidden="false"/>
    </xf>
    <xf numFmtId="164" fontId="21" fillId="4" borderId="0" xfId="0" applyFont="true" applyBorder="true" applyAlignment="true" applyProtection="false">
      <alignment horizontal="right" vertical="center" textRotation="0" wrapText="false" indent="0" shrinkToFit="false"/>
      <protection locked="true" hidden="false"/>
    </xf>
    <xf numFmtId="164" fontId="53" fillId="0" borderId="0"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14" fillId="3" borderId="8" xfId="0" applyFont="true" applyBorder="true" applyAlignment="true" applyProtection="false">
      <alignment horizontal="center" vertical="top" textRotation="0" wrapText="true" indent="0" shrinkToFit="false"/>
      <protection locked="true" hidden="false"/>
    </xf>
    <xf numFmtId="164" fontId="4" fillId="0" borderId="8" xfId="0" applyFont="true" applyBorder="true" applyAlignment="true" applyProtection="false">
      <alignment horizontal="general" vertical="top" textRotation="0" wrapText="true" indent="0" shrinkToFit="false"/>
      <protection locked="true" hidden="false"/>
    </xf>
    <xf numFmtId="164" fontId="4" fillId="0" borderId="8" xfId="0" applyFont="true" applyBorder="true" applyAlignment="true" applyProtection="false">
      <alignment horizontal="center" vertical="top" textRotation="0" wrapText="true" indent="0" shrinkToFit="false"/>
      <protection locked="true" hidden="false"/>
    </xf>
    <xf numFmtId="164" fontId="54" fillId="11"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5" fillId="3" borderId="1" xfId="0" applyFont="true" applyBorder="true" applyAlignment="true" applyProtection="false">
      <alignment horizontal="general" vertical="center" textRotation="0" wrapText="false" indent="0" shrinkToFit="false"/>
      <protection locked="true" hidden="false"/>
    </xf>
    <xf numFmtId="258" fontId="4" fillId="5" borderId="2" xfId="0" applyFont="true" applyBorder="true" applyAlignment="true" applyProtection="false">
      <alignment horizontal="general" vertical="center" textRotation="0" wrapText="false" indent="0" shrinkToFit="false"/>
      <protection locked="true" hidden="false"/>
    </xf>
    <xf numFmtId="164" fontId="26" fillId="11" borderId="0" xfId="0" applyFont="true" applyBorder="true" applyAlignment="true" applyProtection="false">
      <alignment horizontal="general" vertical="center" textRotation="0" wrapText="false" indent="0" shrinkToFit="false"/>
      <protection locked="true" hidden="false"/>
    </xf>
    <xf numFmtId="164" fontId="56" fillId="7" borderId="0"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22" fillId="0" borderId="2" xfId="0" applyFont="true" applyBorder="true" applyAlignment="true" applyProtection="false">
      <alignment horizontal="general" vertical="center" textRotation="0" wrapText="tru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64" fontId="56" fillId="7" borderId="0" xfId="0" applyFont="true" applyBorder="false" applyAlignment="true" applyProtection="false">
      <alignment horizontal="center" vertical="center" textRotation="0" wrapText="true" indent="0" shrinkToFit="false"/>
      <protection locked="true" hidden="false"/>
    </xf>
    <xf numFmtId="164" fontId="50" fillId="7"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0" fillId="7"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b val="1"/>
        <color rgb="FF198754"/>
      </font>
      <fill>
        <patternFill>
          <bgColor rgb="FFE2F0D9"/>
        </patternFill>
      </fill>
    </dxf>
    <dxf>
      <font>
        <b val="1"/>
        <color rgb="FF16324F"/>
      </font>
      <fill>
        <patternFill>
          <bgColor rgb="FFFFF2CC"/>
        </patternFill>
      </fill>
    </dxf>
    <dxf>
      <font>
        <b val="1"/>
        <color rgb="FFC00000"/>
      </font>
      <fill>
        <patternFill>
          <bgColor rgb="FFFCE4D6"/>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198754"/>
      <rgbColor rgb="FFBFBFBF"/>
      <rgbColor rgb="FF808080"/>
      <rgbColor rgb="FF9999FF"/>
      <rgbColor rgb="FF993366"/>
      <rgbColor rgb="FFFFF2CC"/>
      <rgbColor rgb="FFD9EAF7"/>
      <rgbColor rgb="FF660066"/>
      <rgbColor rgb="FFFF8080"/>
      <rgbColor rgb="FF0563C1"/>
      <rgbColor rgb="FFD9D9D9"/>
      <rgbColor rgb="FF000080"/>
      <rgbColor rgb="FFFF00FF"/>
      <rgbColor rgb="FFFFFF00"/>
      <rgbColor rgb="FF00FFFF"/>
      <rgbColor rgb="FF800080"/>
      <rgbColor rgb="FF800000"/>
      <rgbColor rgb="FF1F4E78"/>
      <rgbColor rgb="FF0000FF"/>
      <rgbColor rgb="FF00CCFF"/>
      <rgbColor rgb="FFEAF2F8"/>
      <rgbColor rgb="FFE2F0D9"/>
      <rgbColor rgb="FFEEF5FA"/>
      <rgbColor rgb="FFB7C9D6"/>
      <rgbColor rgb="FFFF99CC"/>
      <rgbColor rgb="FFCC99FF"/>
      <rgbColor rgb="FFFCE4D6"/>
      <rgbColor rgb="FF3366FF"/>
      <rgbColor rgb="FF33CCCC"/>
      <rgbColor rgb="FF99CC00"/>
      <rgbColor rgb="FFFFCC00"/>
      <rgbColor rgb="FFFF9900"/>
      <rgbColor rgb="FFFF6600"/>
      <rgbColor rgb="FF666699"/>
      <rgbColor rgb="FFA6A6A6"/>
      <rgbColor rgb="FF17365D"/>
      <rgbColor rgb="FF339966"/>
      <rgbColor rgb="FF006100"/>
      <rgbColor rgb="FF1F1F1F"/>
      <rgbColor rgb="FF9C5700"/>
      <rgbColor rgb="FF993366"/>
      <rgbColor rgb="FF17375E"/>
      <rgbColor rgb="FF1632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8" min="1" style="1" width="15"/>
    <col collapsed="false" customWidth="true" hidden="false" outlineLevel="0" max="26" min="9" style="1" width="14"/>
  </cols>
  <sheetData>
    <row r="1" customFormat="false" ht="33.75" hidden="false" customHeight="true" outlineLevel="0" collapsed="false">
      <c r="A1" s="2" t="s">
        <v>0</v>
      </c>
      <c r="B1" s="2"/>
      <c r="C1" s="2"/>
      <c r="D1" s="2"/>
      <c r="E1" s="2"/>
      <c r="F1" s="2"/>
      <c r="G1" s="2"/>
      <c r="H1" s="2"/>
    </row>
    <row r="2" customFormat="false" ht="33.75" hidden="false" customHeight="true" outlineLevel="0" collapsed="false">
      <c r="A2" s="2"/>
      <c r="B2" s="2"/>
      <c r="C2" s="2"/>
      <c r="D2" s="2"/>
      <c r="E2" s="2"/>
      <c r="F2" s="2"/>
      <c r="G2" s="2"/>
      <c r="H2" s="2"/>
    </row>
    <row r="4" customFormat="false" ht="33.75" hidden="false" customHeight="true" outlineLevel="0" collapsed="false">
      <c r="A4" s="3" t="s">
        <v>1</v>
      </c>
      <c r="B4" s="3"/>
      <c r="C4" s="3"/>
      <c r="D4" s="3"/>
      <c r="E4" s="3"/>
      <c r="F4" s="3"/>
      <c r="G4" s="3"/>
      <c r="H4" s="3"/>
    </row>
    <row r="5" customFormat="false" ht="33.75" hidden="false" customHeight="true" outlineLevel="0" collapsed="false">
      <c r="A5" s="3"/>
      <c r="B5" s="3"/>
      <c r="C5" s="3"/>
      <c r="D5" s="3"/>
      <c r="E5" s="3"/>
      <c r="F5" s="3"/>
      <c r="G5" s="3"/>
      <c r="H5" s="3"/>
    </row>
    <row r="6" customFormat="false" ht="42" hidden="false" customHeight="true" outlineLevel="0" collapsed="false"/>
    <row r="8" customFormat="false" ht="27.75" hidden="false" customHeight="true" outlineLevel="0" collapsed="false">
      <c r="B8" s="4" t="s">
        <v>2</v>
      </c>
      <c r="C8" s="4"/>
      <c r="D8" s="4"/>
      <c r="E8" s="4"/>
      <c r="F8" s="4"/>
      <c r="G8" s="4"/>
    </row>
    <row r="9" customFormat="false" ht="24" hidden="false" customHeight="true" outlineLevel="0" collapsed="false">
      <c r="B9" s="5" t="s">
        <v>3</v>
      </c>
      <c r="C9" s="5"/>
      <c r="D9" s="5"/>
      <c r="E9" s="5"/>
      <c r="F9" s="5"/>
      <c r="G9" s="5"/>
    </row>
    <row r="10" customFormat="false" ht="24" hidden="false" customHeight="true" outlineLevel="0" collapsed="false">
      <c r="B10" s="6" t="s">
        <v>4</v>
      </c>
      <c r="C10" s="6"/>
      <c r="D10" s="6"/>
      <c r="E10" s="6"/>
      <c r="F10" s="6"/>
      <c r="G10" s="6"/>
    </row>
    <row r="11" customFormat="false" ht="24" hidden="false" customHeight="true" outlineLevel="0" collapsed="false">
      <c r="B11" s="5" t="s">
        <v>5</v>
      </c>
      <c r="C11" s="5"/>
      <c r="D11" s="5"/>
      <c r="E11" s="5"/>
      <c r="F11" s="5"/>
      <c r="G11" s="5"/>
    </row>
    <row r="12" customFormat="false" ht="24" hidden="false" customHeight="true" outlineLevel="0" collapsed="false">
      <c r="B12" s="7" t="s">
        <v>6</v>
      </c>
      <c r="C12" s="7"/>
      <c r="D12" s="7"/>
      <c r="E12" s="7"/>
      <c r="F12" s="7"/>
      <c r="G12" s="7"/>
    </row>
    <row r="13" customFormat="false" ht="24" hidden="false" customHeight="true" outlineLevel="0" collapsed="false">
      <c r="B13" s="5" t="s">
        <v>7</v>
      </c>
      <c r="C13" s="5"/>
      <c r="D13" s="5"/>
      <c r="E13" s="5"/>
      <c r="F13" s="5"/>
      <c r="G13" s="5"/>
    </row>
    <row r="14" customFormat="false" ht="24" hidden="false" customHeight="true" outlineLevel="0" collapsed="false">
      <c r="B14" s="6" t="s">
        <v>8</v>
      </c>
      <c r="C14" s="6"/>
      <c r="D14" s="6"/>
      <c r="E14" s="6"/>
      <c r="F14" s="6"/>
      <c r="G14" s="6"/>
    </row>
    <row r="16" customFormat="false" ht="21.75" hidden="false" customHeight="true" outlineLevel="0" collapsed="false"/>
    <row r="17" customFormat="false" ht="36" hidden="false" customHeight="true" outlineLevel="0" collapsed="false">
      <c r="B17" s="8" t="s">
        <v>9</v>
      </c>
      <c r="C17" s="8"/>
      <c r="D17" s="8"/>
      <c r="E17" s="8"/>
      <c r="F17" s="8"/>
      <c r="G17" s="8"/>
    </row>
    <row r="18" customFormat="false" ht="36" hidden="false" customHeight="true" outlineLevel="0" collapsed="false">
      <c r="B18" s="8"/>
      <c r="C18" s="8"/>
      <c r="D18" s="8"/>
      <c r="E18" s="8"/>
      <c r="F18" s="8"/>
      <c r="G18" s="8"/>
    </row>
    <row r="19" customFormat="false" ht="36" hidden="false" customHeight="true" outlineLevel="0" collapsed="false">
      <c r="B19" s="8"/>
      <c r="C19" s="8"/>
      <c r="D19" s="8"/>
      <c r="E19" s="8"/>
      <c r="F19" s="8"/>
      <c r="G19" s="8"/>
    </row>
    <row r="22" customFormat="false" ht="15" hidden="false" customHeight="true" outlineLevel="0" collapsed="false">
      <c r="B22" s="9" t="s">
        <v>10</v>
      </c>
      <c r="C22" s="9"/>
      <c r="D22" s="9"/>
      <c r="E22" s="9"/>
      <c r="F22" s="9"/>
      <c r="G22" s="9"/>
    </row>
    <row r="23" customFormat="false" ht="21.75" hidden="false" customHeight="true" outlineLevel="0" collapsed="false">
      <c r="B23" s="10" t="s">
        <v>11</v>
      </c>
    </row>
    <row r="24" customFormat="false" ht="55.5" hidden="false" customHeight="true" outlineLevel="0" collapsed="false">
      <c r="A24" s="8" t="s">
        <v>12</v>
      </c>
      <c r="B24" s="8"/>
      <c r="C24" s="8"/>
      <c r="D24" s="8"/>
      <c r="E24" s="8"/>
      <c r="F24" s="8"/>
      <c r="G24" s="8"/>
      <c r="H24" s="8"/>
    </row>
    <row r="25" customFormat="false" ht="55.5" hidden="false" customHeight="true" outlineLevel="0" collapsed="false"/>
    <row r="26" customFormat="false" ht="39.75" hidden="false" customHeight="true" outlineLevel="0" collapsed="false"/>
    <row r="27" customFormat="false" ht="39.75" hidden="false" customHeight="true" outlineLevel="0" collapsed="false"/>
    <row r="28" customFormat="false" ht="39.75" hidden="false" customHeight="true" outlineLevel="0" collapsed="false"/>
    <row r="29" customFormat="false" ht="39.75" hidden="false" customHeight="true" outlineLevel="0" collapsed="false"/>
    <row r="31" customFormat="false" ht="21.75" hidden="false" customHeight="true" outlineLevel="0" collapsed="false"/>
    <row r="33" customFormat="false" ht="49.5" hidden="false" customHeight="true" outlineLevel="0" collapsed="false"/>
  </sheetData>
  <mergeCells count="12">
    <mergeCell ref="A1:H2"/>
    <mergeCell ref="A4:H5"/>
    <mergeCell ref="B8:G8"/>
    <mergeCell ref="B9:G9"/>
    <mergeCell ref="B10:G10"/>
    <mergeCell ref="B11:G11"/>
    <mergeCell ref="B12:G12"/>
    <mergeCell ref="B13:G13"/>
    <mergeCell ref="B14:G14"/>
    <mergeCell ref="B17:G19"/>
    <mergeCell ref="B22:G22"/>
    <mergeCell ref="A24:H24"/>
  </mergeCells>
  <hyperlinks>
    <hyperlink ref="A24" location="'دليل الملف'!A1" display="للاطلاع على فهرس تفصيلي بكل ورقة في هذا الملف وما تعرضه ومنهجيتها، مع رابط مباشر لكل ورقة، انظر ورقة &quot;دليل الملف&quot;. / For a detailed guide to every sheet in this file, what it shows, and its methodology, with a direct link to each sheet, see the &quot;دليل الملف&quot; (File Guide) sheet."/>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95"/>
    <col collapsed="false" customWidth="true" hidden="false" outlineLevel="0" max="4" min="4" style="1" width="12"/>
  </cols>
  <sheetData>
    <row r="1" customFormat="false" ht="30.75" hidden="false" customHeight="true" outlineLevel="0" collapsed="false">
      <c r="A1" s="11" t="s">
        <v>13</v>
      </c>
      <c r="B1" s="11"/>
      <c r="C1" s="11"/>
      <c r="D1" s="11"/>
    </row>
    <row r="3" customFormat="false" ht="27.75" hidden="false" customHeight="true" outlineLevel="0" collapsed="false">
      <c r="A3" s="12" t="s">
        <v>14</v>
      </c>
      <c r="B3" s="12" t="s">
        <v>15</v>
      </c>
      <c r="C3" s="12" t="s">
        <v>16</v>
      </c>
      <c r="D3" s="12" t="s">
        <v>17</v>
      </c>
    </row>
    <row r="4" customFormat="false" ht="48" hidden="false" customHeight="true" outlineLevel="0" collapsed="false">
      <c r="A4" s="13" t="n">
        <v>1</v>
      </c>
      <c r="B4" s="14" t="s">
        <v>18</v>
      </c>
      <c r="C4" s="15" t="s">
        <v>19</v>
      </c>
      <c r="D4" s="16" t="str">
        <f aca="false">IFERROR(HYPERLINK("#'Cover'!A1","Open →"),"Open →")</f>
        <v>Open →</v>
      </c>
    </row>
    <row r="5" customFormat="false" ht="48" hidden="false" customHeight="true" outlineLevel="0" collapsed="false">
      <c r="A5" s="13" t="n">
        <v>2</v>
      </c>
      <c r="B5" s="14" t="s">
        <v>20</v>
      </c>
      <c r="C5" s="15" t="s">
        <v>21</v>
      </c>
      <c r="D5" s="16" t="str">
        <f aca="false">IFERROR(HYPERLINK("#'Assumptions'!A1","Open →"),"Open →")</f>
        <v>Open →</v>
      </c>
    </row>
    <row r="6" customFormat="false" ht="48" hidden="false" customHeight="true" outlineLevel="0" collapsed="false">
      <c r="A6" s="13" t="n">
        <v>3</v>
      </c>
      <c r="B6" s="14" t="s">
        <v>22</v>
      </c>
      <c r="C6" s="15" t="s">
        <v>23</v>
      </c>
      <c r="D6" s="16" t="str">
        <f aca="false">IFERROR(HYPERLINK("#'Capital'!A1","Open →"),"Open →")</f>
        <v>Open →</v>
      </c>
    </row>
    <row r="7" customFormat="false" ht="48" hidden="false" customHeight="true" outlineLevel="0" collapsed="false">
      <c r="A7" s="13" t="n">
        <v>4</v>
      </c>
      <c r="B7" s="14" t="s">
        <v>24</v>
      </c>
      <c r="C7" s="15" t="s">
        <v>25</v>
      </c>
      <c r="D7" s="16" t="str">
        <f aca="false">IFERROR(HYPERLINK("#'Products'!A1","Open →"),"Open →")</f>
        <v>Open →</v>
      </c>
    </row>
    <row r="8" customFormat="false" ht="48" hidden="false" customHeight="true" outlineLevel="0" collapsed="false">
      <c r="A8" s="13" t="n">
        <v>5</v>
      </c>
      <c r="B8" s="14" t="s">
        <v>26</v>
      </c>
      <c r="C8" s="15" t="s">
        <v>27</v>
      </c>
      <c r="D8" s="16" t="str">
        <f aca="false">IFERROR(HYPERLINK("#'Staff'!A1","Open →"),"Open →")</f>
        <v>Open →</v>
      </c>
    </row>
    <row r="9" customFormat="false" ht="48" hidden="false" customHeight="true" outlineLevel="0" collapsed="false">
      <c r="A9" s="13" t="n">
        <v>6</v>
      </c>
      <c r="B9" s="14" t="s">
        <v>28</v>
      </c>
      <c r="C9" s="15" t="s">
        <v>29</v>
      </c>
      <c r="D9" s="16" t="str">
        <f aca="false">IFERROR(HYPERLINK("#'Opex'!A1","Open →"),"Open →")</f>
        <v>Open →</v>
      </c>
    </row>
    <row r="10" customFormat="false" ht="48" hidden="false" customHeight="true" outlineLevel="0" collapsed="false">
      <c r="A10" s="13" t="n">
        <v>7</v>
      </c>
      <c r="B10" s="14" t="s">
        <v>30</v>
      </c>
      <c r="C10" s="15" t="s">
        <v>31</v>
      </c>
      <c r="D10" s="16" t="str">
        <f aca="false">IFERROR(HYPERLINK("#'Originations'!A1","Open →"),"Open →")</f>
        <v>Open →</v>
      </c>
    </row>
    <row r="11" customFormat="false" ht="48" hidden="false" customHeight="true" outlineLevel="0" collapsed="false">
      <c r="A11" s="13" t="n">
        <v>8</v>
      </c>
      <c r="B11" s="14" t="s">
        <v>32</v>
      </c>
      <c r="C11" s="15" t="s">
        <v>33</v>
      </c>
      <c r="D11" s="16" t="str">
        <f aca="false">IFERROR(HYPERLINK("#'Cohort Principal'!A1","Open →"),"Open →")</f>
        <v>Open →</v>
      </c>
    </row>
    <row r="12" customFormat="false" ht="48" hidden="false" customHeight="true" outlineLevel="0" collapsed="false">
      <c r="A12" s="13" t="n">
        <v>9</v>
      </c>
      <c r="B12" s="14" t="s">
        <v>34</v>
      </c>
      <c r="C12" s="15" t="s">
        <v>35</v>
      </c>
      <c r="D12" s="16" t="str">
        <f aca="false">IFERROR(HYPERLINK("#'Cohort Interest'!A1","Open →"),"Open →")</f>
        <v>Open →</v>
      </c>
    </row>
    <row r="13" customFormat="false" ht="48" hidden="false" customHeight="true" outlineLevel="0" collapsed="false">
      <c r="A13" s="13" t="n">
        <v>10</v>
      </c>
      <c r="B13" s="14" t="s">
        <v>36</v>
      </c>
      <c r="C13" s="15" t="s">
        <v>37</v>
      </c>
      <c r="D13" s="16" t="str">
        <f aca="false">IFERROR(HYPERLINK("#'Cohort Fees'!A1","Open →"),"Open →")</f>
        <v>Open →</v>
      </c>
    </row>
    <row r="14" customFormat="false" ht="48" hidden="false" customHeight="true" outlineLevel="0" collapsed="false">
      <c r="A14" s="13" t="n">
        <v>11</v>
      </c>
      <c r="B14" s="14" t="s">
        <v>38</v>
      </c>
      <c r="C14" s="15" t="s">
        <v>39</v>
      </c>
      <c r="D14" s="16" t="str">
        <f aca="false">IFERROR(HYPERLINK("#'Monthly Model'!A1","Open →"),"Open →")</f>
        <v>Open →</v>
      </c>
    </row>
    <row r="15" customFormat="false" ht="48" hidden="false" customHeight="true" outlineLevel="0" collapsed="false">
      <c r="A15" s="13" t="n">
        <v>12</v>
      </c>
      <c r="B15" s="14" t="s">
        <v>40</v>
      </c>
      <c r="C15" s="15" t="s">
        <v>41</v>
      </c>
      <c r="D15" s="16" t="str">
        <f aca="false">IFERROR(HYPERLINK("#'Income Statement'!A1","Open →"),"Open →")</f>
        <v>Open →</v>
      </c>
    </row>
    <row r="16" customFormat="false" ht="48" hidden="false" customHeight="true" outlineLevel="0" collapsed="false">
      <c r="A16" s="13" t="n">
        <v>13</v>
      </c>
      <c r="B16" s="14" t="s">
        <v>42</v>
      </c>
      <c r="C16" s="15" t="s">
        <v>43</v>
      </c>
      <c r="D16" s="16" t="str">
        <f aca="false">IFERROR(HYPERLINK("#'Balance Sheet'!A1","Open →"),"Open →")</f>
        <v>Open →</v>
      </c>
    </row>
    <row r="17" customFormat="false" ht="48" hidden="false" customHeight="true" outlineLevel="0" collapsed="false">
      <c r="A17" s="13" t="n">
        <v>14</v>
      </c>
      <c r="B17" s="14" t="s">
        <v>44</v>
      </c>
      <c r="C17" s="15" t="s">
        <v>45</v>
      </c>
      <c r="D17" s="16" t="str">
        <f aca="false">IFERROR(HYPERLINK("#'Cash Flow'!A1","Open →"),"Open →")</f>
        <v>Open →</v>
      </c>
    </row>
    <row r="18" customFormat="false" ht="48" hidden="false" customHeight="true" outlineLevel="0" collapsed="false">
      <c r="A18" s="13" t="n">
        <v>15</v>
      </c>
      <c r="B18" s="14" t="s">
        <v>46</v>
      </c>
      <c r="C18" s="15" t="s">
        <v>47</v>
      </c>
      <c r="D18" s="16" t="str">
        <f aca="false">IFERROR(HYPERLINK("#'Investments'!A1","Open →"),"Open →")</f>
        <v>Open →</v>
      </c>
    </row>
    <row r="19" customFormat="false" ht="48" hidden="false" customHeight="true" outlineLevel="0" collapsed="false">
      <c r="A19" s="13" t="n">
        <v>16</v>
      </c>
      <c r="B19" s="14" t="s">
        <v>48</v>
      </c>
      <c r="C19" s="15" t="s">
        <v>49</v>
      </c>
      <c r="D19" s="16" t="str">
        <f aca="false">IFERROR(HYPERLINK("#'Feasibility'!A1","Open →"),"Open →")</f>
        <v>Open →</v>
      </c>
    </row>
    <row r="20" customFormat="false" ht="48" hidden="false" customHeight="true" outlineLevel="0" collapsed="false">
      <c r="A20" s="13" t="n">
        <v>17</v>
      </c>
      <c r="B20" s="14" t="s">
        <v>50</v>
      </c>
      <c r="C20" s="15" t="s">
        <v>51</v>
      </c>
      <c r="D20" s="16" t="str">
        <f aca="false">IFERROR(HYPERLINK("#'Ratios'!A1","Open →"),"Open →")</f>
        <v>Open →</v>
      </c>
    </row>
    <row r="21" customFormat="false" ht="48" hidden="false" customHeight="true" outlineLevel="0" collapsed="false">
      <c r="A21" s="13" t="n">
        <v>18</v>
      </c>
      <c r="B21" s="14" t="s">
        <v>52</v>
      </c>
      <c r="C21" s="15" t="s">
        <v>53</v>
      </c>
      <c r="D21" s="16" t="str">
        <f aca="false">IFERROR(HYPERLINK("#'Scenarios'!A1","Open →"),"Open →")</f>
        <v>Open →</v>
      </c>
    </row>
    <row r="22" customFormat="false" ht="48" hidden="false" customHeight="true" outlineLevel="0" collapsed="false">
      <c r="A22" s="13" t="n">
        <v>19</v>
      </c>
      <c r="B22" s="14" t="s">
        <v>54</v>
      </c>
      <c r="C22" s="15" t="s">
        <v>55</v>
      </c>
      <c r="D22" s="16" t="str">
        <f aca="false">IFERROR(HYPERLINK("#'Sensitivity'!A1","Open →"),"Open →")</f>
        <v>Open →</v>
      </c>
    </row>
    <row r="23" customFormat="false" ht="48" hidden="false" customHeight="true" outlineLevel="0" collapsed="false">
      <c r="A23" s="13" t="n">
        <v>20</v>
      </c>
      <c r="B23" s="14" t="s">
        <v>56</v>
      </c>
      <c r="C23" s="15" t="s">
        <v>57</v>
      </c>
      <c r="D23" s="16" t="str">
        <f aca="false">IFERROR(HYPERLINK("#'Break Even'!A1","Open →"),"Open →")</f>
        <v>Open →</v>
      </c>
    </row>
    <row r="24" customFormat="false" ht="48" hidden="false" customHeight="true" outlineLevel="0" collapsed="false">
      <c r="A24" s="13" t="n">
        <v>21</v>
      </c>
      <c r="B24" s="14" t="s">
        <v>58</v>
      </c>
      <c r="C24" s="15" t="s">
        <v>59</v>
      </c>
      <c r="D24" s="16" t="str">
        <f aca="false">IFERROR(HYPERLINK("#'Compliance'!A1","Open →"),"Open →")</f>
        <v>Open →</v>
      </c>
    </row>
    <row r="25" customFormat="false" ht="48" hidden="false" customHeight="true" outlineLevel="0" collapsed="false">
      <c r="A25" s="13" t="n">
        <v>22</v>
      </c>
      <c r="B25" s="14" t="s">
        <v>60</v>
      </c>
      <c r="C25" s="15" t="s">
        <v>61</v>
      </c>
      <c r="D25" s="16" t="str">
        <f aca="false">IFERROR(HYPERLINK("#'Checks'!A1","Open →"),"Open →")</f>
        <v>Open →</v>
      </c>
    </row>
    <row r="26" customFormat="false" ht="48" hidden="false" customHeight="true" outlineLevel="0" collapsed="false">
      <c r="A26" s="13" t="n">
        <v>23</v>
      </c>
      <c r="B26" s="14" t="s">
        <v>62</v>
      </c>
      <c r="C26" s="15" t="s">
        <v>63</v>
      </c>
      <c r="D26" s="16" t="str">
        <f aca="false">IFERROR(HYPERLINK("#'Sources'!A1","Open →"),"Open →")</f>
        <v>Open →</v>
      </c>
    </row>
    <row r="27" customFormat="false" ht="48" hidden="false" customHeight="true" outlineLevel="0" collapsed="false">
      <c r="A27" s="13" t="n">
        <v>24</v>
      </c>
      <c r="B27" s="14" t="s">
        <v>64</v>
      </c>
      <c r="C27" s="15" t="s">
        <v>65</v>
      </c>
      <c r="D27" s="16" t="str">
        <f aca="false">IFERROR(HYPERLINK("#'Formula Map'!A1","Open →"),"Open →")</f>
        <v>Open →</v>
      </c>
    </row>
    <row r="28" customFormat="false" ht="48" hidden="false" customHeight="true" outlineLevel="0" collapsed="false">
      <c r="A28" s="13" t="n">
        <v>25</v>
      </c>
      <c r="B28" s="14" t="s">
        <v>66</v>
      </c>
      <c r="C28" s="15" t="s">
        <v>67</v>
      </c>
      <c r="D28" s="16" t="str">
        <f aca="false">IFERROR(HYPERLINK("#'Regulatory Capital Plan'!A1","Open →"),"Open →")</f>
        <v>Open →</v>
      </c>
    </row>
    <row r="29" customFormat="false" ht="48" hidden="false" customHeight="true" outlineLevel="0" collapsed="false">
      <c r="A29" s="13" t="n">
        <v>26</v>
      </c>
      <c r="B29" s="14" t="s">
        <v>68</v>
      </c>
      <c r="C29" s="15" t="s">
        <v>69</v>
      </c>
      <c r="D29" s="16" t="str">
        <f aca="false">IFERROR(HYPERLINK("#'Funding &amp; Liquidity'!A1","Open →"),"Open →")</f>
        <v>Open →</v>
      </c>
    </row>
    <row r="30" customFormat="false" ht="48" hidden="false" customHeight="true" outlineLevel="0" collapsed="false">
      <c r="A30" s="13" t="n">
        <v>27</v>
      </c>
      <c r="B30" s="14" t="s">
        <v>70</v>
      </c>
      <c r="C30" s="15" t="s">
        <v>71</v>
      </c>
      <c r="D30" s="16" t="str">
        <f aca="false">IFERROR(HYPERLINK("#'Scenario - Slower 2028'!A1","Open →"),"Open →")</f>
        <v>Open →</v>
      </c>
    </row>
    <row r="31" customFormat="false" ht="48" hidden="false" customHeight="true" outlineLevel="0" collapsed="false">
      <c r="A31" s="13" t="n">
        <v>28</v>
      </c>
      <c r="B31" s="14" t="s">
        <v>72</v>
      </c>
      <c r="C31" s="15" t="s">
        <v>73</v>
      </c>
      <c r="D31" s="16" t="str">
        <f aca="false">IFERROR(HYPERLINK("#'Scenario - Standby Capital'!A1","Open →"),"Open →")</f>
        <v>Open →</v>
      </c>
    </row>
    <row r="32" customFormat="false" ht="48" hidden="false" customHeight="true" outlineLevel="0" collapsed="false">
      <c r="A32" s="13" t="n">
        <v>29</v>
      </c>
      <c r="B32" s="17" t="s">
        <v>74</v>
      </c>
      <c r="C32" s="15" t="s">
        <v>75</v>
      </c>
      <c r="D32" s="16" t="str">
        <f aca="false">IFERROR(HYPERLINK("#'رد الملاحظات'!A1","Open →"),"Open →")</f>
        <v>Open →</v>
      </c>
    </row>
    <row r="33" customFormat="false" ht="48" hidden="false" customHeight="true" outlineLevel="0" collapsed="false">
      <c r="A33" s="13" t="n">
        <v>30</v>
      </c>
      <c r="B33" s="14" t="s">
        <v>76</v>
      </c>
      <c r="C33" s="15" t="s">
        <v>77</v>
      </c>
      <c r="D33" s="16" t="str">
        <f aca="false">IFERROR(HYPERLINK("#'Basel III'!A1","Open →"),"Open →")</f>
        <v>Open →</v>
      </c>
    </row>
    <row r="34" customFormat="false" ht="48" hidden="false" customHeight="true" outlineLevel="0" collapsed="false">
      <c r="A34" s="13" t="n">
        <v>31</v>
      </c>
      <c r="B34" s="14" t="s">
        <v>78</v>
      </c>
      <c r="C34" s="15" t="s">
        <v>79</v>
      </c>
      <c r="D34" s="16" t="str">
        <f aca="false">IFERROR(HYPERLINK("#'Regulatory Data Requirements'!A1","Open →"),"Open →")</f>
        <v>Open →</v>
      </c>
    </row>
    <row r="35" customFormat="false" ht="48" hidden="false" customHeight="true" outlineLevel="0" collapsed="false">
      <c r="A35" s="13" t="n">
        <v>32</v>
      </c>
      <c r="B35" s="17" t="s">
        <v>80</v>
      </c>
      <c r="C35" s="15" t="s">
        <v>81</v>
      </c>
      <c r="D35" s="16" t="str">
        <f aca="false">IFERROR(HYPERLINK("#'جاهزية التقديم'!A1","Open →"),"Open →")</f>
        <v>Open →</v>
      </c>
    </row>
  </sheetData>
  <mergeCells count="1">
    <mergeCell ref="A1:D1"/>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8"/>
    <col collapsed="false" customWidth="true" hidden="false" outlineLevel="0" max="2" min="2" style="1" width="16"/>
    <col collapsed="false" customWidth="true" hidden="false" outlineLevel="0" max="3" min="3" style="1" width="54"/>
    <col collapsed="false" customWidth="true" hidden="false" outlineLevel="0" max="8" min="4" style="1" width="16"/>
    <col collapsed="false" customWidth="true" hidden="false" outlineLevel="0" max="26" min="9" style="1" width="14"/>
  </cols>
  <sheetData>
    <row r="1" customFormat="false" ht="18" hidden="false" customHeight="true" outlineLevel="0" collapsed="false">
      <c r="A1" s="18" t="s">
        <v>82</v>
      </c>
      <c r="B1" s="18"/>
      <c r="C1" s="18"/>
      <c r="D1" s="18"/>
      <c r="E1" s="18"/>
      <c r="F1" s="18"/>
    </row>
    <row r="2" customFormat="false" ht="18" hidden="false" customHeight="true" outlineLevel="0" collapsed="false">
      <c r="A2" s="19"/>
      <c r="B2" s="19"/>
      <c r="C2" s="19"/>
      <c r="D2" s="19"/>
      <c r="E2" s="19"/>
      <c r="F2" s="19"/>
    </row>
    <row r="3" customFormat="false" ht="18" hidden="false" customHeight="true" outlineLevel="0" collapsed="false">
      <c r="A3" s="20" t="s">
        <v>83</v>
      </c>
      <c r="B3" s="21" t="s">
        <v>84</v>
      </c>
      <c r="C3" s="21" t="s">
        <v>85</v>
      </c>
      <c r="D3" s="21" t="s">
        <v>86</v>
      </c>
      <c r="E3" s="21" t="s">
        <v>87</v>
      </c>
      <c r="F3" s="22" t="s">
        <v>88</v>
      </c>
    </row>
    <row r="4" customFormat="false" ht="18" hidden="false" customHeight="true" outlineLevel="0" collapsed="false">
      <c r="A4" s="19" t="s">
        <v>89</v>
      </c>
      <c r="B4" s="23" t="n">
        <v>27750000</v>
      </c>
      <c r="C4" s="23" t="n">
        <v>527500000</v>
      </c>
      <c r="D4" s="23" t="n">
        <v>700000000</v>
      </c>
      <c r="E4" s="23" t="n">
        <v>1350000000</v>
      </c>
      <c r="F4" s="23" t="n">
        <v>2500000000</v>
      </c>
    </row>
    <row r="5" customFormat="false" ht="18" hidden="false" customHeight="true" outlineLevel="0" collapsed="false">
      <c r="A5" s="19" t="s">
        <v>90</v>
      </c>
      <c r="B5" s="24" t="n">
        <f aca="false">B4</f>
        <v>27750000</v>
      </c>
      <c r="C5" s="24" t="n">
        <f aca="false">C4</f>
        <v>527500000</v>
      </c>
      <c r="D5" s="24" t="n">
        <f aca="false">D4</f>
        <v>700000000</v>
      </c>
      <c r="E5" s="24" t="n">
        <f aca="false">E4</f>
        <v>1350000000</v>
      </c>
      <c r="F5" s="24" t="n">
        <f aca="false">F4</f>
        <v>2500000000</v>
      </c>
    </row>
    <row r="6" customFormat="false" ht="18" hidden="false" customHeight="true" outlineLevel="0" collapsed="false">
      <c r="A6" s="19" t="s">
        <v>91</v>
      </c>
      <c r="B6" s="25" t="n">
        <v>0.34</v>
      </c>
      <c r="C6" s="25" t="n">
        <v>0.32</v>
      </c>
      <c r="D6" s="25" t="n">
        <v>0.3</v>
      </c>
      <c r="E6" s="25" t="n">
        <v>0.28</v>
      </c>
      <c r="F6" s="25" t="n">
        <v>0.26</v>
      </c>
    </row>
    <row r="7" customFormat="false" ht="18" hidden="false" customHeight="true" outlineLevel="0" collapsed="false">
      <c r="A7" s="19" t="s">
        <v>92</v>
      </c>
      <c r="B7" s="25" t="n">
        <v>0.21</v>
      </c>
      <c r="C7" s="25" t="n">
        <v>0.19</v>
      </c>
      <c r="D7" s="25" t="n">
        <v>0.17</v>
      </c>
      <c r="E7" s="25" t="n">
        <v>0.15</v>
      </c>
      <c r="F7" s="25" t="n">
        <v>0.14</v>
      </c>
    </row>
    <row r="8" customFormat="false" ht="18" hidden="false" customHeight="true" outlineLevel="0" collapsed="false">
      <c r="A8" s="19" t="s">
        <v>93</v>
      </c>
      <c r="B8" s="25" t="n">
        <v>0.03</v>
      </c>
      <c r="C8" s="25" t="n">
        <v>0.03</v>
      </c>
      <c r="D8" s="25" t="n">
        <v>0.03</v>
      </c>
      <c r="E8" s="25" t="n">
        <v>0.03</v>
      </c>
      <c r="F8" s="25" t="n">
        <v>0.03</v>
      </c>
    </row>
    <row r="9" customFormat="false" ht="18" hidden="false" customHeight="true" outlineLevel="0" collapsed="false">
      <c r="A9" s="19" t="s">
        <v>94</v>
      </c>
      <c r="B9" s="26" t="n">
        <v>0.24</v>
      </c>
      <c r="C9" s="26" t="n">
        <v>0.22</v>
      </c>
      <c r="D9" s="26" t="n">
        <v>0.2</v>
      </c>
      <c r="E9" s="26" t="n">
        <v>0.18</v>
      </c>
      <c r="F9" s="26" t="n">
        <v>0.17</v>
      </c>
    </row>
    <row r="10" customFormat="false" ht="18" hidden="false" customHeight="true" outlineLevel="0" collapsed="false">
      <c r="A10" s="19" t="s">
        <v>95</v>
      </c>
      <c r="B10" s="24" t="n">
        <v>150000</v>
      </c>
      <c r="C10" s="24" t="n">
        <v>315868.263473054</v>
      </c>
      <c r="D10" s="24" t="n">
        <v>888461.538461539</v>
      </c>
      <c r="E10" s="24" t="n">
        <v>1100000</v>
      </c>
      <c r="F10" s="24" t="n">
        <v>1350000</v>
      </c>
    </row>
    <row r="11" customFormat="false" ht="18" hidden="false" customHeight="true" outlineLevel="0" collapsed="false">
      <c r="A11" s="19" t="s">
        <v>96</v>
      </c>
      <c r="B11" s="24" t="n">
        <v>4302000</v>
      </c>
      <c r="C11" s="24" t="n">
        <v>500000</v>
      </c>
      <c r="D11" s="24" t="n">
        <v>1000000</v>
      </c>
      <c r="E11" s="24" t="n">
        <v>1500000</v>
      </c>
      <c r="F11" s="24" t="n">
        <v>2000000</v>
      </c>
    </row>
    <row r="12" customFormat="false" ht="18" hidden="false" customHeight="true" outlineLevel="0" collapsed="false">
      <c r="A12" s="19" t="s">
        <v>97</v>
      </c>
      <c r="B12" s="24" t="n">
        <v>8</v>
      </c>
      <c r="C12" s="24" t="n">
        <v>8</v>
      </c>
      <c r="D12" s="24" t="n">
        <v>8</v>
      </c>
      <c r="E12" s="24" t="n">
        <v>15</v>
      </c>
      <c r="F12" s="24" t="n">
        <v>22</v>
      </c>
    </row>
    <row r="13" customFormat="false" ht="18" hidden="false" customHeight="true" outlineLevel="0" collapsed="false">
      <c r="A13" s="19" t="s">
        <v>98</v>
      </c>
      <c r="B13" s="24" t="n">
        <v>2500000</v>
      </c>
      <c r="C13" s="24" t="n">
        <v>25000000</v>
      </c>
      <c r="D13" s="24" t="n">
        <v>25000000</v>
      </c>
      <c r="E13" s="24" t="n">
        <v>50000000</v>
      </c>
      <c r="F13" s="24" t="n">
        <v>100000000</v>
      </c>
    </row>
    <row r="14" customFormat="false" ht="18" hidden="false" customHeight="true" outlineLevel="0" collapsed="false">
      <c r="A14" s="19"/>
      <c r="B14" s="19"/>
      <c r="C14" s="19"/>
      <c r="D14" s="19"/>
      <c r="E14" s="19"/>
      <c r="F14" s="19"/>
    </row>
    <row r="15" customFormat="false" ht="18" hidden="false" customHeight="true" outlineLevel="0" collapsed="false">
      <c r="A15" s="27" t="s">
        <v>99</v>
      </c>
      <c r="B15" s="27"/>
      <c r="C15" s="27"/>
      <c r="D15" s="27"/>
      <c r="E15" s="27"/>
      <c r="F15" s="27"/>
    </row>
    <row r="16" customFormat="false" ht="30" hidden="false" customHeight="true" outlineLevel="0" collapsed="false">
      <c r="A16" s="28" t="s">
        <v>100</v>
      </c>
      <c r="B16" s="29" t="n">
        <v>46296</v>
      </c>
      <c r="C16" s="28" t="s">
        <v>101</v>
      </c>
      <c r="D16" s="19"/>
      <c r="E16" s="19"/>
      <c r="F16" s="19"/>
    </row>
    <row r="17" customFormat="false" ht="30" hidden="false" customHeight="true" outlineLevel="0" collapsed="false">
      <c r="A17" s="30" t="s">
        <v>102</v>
      </c>
      <c r="B17" s="31" t="n">
        <v>46388</v>
      </c>
      <c r="C17" s="30" t="s">
        <v>103</v>
      </c>
      <c r="D17" s="19"/>
      <c r="E17" s="19"/>
      <c r="F17" s="19"/>
    </row>
    <row r="18" customFormat="false" ht="30" hidden="false" customHeight="true" outlineLevel="0" collapsed="false">
      <c r="A18" s="30" t="s">
        <v>104</v>
      </c>
      <c r="B18" s="32" t="n">
        <v>46419</v>
      </c>
      <c r="C18" s="30" t="s">
        <v>105</v>
      </c>
      <c r="D18" s="19"/>
      <c r="E18" s="19"/>
      <c r="F18" s="19"/>
    </row>
    <row r="19" customFormat="false" ht="30" hidden="false" customHeight="true" outlineLevel="0" collapsed="false">
      <c r="A19" s="30" t="s">
        <v>106</v>
      </c>
      <c r="B19" s="33" t="n">
        <v>47026</v>
      </c>
      <c r="C19" s="30" t="s">
        <v>107</v>
      </c>
      <c r="D19" s="19"/>
      <c r="E19" s="19"/>
      <c r="F19" s="19"/>
    </row>
    <row r="20" customFormat="false" ht="30" hidden="false" customHeight="true" outlineLevel="0" collapsed="false">
      <c r="A20" s="30" t="s">
        <v>108</v>
      </c>
      <c r="B20" s="34" t="n">
        <v>75000000</v>
      </c>
      <c r="C20" s="30" t="s">
        <v>101</v>
      </c>
      <c r="D20" s="19"/>
      <c r="E20" s="19"/>
      <c r="F20" s="19"/>
    </row>
    <row r="21" customFormat="false" ht="30" hidden="false" customHeight="true" outlineLevel="0" collapsed="false">
      <c r="A21" s="30" t="s">
        <v>109</v>
      </c>
      <c r="B21" s="34" t="n">
        <v>15000000</v>
      </c>
      <c r="C21" s="30" t="s">
        <v>101</v>
      </c>
      <c r="D21" s="19"/>
      <c r="E21" s="19"/>
      <c r="F21" s="19"/>
    </row>
    <row r="22" customFormat="false" ht="30" hidden="false" customHeight="true" outlineLevel="0" collapsed="false">
      <c r="A22" s="30" t="s">
        <v>110</v>
      </c>
      <c r="B22" s="34" t="n">
        <v>1</v>
      </c>
      <c r="C22" s="30" t="s">
        <v>111</v>
      </c>
      <c r="D22" s="19"/>
      <c r="E22" s="19"/>
      <c r="F22" s="19"/>
    </row>
    <row r="23" customFormat="false" ht="30" hidden="false" customHeight="true" outlineLevel="0" collapsed="false">
      <c r="A23" s="30" t="s">
        <v>112</v>
      </c>
      <c r="B23" s="35" t="n">
        <f aca="false">C91/$B$22</f>
        <v>75000000</v>
      </c>
      <c r="C23" s="30" t="s">
        <v>113</v>
      </c>
      <c r="D23" s="19"/>
      <c r="E23" s="19"/>
      <c r="F23" s="19"/>
    </row>
    <row r="24" customFormat="false" ht="30" hidden="false" customHeight="true" outlineLevel="0" collapsed="false">
      <c r="A24" s="30" t="s">
        <v>114</v>
      </c>
      <c r="B24" s="36"/>
      <c r="C24" s="37" t="s">
        <v>115</v>
      </c>
      <c r="D24" s="19"/>
      <c r="E24" s="19"/>
      <c r="F24" s="19"/>
    </row>
    <row r="25" customFormat="false" ht="30" hidden="false" customHeight="true" outlineLevel="0" collapsed="false">
      <c r="A25" s="30" t="s">
        <v>116</v>
      </c>
      <c r="B25" s="38" t="n">
        <v>0.15</v>
      </c>
      <c r="C25" s="30" t="s">
        <v>117</v>
      </c>
      <c r="D25" s="19"/>
      <c r="E25" s="19"/>
      <c r="F25" s="19"/>
    </row>
    <row r="26" customFormat="false" ht="30" hidden="false" customHeight="true" outlineLevel="0" collapsed="false">
      <c r="A26" s="30" t="s">
        <v>118</v>
      </c>
      <c r="B26" s="38" t="n">
        <v>0.05</v>
      </c>
      <c r="C26" s="30" t="n">
        <v>0.07</v>
      </c>
      <c r="D26" s="19" t="n">
        <v>0.06</v>
      </c>
      <c r="E26" s="19" t="n">
        <v>0.06</v>
      </c>
      <c r="F26" s="19" t="n">
        <v>0.06</v>
      </c>
    </row>
    <row r="27" customFormat="false" ht="30" hidden="false" customHeight="true" outlineLevel="0" collapsed="false">
      <c r="A27" s="30" t="s">
        <v>119</v>
      </c>
      <c r="B27" s="38" t="n">
        <v>0.7</v>
      </c>
      <c r="C27" s="30" t="s">
        <v>120</v>
      </c>
      <c r="D27" s="19"/>
      <c r="E27" s="19"/>
      <c r="F27" s="19"/>
    </row>
    <row r="28" customFormat="false" ht="30" hidden="false" customHeight="true" outlineLevel="0" collapsed="false">
      <c r="A28" s="30" t="s">
        <v>121</v>
      </c>
      <c r="B28" s="39" t="n">
        <f aca="false">1-B27</f>
        <v>0.3</v>
      </c>
      <c r="C28" s="30" t="s">
        <v>122</v>
      </c>
      <c r="D28" s="19"/>
      <c r="E28" s="19"/>
      <c r="F28" s="19"/>
    </row>
    <row r="29" customFormat="false" ht="30" hidden="false" customHeight="true" outlineLevel="0" collapsed="false">
      <c r="A29" s="30" t="s">
        <v>123</v>
      </c>
      <c r="B29" s="40" t="n">
        <v>30</v>
      </c>
      <c r="C29" s="30" t="s">
        <v>124</v>
      </c>
      <c r="D29" s="19"/>
      <c r="E29" s="19"/>
      <c r="F29" s="19"/>
    </row>
    <row r="30" customFormat="false" ht="30" hidden="false" customHeight="true" outlineLevel="0" collapsed="false">
      <c r="A30" s="30" t="s">
        <v>125</v>
      </c>
      <c r="B30" s="38" t="n">
        <v>0.02</v>
      </c>
      <c r="C30" s="30" t="s">
        <v>126</v>
      </c>
      <c r="D30" s="19"/>
      <c r="E30" s="19"/>
      <c r="F30" s="19"/>
    </row>
    <row r="31" customFormat="false" ht="30" hidden="false" customHeight="true" outlineLevel="0" collapsed="false">
      <c r="A31" s="30" t="s">
        <v>127</v>
      </c>
      <c r="B31" s="38" t="n">
        <v>0.03</v>
      </c>
      <c r="C31" s="30" t="s">
        <v>128</v>
      </c>
      <c r="D31" s="19"/>
      <c r="E31" s="19"/>
      <c r="F31" s="19"/>
    </row>
    <row r="32" customFormat="false" ht="30" hidden="false" customHeight="true" outlineLevel="0" collapsed="false">
      <c r="A32" s="30" t="s">
        <v>129</v>
      </c>
      <c r="B32" s="38" t="n">
        <v>0.75</v>
      </c>
      <c r="C32" s="37" t="s">
        <v>130</v>
      </c>
      <c r="D32" s="19"/>
      <c r="E32" s="19"/>
      <c r="F32" s="19"/>
    </row>
    <row r="33" customFormat="false" ht="30" hidden="false" customHeight="true" outlineLevel="0" collapsed="false">
      <c r="A33" s="30" t="s">
        <v>131</v>
      </c>
      <c r="B33" s="38" t="n">
        <v>0.225</v>
      </c>
      <c r="C33" s="30" t="s">
        <v>132</v>
      </c>
      <c r="D33" s="19"/>
      <c r="E33" s="19"/>
      <c r="F33" s="19"/>
    </row>
    <row r="34" customFormat="false" ht="30" hidden="false" customHeight="true" outlineLevel="0" collapsed="false">
      <c r="A34" s="30" t="s">
        <v>133</v>
      </c>
      <c r="B34" s="41" t="n">
        <v>0.2</v>
      </c>
      <c r="C34" s="30" t="s">
        <v>134</v>
      </c>
      <c r="D34" s="19"/>
      <c r="E34" s="19"/>
      <c r="F34" s="19"/>
    </row>
    <row r="35" customFormat="false" ht="30" hidden="false" customHeight="true" outlineLevel="0" collapsed="false">
      <c r="A35" s="30" t="s">
        <v>135</v>
      </c>
      <c r="B35" s="38" t="n">
        <v>0.1</v>
      </c>
      <c r="C35" s="30" t="s">
        <v>136</v>
      </c>
      <c r="D35" s="19"/>
      <c r="E35" s="19"/>
      <c r="F35" s="19"/>
    </row>
    <row r="36" customFormat="false" ht="30" hidden="false" customHeight="true" outlineLevel="0" collapsed="false">
      <c r="A36" s="30" t="s">
        <v>137</v>
      </c>
      <c r="B36" s="42" t="n">
        <f aca="false">IFERROR(Staff!H10/SUM(Staff!H4:H9,Staff!H11:H20),0)</f>
        <v>0</v>
      </c>
      <c r="C36" s="43" t="n">
        <f aca="false">IFERROR(Staff!I10/SUM(Staff!I4:I9,Staff!I11:I20),0)</f>
        <v>0.166625075115775</v>
      </c>
      <c r="D36" s="44" t="n">
        <f aca="false">IFERROR(Staff!J10/SUM(Staff!J4:J9,Staff!J11:J20),0)</f>
        <v>0.362847172423909</v>
      </c>
      <c r="E36" s="44" t="n">
        <f aca="false">IFERROR(Staff!K10/SUM(Staff!K4:K9,Staff!K11:K20),0)</f>
        <v>0.299999999896254</v>
      </c>
      <c r="F36" s="44" t="n">
        <f aca="false">IFERROR(Staff!L10/SUM(Staff!L4:L9,Staff!L11:L20),0)</f>
        <v>0.300000000345822</v>
      </c>
    </row>
    <row r="37" customFormat="false" ht="30" hidden="false" customHeight="true" outlineLevel="0" collapsed="false">
      <c r="A37" s="30" t="s">
        <v>138</v>
      </c>
      <c r="B37" s="38" t="n">
        <v>0.005</v>
      </c>
      <c r="C37" s="30" t="s">
        <v>139</v>
      </c>
      <c r="D37" s="19"/>
      <c r="E37" s="19"/>
      <c r="F37" s="19"/>
    </row>
    <row r="38" customFormat="false" ht="30" hidden="false" customHeight="true" outlineLevel="0" collapsed="false">
      <c r="A38" s="30" t="s">
        <v>140</v>
      </c>
      <c r="B38" s="38" t="n">
        <v>0.002</v>
      </c>
      <c r="C38" s="30" t="s">
        <v>141</v>
      </c>
      <c r="D38" s="19"/>
      <c r="E38" s="19"/>
      <c r="F38" s="19"/>
    </row>
    <row r="39" customFormat="false" ht="30" hidden="false" customHeight="true" outlineLevel="0" collapsed="false">
      <c r="A39" s="30" t="s">
        <v>142</v>
      </c>
      <c r="B39" s="38" t="n">
        <v>0.25</v>
      </c>
      <c r="C39" s="30" t="s">
        <v>143</v>
      </c>
      <c r="D39" s="19"/>
      <c r="E39" s="19"/>
      <c r="F39" s="19"/>
    </row>
    <row r="40" customFormat="false" ht="30" hidden="false" customHeight="true" outlineLevel="0" collapsed="false">
      <c r="A40" s="30" t="s">
        <v>144</v>
      </c>
      <c r="B40" s="36" t="n">
        <v>8</v>
      </c>
      <c r="C40" s="30" t="s">
        <v>145</v>
      </c>
      <c r="D40" s="19"/>
      <c r="E40" s="19"/>
      <c r="F40" s="19"/>
    </row>
    <row r="41" customFormat="false" ht="30" hidden="false" customHeight="true" outlineLevel="0" collapsed="false">
      <c r="A41" s="30" t="s">
        <v>146</v>
      </c>
      <c r="B41" s="38" t="n">
        <v>0.05</v>
      </c>
      <c r="C41" s="30" t="s">
        <v>147</v>
      </c>
      <c r="D41" s="19"/>
      <c r="E41" s="19"/>
      <c r="F41" s="19"/>
    </row>
    <row r="42" customFormat="false" ht="30" hidden="false" customHeight="true" outlineLevel="0" collapsed="false">
      <c r="A42" s="30" t="s">
        <v>148</v>
      </c>
      <c r="B42" s="38" t="n">
        <v>0.5</v>
      </c>
      <c r="C42" s="30" t="s">
        <v>149</v>
      </c>
      <c r="D42" s="19"/>
      <c r="E42" s="19"/>
      <c r="F42" s="19"/>
    </row>
    <row r="43" customFormat="false" ht="30" hidden="false" customHeight="true" outlineLevel="0" collapsed="false">
      <c r="A43" s="30" t="s">
        <v>150</v>
      </c>
      <c r="B43" s="38" t="n">
        <v>0.98</v>
      </c>
      <c r="C43" s="30" t="s">
        <v>151</v>
      </c>
      <c r="D43" s="19"/>
      <c r="E43" s="19"/>
      <c r="F43" s="19"/>
    </row>
    <row r="44" customFormat="false" ht="30" hidden="false" customHeight="true" outlineLevel="0" collapsed="false">
      <c r="A44" s="30" t="s">
        <v>152</v>
      </c>
      <c r="B44" s="45" t="s">
        <v>153</v>
      </c>
      <c r="C44" s="30" t="s">
        <v>154</v>
      </c>
      <c r="D44" s="19"/>
      <c r="E44" s="19"/>
      <c r="F44" s="19"/>
    </row>
    <row r="45" customFormat="false" ht="30" hidden="false" customHeight="true" outlineLevel="0" collapsed="false">
      <c r="A45" s="46" t="s">
        <v>155</v>
      </c>
      <c r="B45" s="47" t="n">
        <v>3</v>
      </c>
      <c r="C45" s="47" t="n">
        <v>3.5</v>
      </c>
      <c r="D45" s="48" t="n">
        <v>7.5</v>
      </c>
      <c r="E45" s="48" t="n">
        <v>7.75</v>
      </c>
      <c r="F45" s="48" t="n">
        <v>8</v>
      </c>
    </row>
    <row r="46" customFormat="false" ht="60.75" hidden="false" customHeight="true" outlineLevel="0" collapsed="false">
      <c r="A46" s="20" t="s">
        <v>156</v>
      </c>
      <c r="B46" s="21" t="s">
        <v>157</v>
      </c>
      <c r="C46" s="21" t="s">
        <v>158</v>
      </c>
      <c r="D46" s="21" t="s">
        <v>159</v>
      </c>
      <c r="E46" s="21" t="s">
        <v>160</v>
      </c>
      <c r="F46" s="22"/>
    </row>
    <row r="47" customFormat="false" ht="18" hidden="false" customHeight="true" outlineLevel="0" collapsed="false">
      <c r="A47" s="19"/>
      <c r="B47" s="49" t="s">
        <v>161</v>
      </c>
      <c r="C47" s="19" t="s">
        <v>162</v>
      </c>
      <c r="D47" s="19" t="s">
        <v>163</v>
      </c>
      <c r="E47" s="49" t="s">
        <v>164</v>
      </c>
      <c r="F47" s="19"/>
    </row>
    <row r="48" customFormat="false" ht="18" hidden="false" customHeight="true" outlineLevel="0" collapsed="false">
      <c r="A48" s="19" t="s">
        <v>165</v>
      </c>
      <c r="B48" s="19" t="s">
        <v>166</v>
      </c>
      <c r="C48" s="19" t="s">
        <v>167</v>
      </c>
      <c r="D48" s="19" t="s">
        <v>168</v>
      </c>
      <c r="E48" s="19" t="s">
        <v>169</v>
      </c>
      <c r="F48" s="19"/>
    </row>
    <row r="49" customFormat="false" ht="18" hidden="false" customHeight="true" outlineLevel="0" collapsed="false">
      <c r="A49" s="19" t="s">
        <v>170</v>
      </c>
      <c r="B49" s="19" t="s">
        <v>171</v>
      </c>
      <c r="C49" s="19"/>
      <c r="D49" s="19"/>
      <c r="E49" s="19"/>
      <c r="F49" s="19"/>
    </row>
    <row r="50" customFormat="false" ht="18" hidden="false" customHeight="true" outlineLevel="0" collapsed="false">
      <c r="A50" s="50" t="s">
        <v>172</v>
      </c>
      <c r="B50" s="50"/>
      <c r="C50" s="50"/>
      <c r="D50" s="50"/>
      <c r="E50" s="50"/>
      <c r="F50" s="50"/>
    </row>
    <row r="51" customFormat="false" ht="24.75" hidden="false" customHeight="true" outlineLevel="0" collapsed="false">
      <c r="A51" s="30" t="s">
        <v>173</v>
      </c>
      <c r="B51" s="51" t="n">
        <v>4</v>
      </c>
      <c r="C51" s="51" t="n">
        <v>4</v>
      </c>
      <c r="D51" s="51" t="n">
        <v>9</v>
      </c>
      <c r="E51" s="51" t="n">
        <v>9</v>
      </c>
      <c r="F51" s="51" t="n">
        <v>9</v>
      </c>
    </row>
    <row r="52" customFormat="false" ht="24.75" hidden="false" customHeight="true" outlineLevel="0" collapsed="false">
      <c r="A52" s="30" t="s">
        <v>174</v>
      </c>
      <c r="B52" s="52" t="n">
        <v>0.75</v>
      </c>
      <c r="C52" s="52" t="n">
        <v>0.75</v>
      </c>
      <c r="D52" s="52" t="n">
        <v>0.75</v>
      </c>
      <c r="E52" s="52" t="n">
        <v>0.75</v>
      </c>
      <c r="F52" s="52" t="n">
        <v>0.75</v>
      </c>
    </row>
    <row r="53" customFormat="false" ht="24.75" hidden="false" customHeight="true" outlineLevel="0" collapsed="false">
      <c r="A53" s="46" t="s">
        <v>175</v>
      </c>
      <c r="B53" s="53" t="n">
        <v>0</v>
      </c>
      <c r="C53" s="53" t="n">
        <v>420000000</v>
      </c>
      <c r="D53" s="53" t="n">
        <v>850000000</v>
      </c>
      <c r="E53" s="53" t="n">
        <v>1600000000</v>
      </c>
      <c r="F53" s="53" t="n">
        <v>3000000000</v>
      </c>
    </row>
    <row r="54" customFormat="false" ht="24.75" hidden="false" customHeight="true" outlineLevel="0" collapsed="false">
      <c r="A54" s="30" t="s">
        <v>176</v>
      </c>
      <c r="B54" s="54" t="n">
        <v>0</v>
      </c>
      <c r="C54" s="54" t="n">
        <v>0</v>
      </c>
      <c r="D54" s="54" t="n">
        <v>0</v>
      </c>
      <c r="E54" s="54" t="n">
        <v>0</v>
      </c>
      <c r="F54" s="54" t="n">
        <v>0</v>
      </c>
    </row>
    <row r="55" customFormat="false" ht="24.75" hidden="false" customHeight="true" outlineLevel="0" collapsed="false">
      <c r="A55" s="30" t="s">
        <v>177</v>
      </c>
      <c r="B55" s="52" t="n">
        <v>0</v>
      </c>
      <c r="C55" s="52" t="n">
        <v>0</v>
      </c>
      <c r="D55" s="52" t="n">
        <v>0</v>
      </c>
      <c r="E55" s="52" t="n">
        <v>0</v>
      </c>
      <c r="F55" s="52" t="n">
        <v>0</v>
      </c>
    </row>
    <row r="56" customFormat="false" ht="24.75" hidden="false" customHeight="true" outlineLevel="0" collapsed="false">
      <c r="A56" s="30" t="s">
        <v>178</v>
      </c>
      <c r="B56" s="52" t="n">
        <v>0</v>
      </c>
      <c r="C56" s="52" t="n">
        <v>0</v>
      </c>
      <c r="D56" s="52" t="n">
        <v>0</v>
      </c>
      <c r="E56" s="52" t="n">
        <v>0</v>
      </c>
      <c r="F56" s="52" t="n">
        <v>0</v>
      </c>
    </row>
    <row r="57" customFormat="false" ht="24.75" hidden="false" customHeight="true" outlineLevel="0" collapsed="false">
      <c r="A57" s="30" t="s">
        <v>179</v>
      </c>
      <c r="B57" s="55" t="n">
        <v>0.12</v>
      </c>
      <c r="C57" s="55" t="n">
        <v>0.12</v>
      </c>
      <c r="D57" s="55" t="n">
        <v>0.12</v>
      </c>
      <c r="E57" s="55" t="n">
        <v>0.12</v>
      </c>
      <c r="F57" s="55" t="n">
        <v>0.12</v>
      </c>
    </row>
    <row r="58" customFormat="false" ht="24.75" hidden="false" customHeight="true" outlineLevel="0" collapsed="false">
      <c r="A58" s="30" t="s">
        <v>180</v>
      </c>
      <c r="B58" s="55" t="n">
        <v>1</v>
      </c>
      <c r="C58" s="55" t="n">
        <v>1</v>
      </c>
      <c r="D58" s="55" t="n">
        <v>1</v>
      </c>
      <c r="E58" s="55" t="n">
        <v>1</v>
      </c>
      <c r="F58" s="55" t="n">
        <v>1</v>
      </c>
    </row>
    <row r="59" customFormat="false" ht="24.75" hidden="false" customHeight="true" outlineLevel="0" collapsed="false">
      <c r="A59" s="30" t="s">
        <v>181</v>
      </c>
      <c r="B59" s="55" t="n">
        <v>1</v>
      </c>
      <c r="C59" s="55" t="n">
        <v>1</v>
      </c>
      <c r="D59" s="55" t="n">
        <v>1</v>
      </c>
      <c r="E59" s="55" t="n">
        <v>1</v>
      </c>
      <c r="F59" s="55" t="n">
        <v>1</v>
      </c>
    </row>
    <row r="60" customFormat="false" ht="24.75" hidden="false" customHeight="true" outlineLevel="0" collapsed="false">
      <c r="A60" s="30" t="s">
        <v>182</v>
      </c>
      <c r="B60" s="55" t="n">
        <v>0.3</v>
      </c>
      <c r="C60" s="55" t="n">
        <v>0.3</v>
      </c>
      <c r="D60" s="55" t="n">
        <v>0.3</v>
      </c>
      <c r="E60" s="55" t="n">
        <v>0.3</v>
      </c>
      <c r="F60" s="55" t="n">
        <v>0.3</v>
      </c>
    </row>
    <row r="61" customFormat="false" ht="24.75" hidden="false" customHeight="true" outlineLevel="0" collapsed="false">
      <c r="A61" s="30" t="s">
        <v>183</v>
      </c>
      <c r="B61" s="55" t="n">
        <v>0.18</v>
      </c>
      <c r="C61" s="55" t="n">
        <v>0.18</v>
      </c>
      <c r="D61" s="55" t="n">
        <v>0.18</v>
      </c>
      <c r="E61" s="55" t="n">
        <v>0.18</v>
      </c>
      <c r="F61" s="55" t="n">
        <v>0.18</v>
      </c>
    </row>
    <row r="62" customFormat="false" ht="24.75" hidden="false" customHeight="true" outlineLevel="0" collapsed="false">
      <c r="A62" s="30" t="s">
        <v>184</v>
      </c>
      <c r="B62" s="42" t="n">
        <v>0.9</v>
      </c>
      <c r="C62" s="42" t="n">
        <v>0.9</v>
      </c>
      <c r="D62" s="42" t="n">
        <v>0.95</v>
      </c>
      <c r="E62" s="42" t="n">
        <v>0.95</v>
      </c>
      <c r="F62" s="42" t="n">
        <v>0.95</v>
      </c>
    </row>
    <row r="63" customFormat="false" ht="24.75" hidden="false" customHeight="true" outlineLevel="0" collapsed="false">
      <c r="A63" s="30" t="s">
        <v>185</v>
      </c>
      <c r="B63" s="55" t="n">
        <v>0.8</v>
      </c>
      <c r="C63" s="55" t="n">
        <v>0.8</v>
      </c>
      <c r="D63" s="55" t="n">
        <v>0.8</v>
      </c>
      <c r="E63" s="55" t="n">
        <v>0.8</v>
      </c>
      <c r="F63" s="55" t="n">
        <v>0.8</v>
      </c>
    </row>
    <row r="64" customFormat="false" ht="24.75" hidden="false" customHeight="true" outlineLevel="0" collapsed="false">
      <c r="A64" s="30" t="s">
        <v>186</v>
      </c>
      <c r="B64" s="56" t="n">
        <f aca="false">Staff!C21</f>
        <v>36</v>
      </c>
      <c r="C64" s="56" t="n">
        <f aca="false">Staff!D21</f>
        <v>36</v>
      </c>
      <c r="D64" s="56" t="n">
        <f aca="false">Staff!E21</f>
        <v>36</v>
      </c>
      <c r="E64" s="56" t="n">
        <f aca="false">Staff!F21</f>
        <v>36</v>
      </c>
      <c r="F64" s="56" t="n">
        <f aca="false">Staff!G21</f>
        <v>36</v>
      </c>
    </row>
    <row r="65" customFormat="false" ht="24.75" hidden="false" customHeight="true" outlineLevel="0" collapsed="false">
      <c r="A65" s="30" t="s">
        <v>187</v>
      </c>
      <c r="B65" s="57" t="n">
        <v>1</v>
      </c>
      <c r="C65" s="57" t="n">
        <v>1</v>
      </c>
      <c r="D65" s="57" t="n">
        <v>1</v>
      </c>
      <c r="E65" s="57" t="n">
        <v>1</v>
      </c>
      <c r="F65" s="57" t="n">
        <v>1</v>
      </c>
    </row>
    <row r="66" customFormat="false" ht="24.75" hidden="false" customHeight="true" outlineLevel="0" collapsed="false">
      <c r="A66" s="30" t="s">
        <v>188</v>
      </c>
      <c r="B66" s="52" t="n">
        <f aca="false">IFERROR(Opex!H20/(SUMPRODUCT(Opex!$B$4:$B$18,Opex!$C$4:$C$18)*12),1)</f>
        <v>0.646153846153846</v>
      </c>
      <c r="C66" s="52" t="n">
        <f aca="false">IFERROR(Opex!I20/(SUMPRODUCT(Opex!$B$4:$B$18,Opex!$D$4:$D$18)*12*(1+$B$35)),1)</f>
        <v>0.981818181818182</v>
      </c>
      <c r="D66" s="52" t="n">
        <v>1</v>
      </c>
      <c r="E66" s="52" t="n">
        <v>1</v>
      </c>
      <c r="F66" s="52" t="n">
        <v>1</v>
      </c>
    </row>
    <row r="67" customFormat="false" ht="18" hidden="false" customHeight="true" outlineLevel="0" collapsed="false">
      <c r="A67" s="19" t="s">
        <v>189</v>
      </c>
      <c r="B67" s="19" t="s">
        <v>190</v>
      </c>
      <c r="C67" s="19"/>
      <c r="D67" s="19"/>
      <c r="E67" s="19"/>
      <c r="F67" s="19"/>
    </row>
    <row r="68" customFormat="false" ht="18" hidden="false" customHeight="true" outlineLevel="0" collapsed="false">
      <c r="A68" s="58" t="s">
        <v>191</v>
      </c>
      <c r="B68" s="58"/>
      <c r="C68" s="58"/>
      <c r="D68" s="58"/>
      <c r="E68" s="58"/>
      <c r="F68" s="58"/>
    </row>
    <row r="69" customFormat="false" ht="54" hidden="false" customHeight="true" outlineLevel="0" collapsed="false">
      <c r="A69" s="30" t="s">
        <v>192</v>
      </c>
      <c r="B69" s="59" t="s">
        <v>193</v>
      </c>
      <c r="C69" s="59"/>
      <c r="D69" s="59"/>
      <c r="E69" s="59"/>
      <c r="F69" s="59"/>
    </row>
    <row r="70" customFormat="false" ht="39.75" hidden="false" customHeight="true" outlineLevel="0" collapsed="false">
      <c r="A70" s="30" t="s">
        <v>194</v>
      </c>
      <c r="B70" s="60" t="s">
        <v>195</v>
      </c>
      <c r="C70" s="60"/>
      <c r="D70" s="60"/>
      <c r="E70" s="60"/>
      <c r="F70" s="60"/>
    </row>
    <row r="71" customFormat="false" ht="37.5" hidden="false" customHeight="true" outlineLevel="0" collapsed="false">
      <c r="A71" s="30" t="s">
        <v>196</v>
      </c>
      <c r="B71" s="60" t="s">
        <v>197</v>
      </c>
      <c r="C71" s="60"/>
      <c r="D71" s="60"/>
      <c r="E71" s="60"/>
      <c r="F71" s="60"/>
    </row>
    <row r="72" customFormat="false" ht="48" hidden="false" customHeight="true" outlineLevel="0" collapsed="false">
      <c r="A72" s="30" t="s">
        <v>198</v>
      </c>
      <c r="B72" s="61" t="s">
        <v>199</v>
      </c>
      <c r="C72" s="61"/>
      <c r="D72" s="61"/>
      <c r="E72" s="61"/>
      <c r="F72" s="61"/>
    </row>
    <row r="73" customFormat="false" ht="54" hidden="false" customHeight="true" outlineLevel="0" collapsed="false">
      <c r="A73" s="30" t="s">
        <v>200</v>
      </c>
      <c r="B73" s="59" t="s">
        <v>201</v>
      </c>
      <c r="C73" s="59"/>
      <c r="D73" s="59"/>
      <c r="E73" s="59"/>
      <c r="F73" s="59"/>
    </row>
    <row r="74" customFormat="false" ht="15" hidden="false" customHeight="true" outlineLevel="0" collapsed="false">
      <c r="A74" s="62" t="s">
        <v>202</v>
      </c>
      <c r="B74" s="63" t="n">
        <f aca="false">'Funding &amp; Liquidity'!B12</f>
        <v>0</v>
      </c>
      <c r="C74" s="63" t="n">
        <f aca="false">'Funding &amp; Liquidity'!C12</f>
        <v>71677562.91</v>
      </c>
      <c r="D74" s="63" t="n">
        <f aca="false">'Funding &amp; Liquidity'!D12</f>
        <v>292500000</v>
      </c>
      <c r="E74" s="63" t="n">
        <f aca="false">'Funding &amp; Liquidity'!E12</f>
        <v>615000000</v>
      </c>
      <c r="F74" s="63" t="n">
        <f aca="false">'Funding &amp; Liquidity'!F12</f>
        <v>1162500000</v>
      </c>
    </row>
    <row r="75" customFormat="false" ht="15" hidden="false" customHeight="true" outlineLevel="0" collapsed="false">
      <c r="A75" s="64" t="s">
        <v>203</v>
      </c>
      <c r="B75" s="64"/>
      <c r="C75" s="64"/>
      <c r="D75" s="64"/>
      <c r="E75" s="64"/>
      <c r="F75" s="64"/>
    </row>
    <row r="76" customFormat="false" ht="15" hidden="false" customHeight="true" outlineLevel="0" collapsed="false">
      <c r="A76" s="1" t="s">
        <v>204</v>
      </c>
      <c r="B76" s="65" t="n">
        <f aca="false">B4</f>
        <v>27750000</v>
      </c>
      <c r="C76" s="65" t="n">
        <f aca="false">C4</f>
        <v>527500000</v>
      </c>
      <c r="D76" s="65" t="n">
        <f aca="false">D4</f>
        <v>700000000</v>
      </c>
      <c r="E76" s="65" t="n">
        <f aca="false">E4</f>
        <v>1350000000</v>
      </c>
      <c r="F76" s="65" t="n">
        <f aca="false">F4</f>
        <v>2500000000</v>
      </c>
    </row>
    <row r="77" customFormat="false" ht="15" hidden="false" customHeight="true" outlineLevel="0" collapsed="false">
      <c r="A77" s="1" t="s">
        <v>205</v>
      </c>
      <c r="B77" s="66" t="n">
        <v>185</v>
      </c>
      <c r="C77" s="66" t="n">
        <v>1670</v>
      </c>
      <c r="D77" s="66" t="n">
        <v>788</v>
      </c>
      <c r="E77" s="66" t="n">
        <v>1227</v>
      </c>
      <c r="F77" s="66" t="n">
        <v>1852</v>
      </c>
    </row>
    <row r="78" customFormat="false" ht="15" hidden="false" customHeight="true" outlineLevel="0" collapsed="false">
      <c r="A78" s="1" t="s">
        <v>206</v>
      </c>
      <c r="B78" s="67" t="n">
        <v>7077695.91</v>
      </c>
      <c r="C78" s="67" t="n">
        <v>95570083.88</v>
      </c>
      <c r="D78" s="67" t="n">
        <v>390000000</v>
      </c>
      <c r="E78" s="67" t="n">
        <v>820000000</v>
      </c>
      <c r="F78" s="67" t="n">
        <v>1550000000</v>
      </c>
    </row>
    <row r="79" customFormat="false" ht="15" hidden="false" customHeight="true" outlineLevel="0" collapsed="false">
      <c r="A79" s="1" t="s">
        <v>207</v>
      </c>
      <c r="B79" s="67" t="n">
        <v>20672304.09</v>
      </c>
      <c r="C79" s="67" t="n">
        <v>452602220.2</v>
      </c>
      <c r="D79" s="67" t="n">
        <f aca="false">C79*(1-12/$B$29)+D76*(1-$B$25)</f>
        <v>866561332.12</v>
      </c>
      <c r="E79" s="67" t="n">
        <f aca="false">D79*(1-12/$B$29)+E76*(1-$B$25)</f>
        <v>1667436799.272</v>
      </c>
      <c r="F79" s="67" t="n">
        <f aca="false">E79*(1-12/$B$29)+F76*(1-$B$25)</f>
        <v>3125462079.5632</v>
      </c>
    </row>
    <row r="80" customFormat="false" ht="15" hidden="false" customHeight="true" outlineLevel="0" collapsed="false">
      <c r="A80" s="1" t="s">
        <v>208</v>
      </c>
      <c r="B80" s="67" t="n">
        <f aca="false">'Cohort Interest'!B8</f>
        <v>3538847.96</v>
      </c>
      <c r="C80" s="67" t="n">
        <f aca="false">'Cohort Interest'!C8</f>
        <v>45873640.26</v>
      </c>
      <c r="D80" s="67" t="n">
        <f aca="false">'Cohort Interest'!D8</f>
        <v>197874532.848</v>
      </c>
      <c r="E80" s="67" t="n">
        <f aca="false">'Cohort Interest'!E8</f>
        <v>354759738.39488</v>
      </c>
      <c r="F80" s="67" t="n">
        <f aca="false">'Cohort Interest'!F8</f>
        <v>623076854.248576</v>
      </c>
    </row>
    <row r="81" customFormat="false" ht="15" hidden="false" customHeight="true" outlineLevel="0" collapsed="false">
      <c r="A81" s="1" t="s">
        <v>209</v>
      </c>
      <c r="B81" s="67" t="n">
        <f aca="false">B76*B26</f>
        <v>1387500</v>
      </c>
      <c r="C81" s="67" t="n">
        <f aca="false">C76*C26</f>
        <v>36925000</v>
      </c>
      <c r="D81" s="67" t="n">
        <f aca="false">D76*D26</f>
        <v>42000000</v>
      </c>
      <c r="E81" s="67" t="n">
        <f aca="false">E76*E26</f>
        <v>81000000</v>
      </c>
      <c r="F81" s="67" t="n">
        <f aca="false">F76*F26</f>
        <v>150000000</v>
      </c>
    </row>
    <row r="82" customFormat="false" ht="15" hidden="false" customHeight="true" outlineLevel="0" collapsed="false">
      <c r="A82" s="1" t="s">
        <v>210</v>
      </c>
      <c r="B82" s="67" t="n">
        <v>3118262.4</v>
      </c>
      <c r="C82" s="67" t="n">
        <v>0</v>
      </c>
      <c r="D82" s="67" t="n">
        <f aca="false">D76*0.8%</f>
        <v>5600000</v>
      </c>
      <c r="E82" s="67" t="n">
        <f aca="false">E76*0.8%</f>
        <v>10800000</v>
      </c>
      <c r="F82" s="67" t="n">
        <f aca="false">F76*0.8%</f>
        <v>20000000</v>
      </c>
    </row>
    <row r="83" customFormat="false" ht="15" hidden="false" customHeight="true" outlineLevel="0" collapsed="false">
      <c r="A83" s="1" t="s">
        <v>211</v>
      </c>
      <c r="B83" s="67" t="n">
        <f aca="false">SUMIFS('Monthly Model'!$B$41:$BI$41,'Monthly Model'!$B$4:$BI$4,2027)</f>
        <v>0</v>
      </c>
      <c r="C83" s="67" t="n">
        <f aca="false">SUMIFS('Monthly Model'!$B$41:$BI$41,'Monthly Model'!$B$4:$BI$4,2028)</f>
        <v>37240500</v>
      </c>
      <c r="D83" s="67" t="n">
        <f aca="false">SUMIFS('Monthly Model'!$B$41:$BI$41,'Monthly Model'!$B$4:$BI$4,2029)</f>
        <v>102822500</v>
      </c>
      <c r="E83" s="67" t="n">
        <f aca="false">SUMIFS('Monthly Model'!$B$41:$BI$41,'Monthly Model'!$B$4:$BI$4,2030)</f>
        <v>176827500</v>
      </c>
      <c r="F83" s="67" t="n">
        <f aca="false">SUMIFS('Monthly Model'!$B$41:$BI$41,'Monthly Model'!$B$4:$BI$4,2031)</f>
        <v>325335375</v>
      </c>
    </row>
    <row r="84" customFormat="false" ht="15" hidden="false" customHeight="true" outlineLevel="0" collapsed="false">
      <c r="A84" s="1" t="s">
        <v>212</v>
      </c>
      <c r="B84" s="67" t="n">
        <f aca="false">B79*$B$31</f>
        <v>620169.1227</v>
      </c>
      <c r="C84" s="67" t="n">
        <f aca="false">C79*$B$31-B79*$B$31</f>
        <v>12957897.4833</v>
      </c>
      <c r="D84" s="67" t="n">
        <f aca="false">D79*$B$31-C79*$B$31</f>
        <v>12418773.3576</v>
      </c>
      <c r="E84" s="67" t="n">
        <f aca="false">E79*$B$31-D79*$B$31</f>
        <v>24026264.01456</v>
      </c>
      <c r="F84" s="67" t="n">
        <f aca="false">F79*$B$31-E79*$B$31</f>
        <v>43740758.408736</v>
      </c>
    </row>
    <row r="85" customFormat="false" ht="15" hidden="false" customHeight="true" outlineLevel="0" collapsed="false">
      <c r="A85" s="1" t="s">
        <v>213</v>
      </c>
      <c r="B85" s="67" t="n">
        <f aca="false">Staff!H21</f>
        <v>11156112</v>
      </c>
      <c r="C85" s="67" t="n">
        <f aca="false">Staff!I21</f>
        <v>15618000</v>
      </c>
      <c r="D85" s="67" t="n">
        <f aca="false">Staff!J21</f>
        <v>21893869</v>
      </c>
      <c r="E85" s="67" t="n">
        <f aca="false">Staff!K21</f>
        <v>25061090</v>
      </c>
      <c r="F85" s="67" t="n">
        <f aca="false">Staff!L21</f>
        <v>30073308</v>
      </c>
    </row>
    <row r="86" customFormat="false" ht="15" hidden="false" customHeight="true" outlineLevel="0" collapsed="false">
      <c r="A86" s="1" t="s">
        <v>214</v>
      </c>
      <c r="B86" s="67" t="n">
        <v>4435200</v>
      </c>
      <c r="C86" s="67" t="n">
        <v>7413120</v>
      </c>
      <c r="D86" s="67" t="n">
        <f aca="false">Opex!J19</f>
        <v>8305440</v>
      </c>
      <c r="E86" s="67" t="n">
        <f aca="false">Opex!K19</f>
        <v>12769614</v>
      </c>
      <c r="F86" s="67" t="n">
        <f aca="false">Opex!L19</f>
        <v>18043568.4</v>
      </c>
    </row>
    <row r="87" customFormat="false" ht="15" hidden="false" customHeight="true" outlineLevel="0" collapsed="false">
      <c r="A87" s="1" t="s">
        <v>215</v>
      </c>
      <c r="B87" s="67" t="n">
        <v>0</v>
      </c>
      <c r="C87" s="67" t="n">
        <v>0</v>
      </c>
      <c r="D87" s="67" t="n">
        <v>1000000</v>
      </c>
      <c r="E87" s="67" t="n">
        <v>1500000</v>
      </c>
      <c r="F87" s="67" t="n">
        <v>2000000</v>
      </c>
    </row>
    <row r="88" customFormat="false" ht="15" hidden="false" customHeight="true" outlineLevel="0" collapsed="false">
      <c r="A88" s="1" t="s">
        <v>131</v>
      </c>
      <c r="B88" s="67" t="n">
        <f aca="false">'Income Statement'!B46</f>
        <v>0</v>
      </c>
      <c r="C88" s="67" t="n">
        <f aca="false">'Income Statement'!C46</f>
        <v>315506.703149994</v>
      </c>
      <c r="D88" s="67" t="n">
        <f aca="false">'Income Statement'!D46</f>
        <v>22282638.86034</v>
      </c>
      <c r="E88" s="67" t="n">
        <f aca="false">'Income Statement'!E46</f>
        <v>46434435.835572</v>
      </c>
      <c r="F88" s="67" t="n">
        <f aca="false">'Income Statement'!F46</f>
        <v>84123864.9989639</v>
      </c>
    </row>
    <row r="89" customFormat="false" ht="15" hidden="false" customHeight="true" outlineLevel="0" collapsed="false">
      <c r="A89" s="1" t="s">
        <v>216</v>
      </c>
      <c r="B89" s="67" t="n">
        <f aca="false">B80+B81+B82-B83-B84-B85-B86-B87-B88</f>
        <v>-8166870.7627</v>
      </c>
      <c r="C89" s="67" t="n">
        <f aca="false">C80+C81+C82-C83-C84-C85-C86-C87-C88</f>
        <v>9253616.07354998</v>
      </c>
      <c r="D89" s="67" t="n">
        <f aca="false">D80+D81+D82-D83-D84-D85-D86-D87-D88</f>
        <v>76751311.63006</v>
      </c>
      <c r="E89" s="67" t="n">
        <f aca="false">E80+E81+E82-E83-E84-E85-E86-E87-E88</f>
        <v>159940834.544748</v>
      </c>
      <c r="F89" s="67" t="n">
        <f aca="false">F80+F81+F82-F83-F84-F85-F86-F87-F88</f>
        <v>289759979.440876</v>
      </c>
    </row>
    <row r="90" customFormat="false" ht="15" hidden="false" customHeight="true" outlineLevel="0" collapsed="false">
      <c r="A90" s="1" t="s">
        <v>217</v>
      </c>
      <c r="B90" s="67" t="n">
        <v>0</v>
      </c>
      <c r="C90" s="67" t="n">
        <v>370000000</v>
      </c>
      <c r="D90" s="67" t="n">
        <v>685000000</v>
      </c>
      <c r="E90" s="67" t="n">
        <v>1335000000</v>
      </c>
      <c r="F90" s="67" t="n">
        <v>2600000000</v>
      </c>
    </row>
    <row r="91" customFormat="false" ht="15" hidden="false" customHeight="true" outlineLevel="0" collapsed="false">
      <c r="A91" s="1" t="s">
        <v>218</v>
      </c>
      <c r="B91" s="67" t="n">
        <v>30000000</v>
      </c>
      <c r="C91" s="67" t="n">
        <v>75000000</v>
      </c>
      <c r="D91" s="67" t="n">
        <v>75000000</v>
      </c>
      <c r="E91" s="67" t="n">
        <v>75000000</v>
      </c>
      <c r="F91" s="67" t="n">
        <v>75000000</v>
      </c>
    </row>
    <row r="92" customFormat="false" ht="15" hidden="false" customHeight="true" outlineLevel="0" collapsed="false">
      <c r="A92" s="1" t="s">
        <v>219</v>
      </c>
      <c r="B92" s="67" t="n">
        <f aca="false">B89</f>
        <v>-8166870.7627</v>
      </c>
      <c r="C92" s="67" t="n">
        <f aca="false">B92+C89</f>
        <v>1086745.31084998</v>
      </c>
      <c r="D92" s="67" t="n">
        <f aca="false">C92+D89</f>
        <v>77838056.9409099</v>
      </c>
      <c r="E92" s="67" t="n">
        <f aca="false">D92+E89</f>
        <v>237778891.485658</v>
      </c>
      <c r="F92" s="67" t="n">
        <f aca="false">E92+F89</f>
        <v>527538870.926534</v>
      </c>
    </row>
    <row r="93" customFormat="false" ht="15" hidden="false" customHeight="true" outlineLevel="0" collapsed="false">
      <c r="A93" s="1" t="s">
        <v>220</v>
      </c>
      <c r="B93" s="67" t="n">
        <f aca="false">0</f>
        <v>0</v>
      </c>
      <c r="C93" s="67" t="n">
        <f aca="false">MAX(0,C89*$B$41)</f>
        <v>462680.803677499</v>
      </c>
      <c r="D93" s="67" t="n">
        <f aca="false">C93+MAX(0,D89*$B$41)</f>
        <v>4300246.3851805</v>
      </c>
      <c r="E93" s="67" t="n">
        <f aca="false">D93+MAX(0,E89*$B$41)</f>
        <v>12297288.1124179</v>
      </c>
      <c r="F93" s="67" t="n">
        <f aca="false">E93+MAX(0,F89*$B$41)</f>
        <v>26785287.0844617</v>
      </c>
    </row>
    <row r="94" customFormat="false" ht="15" hidden="false" customHeight="true" outlineLevel="0" collapsed="false">
      <c r="A94" s="1" t="s">
        <v>221</v>
      </c>
      <c r="B94" s="67" t="n">
        <f aca="false">B91+B92</f>
        <v>21833129.2373</v>
      </c>
      <c r="C94" s="67" t="n">
        <f aca="false">C91+C92</f>
        <v>76086745.31085</v>
      </c>
      <c r="D94" s="67" t="n">
        <f aca="false">D91+D92</f>
        <v>152838056.94091</v>
      </c>
      <c r="E94" s="67" t="n">
        <f aca="false">E91+E92</f>
        <v>312778891.485658</v>
      </c>
      <c r="F94" s="67" t="n">
        <f aca="false">F91+F92</f>
        <v>602538870.926534</v>
      </c>
    </row>
    <row r="95" customFormat="false" ht="15" hidden="false" customHeight="true" outlineLevel="0" collapsed="false">
      <c r="A95" s="1" t="s">
        <v>179</v>
      </c>
      <c r="B95" s="68" t="n">
        <v>0.12</v>
      </c>
      <c r="C95" s="68" t="n">
        <v>0.12</v>
      </c>
      <c r="D95" s="68" t="n">
        <v>0.12</v>
      </c>
      <c r="E95" s="68" t="n">
        <v>0.12</v>
      </c>
      <c r="F95" s="68" t="n">
        <v>0.12</v>
      </c>
    </row>
    <row r="96" customFormat="false" ht="15" hidden="false" customHeight="true" outlineLevel="0" collapsed="false">
      <c r="A96" s="1" t="s">
        <v>222</v>
      </c>
      <c r="B96" s="68" t="n">
        <v>0.18</v>
      </c>
      <c r="C96" s="68" t="n">
        <v>0.18</v>
      </c>
      <c r="D96" s="68" t="n">
        <v>0.18</v>
      </c>
      <c r="E96" s="68" t="n">
        <v>0.18</v>
      </c>
      <c r="F96" s="68" t="n">
        <v>0.18</v>
      </c>
    </row>
    <row r="97" customFormat="false" ht="15" hidden="false" customHeight="true" outlineLevel="0" collapsed="false">
      <c r="A97" s="1" t="s">
        <v>223</v>
      </c>
      <c r="B97" s="69" t="n">
        <v>12.5</v>
      </c>
      <c r="C97" s="69" t="n">
        <v>12.5</v>
      </c>
      <c r="D97" s="69" t="n">
        <v>12.5</v>
      </c>
      <c r="E97" s="69" t="n">
        <v>12.5</v>
      </c>
      <c r="F97" s="69" t="n">
        <v>12.5</v>
      </c>
    </row>
    <row r="98" customFormat="false" ht="43.5" hidden="false" customHeight="true" outlineLevel="0" collapsed="false">
      <c r="A98" s="70" t="s">
        <v>224</v>
      </c>
      <c r="B98" s="71" t="n">
        <f aca="false">'Cash Flow'!B25</f>
        <v>3220917.99</v>
      </c>
      <c r="C98" s="71" t="n">
        <f aca="false">'Cash Flow'!C25</f>
        <v>9502515.43684994</v>
      </c>
      <c r="D98" s="71" t="n">
        <f aca="false">'Cash Flow'!D25</f>
        <v>13213488.5045099</v>
      </c>
      <c r="E98" s="71" t="n">
        <f aca="false">'Cash Flow'!E25</f>
        <v>65805119.911818</v>
      </c>
      <c r="F98" s="71" t="n">
        <f aca="false">'Cash Flow'!F25</f>
        <v>240780577.47023</v>
      </c>
    </row>
    <row r="99" customFormat="false" ht="43.5" hidden="false" customHeight="true" outlineLevel="0" collapsed="false">
      <c r="A99" s="70" t="s">
        <v>225</v>
      </c>
      <c r="B99" s="71" t="n">
        <v>258076.28</v>
      </c>
      <c r="C99" s="71" t="n">
        <v>258076.28</v>
      </c>
      <c r="D99" s="71" t="n">
        <v>258076.28</v>
      </c>
      <c r="E99" s="71" t="n">
        <v>258076.28</v>
      </c>
      <c r="F99" s="71" t="n">
        <v>258076.28</v>
      </c>
    </row>
    <row r="100" customFormat="false" ht="43.5" hidden="false" customHeight="true" outlineLevel="0" collapsed="false">
      <c r="A100" s="70" t="s">
        <v>226</v>
      </c>
      <c r="B100" s="71" t="n">
        <v>6000000</v>
      </c>
      <c r="C100" s="71" t="n">
        <v>7500000</v>
      </c>
      <c r="D100" s="71" t="n">
        <v>21000000</v>
      </c>
      <c r="E100" s="71" t="n">
        <v>40500000</v>
      </c>
      <c r="F100" s="71" t="n">
        <v>75000000</v>
      </c>
    </row>
    <row r="101" customFormat="false" ht="15" hidden="false" customHeight="true" outlineLevel="0" collapsed="false">
      <c r="A101" s="70" t="s">
        <v>227</v>
      </c>
      <c r="B101" s="71" t="n">
        <v>0</v>
      </c>
      <c r="C101" s="71" t="n">
        <v>420000000</v>
      </c>
      <c r="D101" s="71" t="n">
        <v>850000000</v>
      </c>
      <c r="E101" s="71" t="n">
        <v>1600000000</v>
      </c>
      <c r="F101" s="71" t="n">
        <v>3000000000</v>
      </c>
    </row>
    <row r="102" customFormat="false" ht="37.5" hidden="false" customHeight="true" outlineLevel="0" collapsed="false">
      <c r="A102" s="70" t="s">
        <v>228</v>
      </c>
      <c r="B102" s="72" t="n">
        <v>0.8</v>
      </c>
      <c r="C102" s="72" t="n">
        <v>0.85</v>
      </c>
      <c r="D102" s="72" t="n">
        <v>0.9</v>
      </c>
      <c r="E102" s="72" t="n">
        <v>0.9</v>
      </c>
      <c r="F102" s="72" t="n">
        <v>0.9</v>
      </c>
    </row>
    <row r="103" customFormat="false" ht="43.5" hidden="false" customHeight="true" outlineLevel="0" collapsed="false">
      <c r="A103" s="61" t="s">
        <v>229</v>
      </c>
      <c r="B103" s="61"/>
      <c r="C103" s="61"/>
      <c r="D103" s="61"/>
      <c r="E103" s="61"/>
      <c r="F103" s="61"/>
    </row>
    <row r="104" customFormat="false" ht="39.75" hidden="false" customHeight="true" outlineLevel="0" collapsed="false">
      <c r="A104" s="73" t="s">
        <v>230</v>
      </c>
      <c r="B104" s="73"/>
      <c r="C104" s="73"/>
      <c r="D104" s="73"/>
      <c r="E104" s="73"/>
      <c r="F104" s="73"/>
    </row>
    <row r="105" customFormat="false" ht="30" hidden="false" customHeight="true" outlineLevel="0" collapsed="false">
      <c r="A105" s="74" t="s">
        <v>231</v>
      </c>
      <c r="B105" s="74"/>
      <c r="C105" s="74"/>
      <c r="D105" s="74"/>
      <c r="E105" s="74"/>
      <c r="F105" s="74"/>
    </row>
    <row r="106" customFormat="false" ht="27.75" hidden="false" customHeight="true" outlineLevel="0" collapsed="false">
      <c r="A106" s="75" t="s">
        <v>232</v>
      </c>
      <c r="B106" s="76" t="n">
        <v>0</v>
      </c>
      <c r="C106" s="76" t="n">
        <v>0</v>
      </c>
      <c r="D106" s="76" t="n">
        <v>0</v>
      </c>
      <c r="E106" s="76" t="n">
        <v>0</v>
      </c>
      <c r="F106" s="76" t="n">
        <v>0</v>
      </c>
    </row>
    <row r="107" customFormat="false" ht="27.75" hidden="false" customHeight="true" outlineLevel="0" collapsed="false">
      <c r="A107" s="75" t="s">
        <v>233</v>
      </c>
      <c r="B107" s="76" t="n">
        <v>1</v>
      </c>
      <c r="C107" s="76" t="n">
        <v>1</v>
      </c>
      <c r="D107" s="76" t="n">
        <v>1</v>
      </c>
      <c r="E107" s="76" t="n">
        <v>1</v>
      </c>
      <c r="F107" s="76" t="n">
        <v>1</v>
      </c>
    </row>
    <row r="108" customFormat="false" ht="27.75" hidden="false" customHeight="true" outlineLevel="0" collapsed="false">
      <c r="A108" s="75" t="s">
        <v>234</v>
      </c>
      <c r="B108" s="76" t="n">
        <v>0</v>
      </c>
      <c r="C108" s="76" t="n">
        <v>0</v>
      </c>
      <c r="D108" s="76" t="n">
        <v>0</v>
      </c>
      <c r="E108" s="76" t="n">
        <v>0</v>
      </c>
      <c r="F108" s="76" t="n">
        <v>0</v>
      </c>
    </row>
    <row r="110" customFormat="false" ht="15" hidden="false" customHeight="true" outlineLevel="0" collapsed="false">
      <c r="A110" s="77" t="s">
        <v>235</v>
      </c>
    </row>
    <row r="111" customFormat="false" ht="45.75" hidden="false" customHeight="true" outlineLevel="0" collapsed="false">
      <c r="A111" s="28" t="s">
        <v>236</v>
      </c>
      <c r="B111" s="78" t="s">
        <v>237</v>
      </c>
      <c r="C111" s="28" t="s">
        <v>238</v>
      </c>
    </row>
    <row r="112" customFormat="false" ht="23.25" hidden="false" customHeight="true" outlineLevel="0" collapsed="false">
      <c r="A112" s="30" t="s">
        <v>239</v>
      </c>
      <c r="B112" s="79"/>
      <c r="C112" s="30" t="s">
        <v>240</v>
      </c>
    </row>
    <row r="113" customFormat="false" ht="292.5" hidden="false" customHeight="true" outlineLevel="0" collapsed="false">
      <c r="A113" s="30" t="s">
        <v>241</v>
      </c>
      <c r="B113" s="80" t="s">
        <v>242</v>
      </c>
    </row>
    <row r="115" customFormat="false" ht="15" hidden="false" customHeight="true" outlineLevel="0" collapsed="false">
      <c r="A115" s="77" t="s">
        <v>243</v>
      </c>
    </row>
    <row r="116" customFormat="false" ht="15" hidden="false" customHeight="true" outlineLevel="0" collapsed="false">
      <c r="A116" s="28" t="s">
        <v>244</v>
      </c>
      <c r="B116" s="78" t="n">
        <v>0</v>
      </c>
      <c r="C116" s="28" t="n">
        <v>0</v>
      </c>
      <c r="D116" s="19" t="n">
        <v>0</v>
      </c>
      <c r="E116" s="19" t="n">
        <v>0</v>
      </c>
      <c r="F116" s="19" t="n">
        <v>0</v>
      </c>
    </row>
    <row r="117" customFormat="false" ht="15" hidden="false" customHeight="true" outlineLevel="0" collapsed="false">
      <c r="A117" s="28" t="s">
        <v>245</v>
      </c>
      <c r="B117" s="78" t="n">
        <v>0</v>
      </c>
      <c r="C117" s="28" t="n">
        <v>0</v>
      </c>
      <c r="D117" s="19" t="n">
        <v>0</v>
      </c>
      <c r="E117" s="19" t="n">
        <v>0</v>
      </c>
      <c r="F117" s="19" t="n">
        <v>0</v>
      </c>
    </row>
    <row r="118" customFormat="false" ht="15" hidden="false" customHeight="true" outlineLevel="0" collapsed="false">
      <c r="A118" s="28" t="s">
        <v>246</v>
      </c>
      <c r="B118" s="78" t="n">
        <v>0</v>
      </c>
      <c r="C118" s="28" t="n">
        <v>0</v>
      </c>
      <c r="D118" s="19" t="n">
        <v>0</v>
      </c>
      <c r="E118" s="19" t="n">
        <v>0</v>
      </c>
      <c r="F118" s="19" t="n">
        <v>0</v>
      </c>
    </row>
    <row r="119" customFormat="false" ht="15" hidden="false" customHeight="true" outlineLevel="0" collapsed="false">
      <c r="A119" s="28" t="s">
        <v>247</v>
      </c>
      <c r="B119" s="78" t="n">
        <v>0</v>
      </c>
      <c r="C119" s="28" t="n">
        <v>0</v>
      </c>
      <c r="D119" s="19" t="n">
        <v>0</v>
      </c>
      <c r="E119" s="19" t="n">
        <v>0</v>
      </c>
      <c r="F119" s="19" t="n">
        <v>0</v>
      </c>
    </row>
    <row r="120" customFormat="false" ht="23.25" hidden="false" customHeight="true" outlineLevel="0" collapsed="false">
      <c r="A120" s="28" t="s">
        <v>248</v>
      </c>
      <c r="B120" s="78" t="n">
        <v>0</v>
      </c>
      <c r="C120" s="28" t="n">
        <v>0</v>
      </c>
      <c r="D120" s="19" t="n">
        <v>0</v>
      </c>
      <c r="E120" s="19" t="n">
        <v>0</v>
      </c>
      <c r="F120" s="19" t="n">
        <v>0</v>
      </c>
    </row>
    <row r="121" customFormat="false" ht="15" hidden="false" customHeight="true" outlineLevel="0" collapsed="false">
      <c r="A121" s="1" t="s">
        <v>249</v>
      </c>
      <c r="B121" s="67" t="n">
        <f aca="false">SUM(B116:B120)</f>
        <v>0</v>
      </c>
      <c r="C121" s="67" t="n">
        <f aca="false">SUM(C116:C120)</f>
        <v>0</v>
      </c>
      <c r="D121" s="67" t="n">
        <f aca="false">SUM(D116:D120)</f>
        <v>0</v>
      </c>
      <c r="E121" s="67" t="n">
        <f aca="false">SUM(E116:E120)</f>
        <v>0</v>
      </c>
      <c r="F121" s="67" t="n">
        <f aca="false">SUM(F116:F120)</f>
        <v>0</v>
      </c>
    </row>
    <row r="122" customFormat="false" ht="15" hidden="false" customHeight="true" outlineLevel="0" collapsed="false">
      <c r="A122" s="28" t="s">
        <v>250</v>
      </c>
      <c r="B122" s="78" t="n">
        <v>0</v>
      </c>
      <c r="C122" s="28" t="n">
        <v>0</v>
      </c>
      <c r="D122" s="19" t="n">
        <v>0</v>
      </c>
      <c r="E122" s="19" t="n">
        <v>0</v>
      </c>
      <c r="F122" s="19" t="n">
        <v>0</v>
      </c>
    </row>
    <row r="123" customFormat="false" ht="23.25" hidden="false" customHeight="true" outlineLevel="0" collapsed="false">
      <c r="A123" s="28" t="s">
        <v>251</v>
      </c>
      <c r="B123" s="78" t="n">
        <v>0</v>
      </c>
      <c r="C123" s="28" t="n">
        <v>0</v>
      </c>
      <c r="D123" s="19" t="n">
        <v>0</v>
      </c>
      <c r="E123" s="19" t="n">
        <v>0</v>
      </c>
      <c r="F123" s="19" t="n">
        <v>0</v>
      </c>
    </row>
    <row r="124" customFormat="false" ht="15" hidden="false" customHeight="true" outlineLevel="0" collapsed="false">
      <c r="A124" s="1" t="s">
        <v>252</v>
      </c>
      <c r="B124" s="67" t="n">
        <f aca="false">B122+B123</f>
        <v>0</v>
      </c>
      <c r="C124" s="67" t="n">
        <f aca="false">C122+C123</f>
        <v>0</v>
      </c>
      <c r="D124" s="67" t="n">
        <f aca="false">D122+D123</f>
        <v>0</v>
      </c>
      <c r="E124" s="67" t="n">
        <f aca="false">E122+E123</f>
        <v>0</v>
      </c>
      <c r="F124" s="67" t="n">
        <f aca="false">F122+F123</f>
        <v>0</v>
      </c>
    </row>
    <row r="125" customFormat="false" ht="113.25" hidden="false" customHeight="true" outlineLevel="0" collapsed="false">
      <c r="A125" s="30" t="s">
        <v>253</v>
      </c>
      <c r="B125" s="80"/>
    </row>
  </sheetData>
  <mergeCells count="13">
    <mergeCell ref="A1:F1"/>
    <mergeCell ref="A15:F15"/>
    <mergeCell ref="A50:F50"/>
    <mergeCell ref="A68:F68"/>
    <mergeCell ref="B69:F69"/>
    <mergeCell ref="B70:F70"/>
    <mergeCell ref="B71:F71"/>
    <mergeCell ref="B72:F72"/>
    <mergeCell ref="B73:F73"/>
    <mergeCell ref="A75:F75"/>
    <mergeCell ref="A103:F103"/>
    <mergeCell ref="A104:F104"/>
    <mergeCell ref="A105:F105"/>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1"/>
    <col collapsed="false" customWidth="true" hidden="false" outlineLevel="0" max="2" min="2" style="1" width="46"/>
    <col collapsed="false" customWidth="true" hidden="false" outlineLevel="0" max="3" min="3" style="1" width="24.29"/>
    <col collapsed="false" customWidth="true" hidden="false" outlineLevel="0" max="7" min="4" style="1" width="16"/>
    <col collapsed="false" customWidth="true" hidden="false" outlineLevel="0" max="26" min="8" style="1" width="14"/>
  </cols>
  <sheetData>
    <row r="1" customFormat="false" ht="30.75" hidden="false" customHeight="true" outlineLevel="0" collapsed="false">
      <c r="A1" s="11" t="s">
        <v>254</v>
      </c>
      <c r="B1" s="11"/>
      <c r="C1" s="11"/>
      <c r="D1" s="11"/>
      <c r="E1" s="11"/>
      <c r="F1" s="11"/>
      <c r="G1" s="11"/>
    </row>
    <row r="3" customFormat="false" ht="15" hidden="false" customHeight="true" outlineLevel="0" collapsed="false">
      <c r="A3" s="81" t="s">
        <v>255</v>
      </c>
      <c r="B3" s="81" t="s">
        <v>256</v>
      </c>
      <c r="C3" s="81" t="s">
        <v>257</v>
      </c>
      <c r="D3" s="82" t="s">
        <v>258</v>
      </c>
      <c r="E3" s="82" t="s">
        <v>259</v>
      </c>
      <c r="F3" s="82" t="s">
        <v>260</v>
      </c>
      <c r="G3" s="82" t="s">
        <v>261</v>
      </c>
    </row>
    <row r="4" customFormat="false" ht="15" hidden="false" customHeight="true" outlineLevel="0" collapsed="false">
      <c r="A4" s="83" t="n">
        <v>46296</v>
      </c>
      <c r="B4" s="84" t="s">
        <v>262</v>
      </c>
      <c r="C4" s="85" t="n">
        <v>15000000</v>
      </c>
      <c r="D4" s="85" t="n">
        <v>3750000</v>
      </c>
      <c r="E4" s="85" t="n">
        <v>3750000</v>
      </c>
      <c r="F4" s="85" t="n">
        <v>3750000</v>
      </c>
      <c r="G4" s="85" t="n">
        <v>3750000</v>
      </c>
    </row>
    <row r="5" customFormat="false" ht="15" hidden="false" customHeight="true" outlineLevel="0" collapsed="false">
      <c r="A5" s="86" t="n">
        <v>46478</v>
      </c>
      <c r="B5" s="84" t="s">
        <v>263</v>
      </c>
      <c r="C5" s="85" t="n">
        <v>3750000</v>
      </c>
      <c r="D5" s="85" t="n">
        <v>937500</v>
      </c>
      <c r="E5" s="85" t="n">
        <v>937500</v>
      </c>
      <c r="F5" s="85" t="n">
        <v>937500</v>
      </c>
      <c r="G5" s="85" t="n">
        <v>937500</v>
      </c>
    </row>
    <row r="6" customFormat="false" ht="15" hidden="false" customHeight="true" outlineLevel="0" collapsed="false">
      <c r="A6" s="87" t="n">
        <v>46569</v>
      </c>
      <c r="B6" s="84" t="s">
        <v>263</v>
      </c>
      <c r="C6" s="85" t="n">
        <v>3750000</v>
      </c>
      <c r="D6" s="85" t="n">
        <v>937500</v>
      </c>
      <c r="E6" s="85" t="n">
        <v>937500</v>
      </c>
      <c r="F6" s="85" t="n">
        <v>937500</v>
      </c>
      <c r="G6" s="85" t="n">
        <v>937500</v>
      </c>
    </row>
    <row r="7" customFormat="false" ht="15" hidden="false" customHeight="true" outlineLevel="0" collapsed="false">
      <c r="A7" s="88" t="n">
        <v>46661</v>
      </c>
      <c r="B7" s="84" t="s">
        <v>263</v>
      </c>
      <c r="C7" s="85" t="n">
        <v>3750000</v>
      </c>
      <c r="D7" s="85" t="n">
        <v>937500</v>
      </c>
      <c r="E7" s="85" t="n">
        <v>937500</v>
      </c>
      <c r="F7" s="85" t="n">
        <v>937500</v>
      </c>
      <c r="G7" s="85" t="n">
        <v>937500</v>
      </c>
    </row>
    <row r="8" customFormat="false" ht="15" hidden="false" customHeight="true" outlineLevel="0" collapsed="false">
      <c r="A8" s="89" t="n">
        <v>46752</v>
      </c>
      <c r="B8" s="84" t="s">
        <v>264</v>
      </c>
      <c r="C8" s="85" t="n">
        <v>3750000</v>
      </c>
      <c r="D8" s="85" t="n">
        <v>937500</v>
      </c>
      <c r="E8" s="85" t="n">
        <v>937500</v>
      </c>
      <c r="F8" s="85" t="n">
        <v>937500</v>
      </c>
      <c r="G8" s="85" t="n">
        <v>937500</v>
      </c>
    </row>
    <row r="9" customFormat="false" ht="15" hidden="false" customHeight="true" outlineLevel="0" collapsed="false">
      <c r="A9" s="90" t="n">
        <v>46783</v>
      </c>
      <c r="B9" s="84" t="s">
        <v>265</v>
      </c>
      <c r="C9" s="85" t="n">
        <v>15000000</v>
      </c>
      <c r="D9" s="85" t="n">
        <v>3750000</v>
      </c>
      <c r="E9" s="85" t="n">
        <v>3750000</v>
      </c>
      <c r="F9" s="85" t="n">
        <v>3750000</v>
      </c>
      <c r="G9" s="85" t="n">
        <v>3750000</v>
      </c>
    </row>
    <row r="10" customFormat="false" ht="15" hidden="false" customHeight="true" outlineLevel="0" collapsed="false">
      <c r="A10" s="91" t="n">
        <v>46904</v>
      </c>
      <c r="B10" s="84" t="s">
        <v>265</v>
      </c>
      <c r="C10" s="85" t="n">
        <v>15000000</v>
      </c>
      <c r="D10" s="85" t="n">
        <v>3750000</v>
      </c>
      <c r="E10" s="85" t="n">
        <v>3750000</v>
      </c>
      <c r="F10" s="85" t="n">
        <v>3750000</v>
      </c>
      <c r="G10" s="85" t="n">
        <v>3750000</v>
      </c>
    </row>
    <row r="11" customFormat="false" ht="15" hidden="false" customHeight="true" outlineLevel="0" collapsed="false">
      <c r="A11" s="92" t="n">
        <v>47026</v>
      </c>
      <c r="B11" s="84" t="s">
        <v>266</v>
      </c>
      <c r="C11" s="85" t="n">
        <v>15000000</v>
      </c>
      <c r="D11" s="85" t="n">
        <v>3750000</v>
      </c>
      <c r="E11" s="85" t="n">
        <v>3750000</v>
      </c>
      <c r="F11" s="85" t="n">
        <v>3750000</v>
      </c>
      <c r="G11" s="85" t="n">
        <v>3750000</v>
      </c>
    </row>
    <row r="13" customFormat="false" ht="15" hidden="false" customHeight="true" outlineLevel="0" collapsed="false">
      <c r="A13" s="93" t="s">
        <v>267</v>
      </c>
      <c r="B13" s="93"/>
      <c r="C13" s="93"/>
      <c r="D13" s="93"/>
      <c r="E13" s="93"/>
      <c r="F13" s="93"/>
      <c r="G13" s="93"/>
    </row>
    <row r="14" customFormat="false" ht="15" hidden="false" customHeight="true" outlineLevel="0" collapsed="false">
      <c r="A14" s="84" t="s">
        <v>268</v>
      </c>
      <c r="B14" s="85" t="n">
        <v>75000000</v>
      </c>
    </row>
    <row r="15" customFormat="false" ht="15" hidden="false" customHeight="true" outlineLevel="0" collapsed="false">
      <c r="A15" s="84" t="s">
        <v>109</v>
      </c>
      <c r="B15" s="85" t="n">
        <v>15000000</v>
      </c>
    </row>
    <row r="16" customFormat="false" ht="15" hidden="false" customHeight="true" outlineLevel="0" collapsed="false">
      <c r="A16" s="84" t="s">
        <v>269</v>
      </c>
      <c r="B16" s="85" t="n">
        <v>75000000</v>
      </c>
    </row>
    <row r="17" customFormat="false" ht="15" hidden="false" customHeight="true" outlineLevel="0" collapsed="false">
      <c r="A17" s="84" t="s">
        <v>270</v>
      </c>
      <c r="B17" s="85" t="n">
        <v>1</v>
      </c>
    </row>
    <row r="18" customFormat="false" ht="15" hidden="false" customHeight="true" outlineLevel="0" collapsed="false">
      <c r="A18" s="84" t="s">
        <v>271</v>
      </c>
      <c r="B18" s="85" t="n">
        <v>75000000</v>
      </c>
    </row>
    <row r="19" customFormat="false" ht="15" hidden="false" customHeight="true" outlineLevel="0" collapsed="false">
      <c r="A19" s="84" t="s">
        <v>272</v>
      </c>
      <c r="B19" s="85" t="n">
        <f aca="false">B14/B17</f>
        <v>75000000</v>
      </c>
    </row>
    <row r="20" customFormat="false" ht="15" hidden="false" customHeight="true" outlineLevel="0" collapsed="false">
      <c r="A20" s="93" t="s">
        <v>273</v>
      </c>
      <c r="B20" s="93"/>
      <c r="C20" s="93"/>
      <c r="D20" s="93"/>
      <c r="E20" s="93"/>
      <c r="F20" s="93"/>
      <c r="G20" s="93"/>
    </row>
    <row r="21" customFormat="false" ht="52.5" hidden="false" customHeight="true" outlineLevel="0" collapsed="false">
      <c r="A21" s="94" t="s">
        <v>274</v>
      </c>
      <c r="B21" s="94" t="s">
        <v>275</v>
      </c>
      <c r="C21" s="94" t="s">
        <v>276</v>
      </c>
      <c r="D21" s="94" t="s">
        <v>277</v>
      </c>
      <c r="E21" s="94" t="s">
        <v>278</v>
      </c>
      <c r="F21" s="94" t="s">
        <v>279</v>
      </c>
      <c r="G21" s="94" t="s">
        <v>280</v>
      </c>
    </row>
    <row r="22" customFormat="false" ht="15" hidden="false" customHeight="true" outlineLevel="0" collapsed="false">
      <c r="A22" s="95" t="s">
        <v>258</v>
      </c>
      <c r="B22" s="96" t="n">
        <v>0.25</v>
      </c>
      <c r="C22" s="85" t="n">
        <v>18750000</v>
      </c>
      <c r="D22" s="85" t="n">
        <v>64519.07</v>
      </c>
      <c r="E22" s="85" t="n">
        <v>18814519.07</v>
      </c>
      <c r="F22" s="85" t="n">
        <v>20000000</v>
      </c>
      <c r="G22" s="85" t="n">
        <v>1185480.93</v>
      </c>
    </row>
    <row r="23" customFormat="false" ht="15" hidden="false" customHeight="true" outlineLevel="0" collapsed="false">
      <c r="A23" s="95" t="s">
        <v>259</v>
      </c>
      <c r="B23" s="96" t="n">
        <v>0.25</v>
      </c>
      <c r="C23" s="85" t="n">
        <v>18750000</v>
      </c>
      <c r="D23" s="85" t="n">
        <v>64519.07</v>
      </c>
      <c r="E23" s="85" t="n">
        <v>18814519.07</v>
      </c>
      <c r="F23" s="85" t="n">
        <v>20000000</v>
      </c>
      <c r="G23" s="85" t="n">
        <v>1185480.93</v>
      </c>
    </row>
    <row r="24" customFormat="false" ht="15" hidden="false" customHeight="true" outlineLevel="0" collapsed="false">
      <c r="A24" s="95" t="s">
        <v>260</v>
      </c>
      <c r="B24" s="96" t="n">
        <v>0.25</v>
      </c>
      <c r="C24" s="85" t="n">
        <v>18750000</v>
      </c>
      <c r="D24" s="85" t="n">
        <v>64519.07</v>
      </c>
      <c r="E24" s="85" t="n">
        <v>18814519.07</v>
      </c>
      <c r="F24" s="85" t="n">
        <v>20000000</v>
      </c>
      <c r="G24" s="85" t="n">
        <v>1185480.93</v>
      </c>
    </row>
    <row r="25" customFormat="false" ht="15" hidden="false" customHeight="true" outlineLevel="0" collapsed="false">
      <c r="A25" s="95" t="s">
        <v>261</v>
      </c>
      <c r="B25" s="96" t="n">
        <v>0.25</v>
      </c>
      <c r="C25" s="85" t="n">
        <v>18750000</v>
      </c>
      <c r="D25" s="85" t="n">
        <v>64519.07</v>
      </c>
      <c r="E25" s="85" t="n">
        <v>18814519.07</v>
      </c>
      <c r="F25" s="85" t="n">
        <v>20000000</v>
      </c>
      <c r="G25" s="85" t="n">
        <v>1185480.93</v>
      </c>
    </row>
    <row r="27" customFormat="false" ht="43.5" hidden="false" customHeight="true" outlineLevel="0" collapsed="false">
      <c r="A27" s="97" t="s">
        <v>281</v>
      </c>
      <c r="B27" s="97"/>
      <c r="C27" s="97"/>
      <c r="D27" s="97"/>
      <c r="E27" s="97"/>
      <c r="F27" s="97"/>
      <c r="G27" s="97"/>
    </row>
  </sheetData>
  <mergeCells count="4">
    <mergeCell ref="A1:G1"/>
    <mergeCell ref="A13:G13"/>
    <mergeCell ref="A20:G20"/>
    <mergeCell ref="A27:G27"/>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28"/>
    <col collapsed="false" customWidth="true" hidden="false" outlineLevel="0" max="26" min="2" style="1" width="14"/>
  </cols>
  <sheetData>
    <row r="1" customFormat="false" ht="30" hidden="false" customHeight="true" outlineLevel="0" collapsed="false">
      <c r="A1" s="98" t="s">
        <v>282</v>
      </c>
      <c r="B1" s="98"/>
      <c r="C1" s="98"/>
      <c r="D1" s="98"/>
      <c r="E1" s="98"/>
      <c r="F1" s="98"/>
      <c r="G1" s="98"/>
      <c r="H1" s="98"/>
      <c r="I1" s="98"/>
      <c r="J1" s="98"/>
    </row>
    <row r="3" customFormat="false" ht="23.25" hidden="false" customHeight="true" outlineLevel="0" collapsed="false">
      <c r="A3" s="99" t="s">
        <v>283</v>
      </c>
      <c r="B3" s="100" t="s">
        <v>284</v>
      </c>
      <c r="C3" s="100" t="s">
        <v>285</v>
      </c>
      <c r="D3" s="100" t="s">
        <v>286</v>
      </c>
      <c r="E3" s="100" t="s">
        <v>287</v>
      </c>
      <c r="F3" s="100" t="s">
        <v>288</v>
      </c>
      <c r="G3" s="100" t="s">
        <v>289</v>
      </c>
      <c r="H3" s="100" t="s">
        <v>290</v>
      </c>
      <c r="I3" s="100" t="s">
        <v>291</v>
      </c>
      <c r="J3" s="101" t="s">
        <v>292</v>
      </c>
    </row>
    <row r="4" customFormat="false" ht="15" hidden="false" customHeight="true" outlineLevel="0" collapsed="false">
      <c r="A4" s="102" t="s">
        <v>293</v>
      </c>
      <c r="B4" s="103" t="n">
        <v>0.25</v>
      </c>
      <c r="C4" s="104" t="n">
        <v>250000</v>
      </c>
      <c r="D4" s="104" t="n">
        <v>50000</v>
      </c>
      <c r="E4" s="104" t="n">
        <v>500000</v>
      </c>
      <c r="F4" s="103" t="n">
        <v>0.1</v>
      </c>
      <c r="G4" s="103" t="n">
        <v>0.2</v>
      </c>
      <c r="H4" s="102" t="n">
        <v>12</v>
      </c>
      <c r="I4" s="102" t="n">
        <v>60</v>
      </c>
      <c r="J4" s="102" t="s">
        <v>294</v>
      </c>
    </row>
    <row r="5" customFormat="false" ht="15" hidden="false" customHeight="true" outlineLevel="0" collapsed="false">
      <c r="A5" s="102" t="s">
        <v>295</v>
      </c>
      <c r="B5" s="103" t="n">
        <v>0.2</v>
      </c>
      <c r="C5" s="104" t="n">
        <v>300000</v>
      </c>
      <c r="D5" s="104" t="n">
        <v>50000</v>
      </c>
      <c r="E5" s="104" t="n">
        <v>500000</v>
      </c>
      <c r="F5" s="103" t="n">
        <v>0.1</v>
      </c>
      <c r="G5" s="103" t="n">
        <v>0.2</v>
      </c>
      <c r="H5" s="102" t="n">
        <v>6</v>
      </c>
      <c r="I5" s="102" t="n">
        <v>48</v>
      </c>
      <c r="J5" s="102" t="s">
        <v>296</v>
      </c>
    </row>
    <row r="6" customFormat="false" ht="15" hidden="false" customHeight="true" outlineLevel="0" collapsed="false">
      <c r="A6" s="102" t="s">
        <v>297</v>
      </c>
      <c r="B6" s="103" t="n">
        <v>0.2</v>
      </c>
      <c r="C6" s="104" t="n">
        <v>150000</v>
      </c>
      <c r="D6" s="104" t="n">
        <v>50000</v>
      </c>
      <c r="E6" s="104" t="n">
        <v>500000</v>
      </c>
      <c r="F6" s="103" t="n">
        <v>0.1</v>
      </c>
      <c r="G6" s="103" t="n">
        <v>0.2</v>
      </c>
      <c r="H6" s="102" t="n">
        <v>12</v>
      </c>
      <c r="I6" s="102" t="n">
        <v>60</v>
      </c>
      <c r="J6" s="102" t="s">
        <v>298</v>
      </c>
    </row>
    <row r="7" customFormat="false" ht="15" hidden="false" customHeight="true" outlineLevel="0" collapsed="false">
      <c r="A7" s="102" t="s">
        <v>299</v>
      </c>
      <c r="B7" s="103" t="n">
        <v>0.25</v>
      </c>
      <c r="C7" s="104" t="n">
        <v>500000</v>
      </c>
      <c r="D7" s="104" t="n">
        <v>100000</v>
      </c>
      <c r="E7" s="104" t="n">
        <v>1000000</v>
      </c>
      <c r="F7" s="103" t="n">
        <v>0.1</v>
      </c>
      <c r="G7" s="103" t="n">
        <v>0.2</v>
      </c>
      <c r="H7" s="102" t="n">
        <v>12</v>
      </c>
      <c r="I7" s="102" t="n">
        <v>60</v>
      </c>
      <c r="J7" s="102" t="s">
        <v>300</v>
      </c>
    </row>
    <row r="8" customFormat="false" ht="15" hidden="false" customHeight="true" outlineLevel="0" collapsed="false">
      <c r="A8" s="102" t="s">
        <v>301</v>
      </c>
      <c r="B8" s="103" t="n">
        <v>0.1</v>
      </c>
      <c r="C8" s="104" t="n">
        <v>275000</v>
      </c>
      <c r="D8" s="104" t="n">
        <v>50000</v>
      </c>
      <c r="E8" s="104" t="n">
        <v>500000</v>
      </c>
      <c r="F8" s="103" t="n">
        <v>0.1</v>
      </c>
      <c r="G8" s="103" t="n">
        <v>0.2</v>
      </c>
      <c r="H8" s="102" t="n">
        <v>6</v>
      </c>
      <c r="I8" s="102" t="n">
        <v>48</v>
      </c>
      <c r="J8" s="102" t="s">
        <v>302</v>
      </c>
    </row>
    <row r="10" customFormat="false" ht="15" hidden="false" customHeight="true" outlineLevel="0" collapsed="false">
      <c r="A10" s="99" t="s">
        <v>303</v>
      </c>
      <c r="B10" s="100" t="s">
        <v>304</v>
      </c>
      <c r="C10" s="101" t="s">
        <v>305</v>
      </c>
    </row>
    <row r="11" customFormat="false" ht="15" hidden="false" customHeight="true" outlineLevel="0" collapsed="false">
      <c r="A11" s="105" t="s">
        <v>306</v>
      </c>
      <c r="B11" s="106" t="n">
        <f aca="false">SUM(B4:B8)</f>
        <v>1</v>
      </c>
      <c r="C11" s="107" t="str">
        <f aca="false">IF(ABS(B11-100%)&lt;0.0001,"OK","راجع المزيج")</f>
        <v>OK</v>
      </c>
    </row>
    <row r="12" customFormat="false" ht="15" hidden="false" customHeight="true" outlineLevel="0" collapsed="false">
      <c r="A12" s="105" t="s">
        <v>307</v>
      </c>
      <c r="B12" s="108" t="n">
        <f aca="false">SUMPRODUCT(B4:B8,C4:C8)</f>
        <v>305000</v>
      </c>
      <c r="C12" s="109" t="s">
        <v>308</v>
      </c>
    </row>
    <row r="14" customFormat="false" ht="14.25" hidden="false" customHeight="true" outlineLevel="0" collapsed="false">
      <c r="A14" s="110" t="s">
        <v>309</v>
      </c>
      <c r="B14" s="111" t="s">
        <v>310</v>
      </c>
      <c r="C14" s="111"/>
      <c r="D14" s="111"/>
      <c r="E14" s="111"/>
      <c r="F14" s="111"/>
      <c r="G14" s="111"/>
      <c r="H14" s="111"/>
      <c r="I14" s="111"/>
      <c r="J14" s="111"/>
    </row>
    <row r="15" customFormat="false" ht="14.25" hidden="false" customHeight="true" outlineLevel="0" collapsed="false">
      <c r="A15" s="110" t="s">
        <v>311</v>
      </c>
      <c r="B15" s="111" t="s">
        <v>312</v>
      </c>
      <c r="C15" s="111"/>
      <c r="D15" s="111"/>
      <c r="E15" s="111"/>
      <c r="F15" s="111"/>
      <c r="G15" s="111"/>
      <c r="H15" s="111"/>
      <c r="I15" s="111"/>
      <c r="J15" s="111"/>
    </row>
    <row r="16" customFormat="false" ht="14.25" hidden="false" customHeight="true" outlineLevel="0" collapsed="false">
      <c r="A16" s="110" t="s">
        <v>313</v>
      </c>
      <c r="B16" s="111" t="s">
        <v>314</v>
      </c>
      <c r="C16" s="111"/>
      <c r="D16" s="111"/>
      <c r="E16" s="111"/>
      <c r="F16" s="111"/>
      <c r="G16" s="111"/>
      <c r="H16" s="111"/>
      <c r="I16" s="111"/>
      <c r="J16" s="111"/>
    </row>
    <row r="17" customFormat="false" ht="14.25" hidden="false" customHeight="true" outlineLevel="0" collapsed="false">
      <c r="A17" s="110" t="s">
        <v>315</v>
      </c>
      <c r="B17" s="111" t="s">
        <v>316</v>
      </c>
      <c r="C17" s="111"/>
      <c r="D17" s="111"/>
      <c r="E17" s="111"/>
      <c r="F17" s="111"/>
      <c r="G17" s="111"/>
      <c r="H17" s="111"/>
      <c r="I17" s="111"/>
      <c r="J17" s="111"/>
    </row>
  </sheetData>
  <mergeCells count="5">
    <mergeCell ref="A1:J1"/>
    <mergeCell ref="B14:J14"/>
    <mergeCell ref="B15:J15"/>
    <mergeCell ref="B16:J16"/>
    <mergeCell ref="B17:J17"/>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2"/>
    <col collapsed="false" customWidth="true" hidden="false" outlineLevel="0" max="7" min="2" style="1" width="14"/>
    <col collapsed="false" customWidth="true" hidden="false" outlineLevel="0" max="12" min="8" style="1" width="15"/>
    <col collapsed="false" customWidth="true" hidden="false" outlineLevel="0" max="13" min="13" style="1" width="48"/>
    <col collapsed="false" customWidth="true" hidden="false" outlineLevel="0" max="26" min="14" style="1" width="14"/>
  </cols>
  <sheetData>
    <row r="1" customFormat="false" ht="30" hidden="false" customHeight="true" outlineLevel="0" collapsed="false">
      <c r="A1" s="112" t="s">
        <v>317</v>
      </c>
      <c r="B1" s="112"/>
      <c r="C1" s="112"/>
      <c r="D1" s="112"/>
      <c r="E1" s="112"/>
      <c r="F1" s="112"/>
      <c r="G1" s="112"/>
      <c r="H1" s="112"/>
      <c r="I1" s="112"/>
      <c r="J1" s="112"/>
      <c r="K1" s="112"/>
      <c r="L1" s="112"/>
      <c r="M1" s="112"/>
    </row>
    <row r="2" customFormat="false" ht="15" hidden="false" customHeight="true" outlineLevel="0" collapsed="false">
      <c r="A2" s="113"/>
      <c r="B2" s="113"/>
      <c r="C2" s="113"/>
      <c r="D2" s="113"/>
      <c r="E2" s="113"/>
      <c r="F2" s="113"/>
      <c r="G2" s="113"/>
      <c r="H2" s="113"/>
      <c r="I2" s="113"/>
      <c r="J2" s="113"/>
      <c r="K2" s="113"/>
      <c r="L2" s="113"/>
      <c r="M2" s="113"/>
    </row>
    <row r="3" customFormat="false" ht="50.25" hidden="false" customHeight="true" outlineLevel="0" collapsed="false">
      <c r="A3" s="99" t="s">
        <v>318</v>
      </c>
      <c r="B3" s="100" t="s">
        <v>319</v>
      </c>
      <c r="C3" s="114" t="s">
        <v>320</v>
      </c>
      <c r="D3" s="114" t="s">
        <v>321</v>
      </c>
      <c r="E3" s="114" t="s">
        <v>322</v>
      </c>
      <c r="F3" s="114" t="s">
        <v>323</v>
      </c>
      <c r="G3" s="114" t="s">
        <v>324</v>
      </c>
      <c r="H3" s="114" t="s">
        <v>325</v>
      </c>
      <c r="I3" s="114" t="s">
        <v>326</v>
      </c>
      <c r="J3" s="114" t="s">
        <v>327</v>
      </c>
      <c r="K3" s="114" t="s">
        <v>328</v>
      </c>
      <c r="L3" s="114" t="s">
        <v>329</v>
      </c>
      <c r="M3" s="101" t="s">
        <v>330</v>
      </c>
    </row>
    <row r="4" customFormat="false" ht="24" hidden="false" customHeight="true" outlineLevel="0" collapsed="false">
      <c r="A4" s="115" t="s">
        <v>331</v>
      </c>
      <c r="B4" s="116" t="n">
        <v>150000</v>
      </c>
      <c r="C4" s="116" t="n">
        <v>1</v>
      </c>
      <c r="D4" s="116" t="n">
        <v>1</v>
      </c>
      <c r="E4" s="116" t="n">
        <v>1</v>
      </c>
      <c r="F4" s="116" t="n">
        <v>1</v>
      </c>
      <c r="G4" s="116" t="n">
        <v>1</v>
      </c>
      <c r="H4" s="117" t="n">
        <f aca="false">ROUND($B4*C4*12*(1+Assumptions!$B$34)^0,2)</f>
        <v>1800000</v>
      </c>
      <c r="I4" s="117" t="n">
        <f aca="false">ROUND($B4*D4*12*(1+Assumptions!$B$34)^1,2)</f>
        <v>2160000</v>
      </c>
      <c r="J4" s="117" t="n">
        <f aca="false">ROUND($B4*E4*12*(1+Assumptions!$B$34)^2,2)</f>
        <v>2592000</v>
      </c>
      <c r="K4" s="117" t="n">
        <f aca="false">ROUND($B4*F4*12*(1+Assumptions!$B$34)^3,2)</f>
        <v>3110400</v>
      </c>
      <c r="L4" s="117" t="n">
        <f aca="false">ROUND($B4*G4*12*(1+Assumptions!$B$34)^4,2)</f>
        <v>3732480</v>
      </c>
      <c r="M4" s="115" t="s">
        <v>332</v>
      </c>
    </row>
    <row r="5" customFormat="false" ht="24" hidden="false" customHeight="true" outlineLevel="0" collapsed="false">
      <c r="A5" s="115" t="s">
        <v>333</v>
      </c>
      <c r="B5" s="116" t="n">
        <v>120000</v>
      </c>
      <c r="C5" s="116" t="n">
        <v>1</v>
      </c>
      <c r="D5" s="116" t="n">
        <v>1</v>
      </c>
      <c r="E5" s="116" t="n">
        <v>1</v>
      </c>
      <c r="F5" s="116" t="n">
        <v>1</v>
      </c>
      <c r="G5" s="116" t="n">
        <v>1</v>
      </c>
      <c r="H5" s="117" t="n">
        <f aca="false">ROUND($B5*C5*12*(1+Assumptions!$B$34)^0,2)</f>
        <v>1440000</v>
      </c>
      <c r="I5" s="117" t="n">
        <f aca="false">ROUND($B5*D5*12*(1+Assumptions!$B$34)^1,2)</f>
        <v>1728000</v>
      </c>
      <c r="J5" s="117" t="n">
        <f aca="false">ROUND($B5*E5*12*(1+Assumptions!$B$34)^2,2)</f>
        <v>2073600</v>
      </c>
      <c r="K5" s="117" t="n">
        <f aca="false">ROUND($B5*F5*12*(1+Assumptions!$B$34)^3,2)</f>
        <v>2488320</v>
      </c>
      <c r="L5" s="117" t="n">
        <f aca="false">ROUND($B5*G5*12*(1+Assumptions!$B$34)^4,2)</f>
        <v>2985984</v>
      </c>
      <c r="M5" s="115" t="s">
        <v>334</v>
      </c>
    </row>
    <row r="6" customFormat="false" ht="24" hidden="false" customHeight="true" outlineLevel="0" collapsed="false">
      <c r="A6" s="115" t="s">
        <v>335</v>
      </c>
      <c r="B6" s="116" t="n">
        <v>65000</v>
      </c>
      <c r="C6" s="116" t="n">
        <v>1</v>
      </c>
      <c r="D6" s="116" t="n">
        <v>1</v>
      </c>
      <c r="E6" s="116" t="n">
        <v>1</v>
      </c>
      <c r="F6" s="116" t="n">
        <v>1</v>
      </c>
      <c r="G6" s="116" t="n">
        <v>1</v>
      </c>
      <c r="H6" s="117" t="n">
        <f aca="false">ROUND($B6*C6*12*(1+Assumptions!$B$34)^0,2)</f>
        <v>780000</v>
      </c>
      <c r="I6" s="117" t="n">
        <f aca="false">ROUND($B6*D6*12*(1+Assumptions!$B$34)^1,2)</f>
        <v>936000</v>
      </c>
      <c r="J6" s="117" t="n">
        <f aca="false">ROUND($B6*E6*12*(1+Assumptions!$B$34)^2,2)</f>
        <v>1123200</v>
      </c>
      <c r="K6" s="117" t="n">
        <f aca="false">ROUND($B6*F6*12*(1+Assumptions!$B$34)^3,2)</f>
        <v>1347840</v>
      </c>
      <c r="L6" s="117" t="n">
        <f aca="false">ROUND($B6*G6*12*(1+Assumptions!$B$34)^4,2)</f>
        <v>1617408</v>
      </c>
      <c r="M6" s="115" t="s">
        <v>336</v>
      </c>
    </row>
    <row r="7" customFormat="false" ht="24" hidden="false" customHeight="true" outlineLevel="0" collapsed="false">
      <c r="A7" s="115" t="s">
        <v>337</v>
      </c>
      <c r="B7" s="116" t="n">
        <v>35000</v>
      </c>
      <c r="C7" s="116" t="n">
        <v>1</v>
      </c>
      <c r="D7" s="116" t="n">
        <v>1</v>
      </c>
      <c r="E7" s="116" t="n">
        <v>1</v>
      </c>
      <c r="F7" s="116" t="n">
        <v>1</v>
      </c>
      <c r="G7" s="116" t="n">
        <v>1</v>
      </c>
      <c r="H7" s="117" t="n">
        <f aca="false">ROUND($B7*C7*12*(1+Assumptions!$B$34)^0,2)</f>
        <v>420000</v>
      </c>
      <c r="I7" s="117" t="n">
        <f aca="false">ROUND($B7*D7*12*(1+Assumptions!$B$34)^1,2)</f>
        <v>504000</v>
      </c>
      <c r="J7" s="117" t="n">
        <f aca="false">ROUND($B7*E7*12*(1+Assumptions!$B$34)^2,2)</f>
        <v>604800</v>
      </c>
      <c r="K7" s="117" t="n">
        <f aca="false">ROUND($B7*F7*12*(1+Assumptions!$B$34)^3,2)</f>
        <v>725760</v>
      </c>
      <c r="L7" s="117" t="n">
        <f aca="false">ROUND($B7*G7*12*(1+Assumptions!$B$34)^4,2)</f>
        <v>870912</v>
      </c>
      <c r="M7" s="115" t="s">
        <v>338</v>
      </c>
    </row>
    <row r="8" customFormat="false" ht="24" hidden="false" customHeight="true" outlineLevel="0" collapsed="false">
      <c r="A8" s="115" t="s">
        <v>339</v>
      </c>
      <c r="B8" s="116" t="n">
        <v>60000</v>
      </c>
      <c r="C8" s="116" t="n">
        <v>1</v>
      </c>
      <c r="D8" s="116" t="n">
        <v>1</v>
      </c>
      <c r="E8" s="116" t="n">
        <v>1</v>
      </c>
      <c r="F8" s="116" t="n">
        <v>1</v>
      </c>
      <c r="G8" s="116" t="n">
        <v>1</v>
      </c>
      <c r="H8" s="117" t="n">
        <f aca="false">ROUND($B8*C8*12*(1+Assumptions!$B$34)^0,2)</f>
        <v>720000</v>
      </c>
      <c r="I8" s="117" t="n">
        <f aca="false">ROUND($B8*D8*12*(1+Assumptions!$B$34)^1,2)</f>
        <v>864000</v>
      </c>
      <c r="J8" s="117" t="n">
        <f aca="false">ROUND($B8*E8*12*(1+Assumptions!$B$34)^2,2)</f>
        <v>1036800</v>
      </c>
      <c r="K8" s="117" t="n">
        <f aca="false">ROUND($B8*F8*12*(1+Assumptions!$B$34)^3,2)</f>
        <v>1244160</v>
      </c>
      <c r="L8" s="117" t="n">
        <f aca="false">ROUND($B8*G8*12*(1+Assumptions!$B$34)^4,2)</f>
        <v>1492992</v>
      </c>
      <c r="M8" s="115" t="s">
        <v>340</v>
      </c>
    </row>
    <row r="9" customFormat="false" ht="24" hidden="false" customHeight="true" outlineLevel="0" collapsed="false">
      <c r="A9" s="115" t="s">
        <v>341</v>
      </c>
      <c r="B9" s="116" t="n">
        <v>36000</v>
      </c>
      <c r="C9" s="116" t="n">
        <v>3</v>
      </c>
      <c r="D9" s="116" t="n">
        <v>3</v>
      </c>
      <c r="E9" s="116" t="n">
        <v>3</v>
      </c>
      <c r="F9" s="116" t="n">
        <v>3</v>
      </c>
      <c r="G9" s="116" t="n">
        <v>3</v>
      </c>
      <c r="H9" s="117" t="n">
        <f aca="false">ROUND($B9*C9*12*(1+Assumptions!$B$34)^0,2)</f>
        <v>1296000</v>
      </c>
      <c r="I9" s="117" t="n">
        <f aca="false">ROUND($B9*D9*12*(1+Assumptions!$B$34)^1,2)</f>
        <v>1555200</v>
      </c>
      <c r="J9" s="117" t="n">
        <f aca="false">ROUND($B9*E9*12*(1+Assumptions!$B$34)^2,2)</f>
        <v>1866240</v>
      </c>
      <c r="K9" s="117" t="n">
        <f aca="false">ROUND($B9*F9*12*(1+Assumptions!$B$34)^3,2)</f>
        <v>2239488</v>
      </c>
      <c r="L9" s="117" t="n">
        <f aca="false">ROUND($B9*G9*12*(1+Assumptions!$B$34)^4,2)</f>
        <v>2687385.6</v>
      </c>
      <c r="M9" s="115" t="s">
        <v>342</v>
      </c>
    </row>
    <row r="10" customFormat="false" ht="24" hidden="false" customHeight="true" outlineLevel="0" collapsed="false">
      <c r="A10" s="115" t="s">
        <v>343</v>
      </c>
      <c r="B10" s="116"/>
      <c r="C10" s="116" t="n">
        <v>0</v>
      </c>
      <c r="D10" s="116" t="n">
        <v>0</v>
      </c>
      <c r="E10" s="116" t="n">
        <v>0</v>
      </c>
      <c r="F10" s="116" t="n">
        <v>0</v>
      </c>
      <c r="G10" s="116" t="n">
        <v>0</v>
      </c>
      <c r="H10" s="117" t="n">
        <f aca="false">MAX(0,H$22-SUM(H$4:H$9,H$11:H$20))</f>
        <v>0</v>
      </c>
      <c r="I10" s="117" t="n">
        <f aca="false">MAX(0,I$22-SUM(I$4:I$9,I$11:I$20))</f>
        <v>2230665.6</v>
      </c>
      <c r="J10" s="117" t="n">
        <f aca="false">MAX(0,J$22-SUM(J$4:J$9,J$11:J$20))</f>
        <v>5829067.72</v>
      </c>
      <c r="K10" s="117" t="n">
        <f aca="false">MAX(0,K$22-SUM(K$4:K$9,K$11:K$20))</f>
        <v>5783328.46</v>
      </c>
      <c r="L10" s="117" t="n">
        <f aca="false">MAX(0,L$22-SUM(L$4:L$9,L$11:L$20))</f>
        <v>6939994.16</v>
      </c>
      <c r="M10" s="115" t="s">
        <v>344</v>
      </c>
    </row>
    <row r="11" customFormat="false" ht="24" hidden="false" customHeight="true" outlineLevel="0" collapsed="false">
      <c r="A11" s="115" t="s">
        <v>345</v>
      </c>
      <c r="B11" s="116" t="n">
        <v>15000</v>
      </c>
      <c r="C11" s="116" t="n">
        <v>1</v>
      </c>
      <c r="D11" s="116" t="n">
        <v>1</v>
      </c>
      <c r="E11" s="116" t="n">
        <v>1</v>
      </c>
      <c r="F11" s="116" t="n">
        <v>1</v>
      </c>
      <c r="G11" s="116" t="n">
        <v>1</v>
      </c>
      <c r="H11" s="117" t="n">
        <f aca="false">ROUND($B11*C11*12*(1+Assumptions!$B$34)^0,2)</f>
        <v>180000</v>
      </c>
      <c r="I11" s="117" t="n">
        <f aca="false">ROUND($B11*D11*12*(1+Assumptions!$B$34)^1,2)</f>
        <v>216000</v>
      </c>
      <c r="J11" s="117" t="n">
        <f aca="false">ROUND($B11*E11*12*(1+Assumptions!$B$34)^2,2)</f>
        <v>259200</v>
      </c>
      <c r="K11" s="117" t="n">
        <f aca="false">ROUND($B11*F11*12*(1+Assumptions!$B$34)^3,2)</f>
        <v>311040</v>
      </c>
      <c r="L11" s="117" t="n">
        <f aca="false">ROUND($B11*G11*12*(1+Assumptions!$B$34)^4,2)</f>
        <v>373248</v>
      </c>
      <c r="M11" s="115" t="s">
        <v>346</v>
      </c>
    </row>
    <row r="12" customFormat="false" ht="24" hidden="false" customHeight="true" outlineLevel="0" collapsed="false">
      <c r="A12" s="115" t="s">
        <v>347</v>
      </c>
      <c r="B12" s="116" t="n">
        <v>15000</v>
      </c>
      <c r="C12" s="116" t="n">
        <v>1</v>
      </c>
      <c r="D12" s="116" t="n">
        <v>1</v>
      </c>
      <c r="E12" s="116" t="n">
        <v>1</v>
      </c>
      <c r="F12" s="116" t="n">
        <v>1</v>
      </c>
      <c r="G12" s="116" t="n">
        <v>1</v>
      </c>
      <c r="H12" s="117" t="n">
        <f aca="false">ROUND($B12*C12*12*(1+Assumptions!$B$34)^0,2)</f>
        <v>180000</v>
      </c>
      <c r="I12" s="117" t="n">
        <f aca="false">ROUND($B12*D12*12*(1+Assumptions!$B$34)^1,2)</f>
        <v>216000</v>
      </c>
      <c r="J12" s="117" t="n">
        <f aca="false">ROUND($B12*E12*12*(1+Assumptions!$B$34)^2,2)</f>
        <v>259200</v>
      </c>
      <c r="K12" s="117" t="n">
        <f aca="false">ROUND($B12*F12*12*(1+Assumptions!$B$34)^3,2)</f>
        <v>311040</v>
      </c>
      <c r="L12" s="117" t="n">
        <f aca="false">ROUND($B12*G12*12*(1+Assumptions!$B$34)^4,2)</f>
        <v>373248</v>
      </c>
      <c r="M12" s="115" t="s">
        <v>348</v>
      </c>
    </row>
    <row r="13" customFormat="false" ht="24" hidden="false" customHeight="true" outlineLevel="0" collapsed="false">
      <c r="A13" s="115" t="s">
        <v>349</v>
      </c>
      <c r="B13" s="116" t="n">
        <v>25000</v>
      </c>
      <c r="C13" s="116" t="n">
        <v>1</v>
      </c>
      <c r="D13" s="116" t="n">
        <v>1</v>
      </c>
      <c r="E13" s="116" t="n">
        <v>1</v>
      </c>
      <c r="F13" s="116" t="n">
        <v>1</v>
      </c>
      <c r="G13" s="116" t="n">
        <v>1</v>
      </c>
      <c r="H13" s="117" t="n">
        <f aca="false">ROUND($B13*C13*12*(1+Assumptions!$B$34)^0,2)</f>
        <v>300000</v>
      </c>
      <c r="I13" s="117" t="n">
        <f aca="false">ROUND($B13*D13*12*(1+Assumptions!$B$34)^1,2)</f>
        <v>360000</v>
      </c>
      <c r="J13" s="117" t="n">
        <f aca="false">ROUND($B13*E13*12*(1+Assumptions!$B$34)^2,2)</f>
        <v>432000</v>
      </c>
      <c r="K13" s="117" t="n">
        <f aca="false">ROUND($B13*F13*12*(1+Assumptions!$B$34)^3,2)</f>
        <v>518400</v>
      </c>
      <c r="L13" s="117" t="n">
        <f aca="false">ROUND($B13*G13*12*(1+Assumptions!$B$34)^4,2)</f>
        <v>622080</v>
      </c>
      <c r="M13" s="115" t="s">
        <v>350</v>
      </c>
    </row>
    <row r="14" customFormat="false" ht="24" hidden="false" customHeight="true" outlineLevel="0" collapsed="false">
      <c r="A14" s="115" t="s">
        <v>351</v>
      </c>
      <c r="B14" s="116" t="n">
        <v>15000</v>
      </c>
      <c r="C14" s="116" t="n">
        <v>1</v>
      </c>
      <c r="D14" s="116" t="n">
        <v>1</v>
      </c>
      <c r="E14" s="116" t="n">
        <v>1</v>
      </c>
      <c r="F14" s="116" t="n">
        <v>1</v>
      </c>
      <c r="G14" s="116" t="n">
        <v>1</v>
      </c>
      <c r="H14" s="117" t="n">
        <f aca="false">ROUND($B14*C14*12*(1+Assumptions!$B$34)^0,2)</f>
        <v>180000</v>
      </c>
      <c r="I14" s="117" t="n">
        <f aca="false">ROUND($B14*D14*12*(1+Assumptions!$B$34)^1,2)</f>
        <v>216000</v>
      </c>
      <c r="J14" s="117" t="n">
        <f aca="false">ROUND($B14*E14*12*(1+Assumptions!$B$34)^2,2)</f>
        <v>259200</v>
      </c>
      <c r="K14" s="117" t="n">
        <f aca="false">ROUND($B14*F14*12*(1+Assumptions!$B$34)^3,2)</f>
        <v>311040</v>
      </c>
      <c r="L14" s="117" t="n">
        <f aca="false">ROUND($B14*G14*12*(1+Assumptions!$B$34)^4,2)</f>
        <v>373248</v>
      </c>
      <c r="M14" s="115" t="s">
        <v>352</v>
      </c>
    </row>
    <row r="15" customFormat="false" ht="24" hidden="false" customHeight="true" outlineLevel="0" collapsed="false">
      <c r="A15" s="115" t="s">
        <v>353</v>
      </c>
      <c r="B15" s="116" t="n">
        <v>15000</v>
      </c>
      <c r="C15" s="116" t="n">
        <v>2</v>
      </c>
      <c r="D15" s="116" t="n">
        <v>2</v>
      </c>
      <c r="E15" s="116" t="n">
        <v>2</v>
      </c>
      <c r="F15" s="116" t="n">
        <v>2</v>
      </c>
      <c r="G15" s="116" t="n">
        <v>2</v>
      </c>
      <c r="H15" s="117" t="n">
        <f aca="false">ROUND($B15*C15*12*(1+Assumptions!$B$34)^0,2)</f>
        <v>360000</v>
      </c>
      <c r="I15" s="117" t="n">
        <f aca="false">ROUND($B15*D15*12*(1+Assumptions!$B$34)^1,2)</f>
        <v>432000</v>
      </c>
      <c r="J15" s="117" t="n">
        <f aca="false">ROUND($B15*E15*12*(1+Assumptions!$B$34)^2,2)</f>
        <v>518400</v>
      </c>
      <c r="K15" s="117" t="n">
        <f aca="false">ROUND($B15*F15*12*(1+Assumptions!$B$34)^3,2)</f>
        <v>622080</v>
      </c>
      <c r="L15" s="117" t="n">
        <f aca="false">ROUND($B15*G15*12*(1+Assumptions!$B$34)^4,2)</f>
        <v>746496</v>
      </c>
      <c r="M15" s="115" t="s">
        <v>354</v>
      </c>
    </row>
    <row r="16" customFormat="false" ht="24" hidden="false" customHeight="true" outlineLevel="0" collapsed="false">
      <c r="A16" s="115" t="s">
        <v>355</v>
      </c>
      <c r="B16" s="116" t="n">
        <v>15000</v>
      </c>
      <c r="C16" s="116" t="n">
        <v>3</v>
      </c>
      <c r="D16" s="116" t="n">
        <v>3</v>
      </c>
      <c r="E16" s="116" t="n">
        <v>3</v>
      </c>
      <c r="F16" s="116" t="n">
        <v>3</v>
      </c>
      <c r="G16" s="116" t="n">
        <v>3</v>
      </c>
      <c r="H16" s="117" t="n">
        <f aca="false">ROUND($B16*C16*12*(1+Assumptions!$B$34)^0,2)</f>
        <v>540000</v>
      </c>
      <c r="I16" s="117" t="n">
        <f aca="false">ROUND($B16*D16*12*(1+Assumptions!$B$34)^1,2)</f>
        <v>648000</v>
      </c>
      <c r="J16" s="117" t="n">
        <f aca="false">ROUND($B16*E16*12*(1+Assumptions!$B$34)^2,2)</f>
        <v>777600</v>
      </c>
      <c r="K16" s="117" t="n">
        <f aca="false">ROUND($B16*F16*12*(1+Assumptions!$B$34)^3,2)</f>
        <v>933120</v>
      </c>
      <c r="L16" s="117" t="n">
        <f aca="false">ROUND($B16*G16*12*(1+Assumptions!$B$34)^4,2)</f>
        <v>1119744</v>
      </c>
      <c r="M16" s="115" t="s">
        <v>356</v>
      </c>
    </row>
    <row r="17" customFormat="false" ht="24" hidden="false" customHeight="true" outlineLevel="0" collapsed="false">
      <c r="A17" s="115" t="s">
        <v>357</v>
      </c>
      <c r="B17" s="116" t="n">
        <v>14000</v>
      </c>
      <c r="C17" s="116" t="n">
        <v>8</v>
      </c>
      <c r="D17" s="116" t="n">
        <v>8</v>
      </c>
      <c r="E17" s="116" t="n">
        <v>8</v>
      </c>
      <c r="F17" s="116" t="n">
        <v>8</v>
      </c>
      <c r="G17" s="116" t="n">
        <v>8</v>
      </c>
      <c r="H17" s="117" t="n">
        <f aca="false">ROUND($B17*C17*12*(1+Assumptions!$B$34)^0,2)</f>
        <v>1344000</v>
      </c>
      <c r="I17" s="117" t="n">
        <f aca="false">ROUND($B17*D17*12*(1+Assumptions!$B$34)^1,2)</f>
        <v>1612800</v>
      </c>
      <c r="J17" s="117" t="n">
        <f aca="false">ROUND($B17*E17*12*(1+Assumptions!$B$34)^2,2)</f>
        <v>1935360</v>
      </c>
      <c r="K17" s="117" t="n">
        <f aca="false">ROUND($B17*F17*12*(1+Assumptions!$B$34)^3,2)</f>
        <v>2322432</v>
      </c>
      <c r="L17" s="117" t="n">
        <f aca="false">ROUND($B17*G17*12*(1+Assumptions!$B$34)^4,2)</f>
        <v>2786918.4</v>
      </c>
      <c r="M17" s="115" t="s">
        <v>358</v>
      </c>
    </row>
    <row r="18" customFormat="false" ht="24" hidden="false" customHeight="true" outlineLevel="0" collapsed="false">
      <c r="A18" s="115" t="s">
        <v>359</v>
      </c>
      <c r="B18" s="116" t="n">
        <v>14676</v>
      </c>
      <c r="C18" s="116" t="n">
        <v>1</v>
      </c>
      <c r="D18" s="116" t="n">
        <v>1</v>
      </c>
      <c r="E18" s="116" t="n">
        <v>1</v>
      </c>
      <c r="F18" s="116" t="n">
        <v>1</v>
      </c>
      <c r="G18" s="116" t="n">
        <v>1</v>
      </c>
      <c r="H18" s="117" t="n">
        <f aca="false">ROUND($B18*C18*12*(1+Assumptions!$B$34)^0,2)</f>
        <v>176112</v>
      </c>
      <c r="I18" s="117" t="n">
        <f aca="false">ROUND($B18*D18*12*(1+Assumptions!$B$34)^1,2)</f>
        <v>211334.4</v>
      </c>
      <c r="J18" s="117" t="n">
        <f aca="false">ROUND($B18*E18*12*(1+Assumptions!$B$34)^2,2)</f>
        <v>253601.28</v>
      </c>
      <c r="K18" s="117" t="n">
        <f aca="false">ROUND($B18*F18*12*(1+Assumptions!$B$34)^3,2)</f>
        <v>304321.54</v>
      </c>
      <c r="L18" s="117" t="n">
        <f aca="false">ROUND($B18*G18*12*(1+Assumptions!$B$34)^4,2)</f>
        <v>365185.84</v>
      </c>
      <c r="M18" s="115" t="s">
        <v>360</v>
      </c>
    </row>
    <row r="19" customFormat="false" ht="24" hidden="false" customHeight="true" outlineLevel="0" collapsed="false">
      <c r="A19" s="115" t="s">
        <v>361</v>
      </c>
      <c r="B19" s="116" t="n">
        <v>12000</v>
      </c>
      <c r="C19" s="116" t="n">
        <v>8</v>
      </c>
      <c r="D19" s="116" t="n">
        <v>8</v>
      </c>
      <c r="E19" s="116" t="n">
        <v>8</v>
      </c>
      <c r="F19" s="116" t="n">
        <v>8</v>
      </c>
      <c r="G19" s="116" t="n">
        <v>8</v>
      </c>
      <c r="H19" s="117" t="n">
        <f aca="false">ROUND($B19*C19*12*(1+Assumptions!$B$34)^0,2)</f>
        <v>1152000</v>
      </c>
      <c r="I19" s="117" t="n">
        <f aca="false">ROUND($B19*D19*12*(1+Assumptions!$B$34)^1,2)</f>
        <v>1382400</v>
      </c>
      <c r="J19" s="117" t="n">
        <f aca="false">ROUND($B19*E19*12*(1+Assumptions!$B$34)^2,2)</f>
        <v>1658880</v>
      </c>
      <c r="K19" s="117" t="n">
        <f aca="false">ROUND($B19*F19*12*(1+Assumptions!$B$34)^3,2)</f>
        <v>1990656</v>
      </c>
      <c r="L19" s="117" t="n">
        <f aca="false">ROUND($B19*G19*12*(1+Assumptions!$B$34)^4,2)</f>
        <v>2388787.2</v>
      </c>
      <c r="M19" s="115" t="s">
        <v>362</v>
      </c>
    </row>
    <row r="20" customFormat="false" ht="24" hidden="false" customHeight="true" outlineLevel="0" collapsed="false">
      <c r="A20" s="115" t="s">
        <v>363</v>
      </c>
      <c r="B20" s="116" t="n">
        <v>12000</v>
      </c>
      <c r="C20" s="116" t="n">
        <v>2</v>
      </c>
      <c r="D20" s="116" t="n">
        <v>2</v>
      </c>
      <c r="E20" s="116" t="n">
        <v>2</v>
      </c>
      <c r="F20" s="116" t="n">
        <v>2</v>
      </c>
      <c r="G20" s="116" t="n">
        <v>2</v>
      </c>
      <c r="H20" s="117" t="n">
        <f aca="false">ROUND($B20*C20*12*(1+Assumptions!$B$34)^0,2)</f>
        <v>288000</v>
      </c>
      <c r="I20" s="117" t="n">
        <f aca="false">ROUND($B20*D20*12*(1+Assumptions!$B$34)^1,2)</f>
        <v>345600</v>
      </c>
      <c r="J20" s="117" t="n">
        <f aca="false">ROUND($B20*E20*12*(1+Assumptions!$B$34)^2,2)</f>
        <v>414720</v>
      </c>
      <c r="K20" s="117" t="n">
        <f aca="false">ROUND($B20*F20*12*(1+Assumptions!$B$34)^3,2)</f>
        <v>497664</v>
      </c>
      <c r="L20" s="117" t="n">
        <f aca="false">ROUND($B20*G20*12*(1+Assumptions!$B$34)^4,2)</f>
        <v>597196.8</v>
      </c>
      <c r="M20" s="115" t="s">
        <v>364</v>
      </c>
    </row>
    <row r="21" customFormat="false" ht="15" hidden="false" customHeight="true" outlineLevel="0" collapsed="false">
      <c r="A21" s="118" t="s">
        <v>365</v>
      </c>
      <c r="B21" s="118"/>
      <c r="C21" s="119" t="n">
        <f aca="false">SUM(C4:C20)</f>
        <v>36</v>
      </c>
      <c r="D21" s="119" t="n">
        <f aca="false">SUM(D4:D20)</f>
        <v>36</v>
      </c>
      <c r="E21" s="119" t="n">
        <f aca="false">SUM(E4:E20)</f>
        <v>36</v>
      </c>
      <c r="F21" s="119" t="n">
        <f aca="false">SUM(F4:F20)</f>
        <v>36</v>
      </c>
      <c r="G21" s="119" t="n">
        <f aca="false">SUM(G4:G20)</f>
        <v>36</v>
      </c>
      <c r="H21" s="118" t="n">
        <f aca="false">SUM(H4:H20)</f>
        <v>11156112</v>
      </c>
      <c r="I21" s="118" t="n">
        <f aca="false">SUM(I4:I20)</f>
        <v>15618000</v>
      </c>
      <c r="J21" s="118" t="n">
        <f aca="false">SUM(J4:J20)</f>
        <v>21893869</v>
      </c>
      <c r="K21" s="118" t="n">
        <f aca="false">SUM(K4:K20)</f>
        <v>25061090</v>
      </c>
      <c r="L21" s="118" t="n">
        <f aca="false">SUM(L4:L20)</f>
        <v>30073308</v>
      </c>
      <c r="M21" s="113"/>
    </row>
    <row r="22" customFormat="false" ht="23.25" hidden="false" customHeight="true" outlineLevel="0" collapsed="false">
      <c r="A22" s="113" t="s">
        <v>366</v>
      </c>
      <c r="B22" s="113" t="s">
        <v>367</v>
      </c>
      <c r="C22" s="113"/>
      <c r="D22" s="113"/>
      <c r="E22" s="113"/>
      <c r="F22" s="113"/>
      <c r="G22" s="113"/>
      <c r="H22" s="120" t="n">
        <v>11156112</v>
      </c>
      <c r="I22" s="120" t="n">
        <v>15618000</v>
      </c>
      <c r="J22" s="120" t="n">
        <v>21893869</v>
      </c>
      <c r="K22" s="120" t="n">
        <v>25061090</v>
      </c>
      <c r="L22" s="120" t="n">
        <v>30073308</v>
      </c>
      <c r="M22" s="113"/>
    </row>
    <row r="23" customFormat="false" ht="43.5" hidden="false" customHeight="true" outlineLevel="0" collapsed="false">
      <c r="A23" s="121" t="s">
        <v>368</v>
      </c>
      <c r="B23" s="111" t="s">
        <v>369</v>
      </c>
      <c r="C23" s="111"/>
      <c r="D23" s="111"/>
      <c r="E23" s="111"/>
      <c r="F23" s="111"/>
      <c r="G23" s="111"/>
      <c r="H23" s="111"/>
      <c r="I23" s="111"/>
      <c r="J23" s="111"/>
      <c r="K23" s="111"/>
      <c r="L23" s="111"/>
      <c r="M23" s="111"/>
    </row>
    <row r="24" customFormat="false" ht="54" hidden="false" customHeight="true" outlineLevel="0" collapsed="false">
      <c r="A24" s="121" t="s">
        <v>370</v>
      </c>
      <c r="B24" s="111" t="s">
        <v>371</v>
      </c>
      <c r="C24" s="111"/>
      <c r="D24" s="111"/>
      <c r="E24" s="111"/>
      <c r="F24" s="111"/>
      <c r="G24" s="111"/>
      <c r="H24" s="111"/>
      <c r="I24" s="111"/>
      <c r="J24" s="111"/>
      <c r="K24" s="111"/>
      <c r="L24" s="111"/>
      <c r="M24" s="111"/>
    </row>
    <row r="25" customFormat="false" ht="61.5" hidden="false" customHeight="true" outlineLevel="0" collapsed="false">
      <c r="A25" s="121" t="s">
        <v>372</v>
      </c>
      <c r="B25" s="122" t="s">
        <v>373</v>
      </c>
      <c r="C25" s="122"/>
      <c r="D25" s="122"/>
      <c r="E25" s="122"/>
      <c r="F25" s="122"/>
      <c r="G25" s="122"/>
      <c r="H25" s="122"/>
      <c r="I25" s="122"/>
      <c r="J25" s="122"/>
      <c r="K25" s="122"/>
      <c r="L25" s="122"/>
      <c r="M25" s="122"/>
    </row>
  </sheetData>
  <mergeCells count="4">
    <mergeCell ref="A1:M1"/>
    <mergeCell ref="B23:M23"/>
    <mergeCell ref="B24:M24"/>
    <mergeCell ref="B25:M25"/>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2"/>
    <col collapsed="false" customWidth="true" hidden="false" outlineLevel="0" max="2" min="2" style="1" width="22"/>
    <col collapsed="false" customWidth="true" hidden="false" outlineLevel="0" max="7" min="3" style="1" width="14"/>
    <col collapsed="false" customWidth="true" hidden="false" outlineLevel="0" max="12" min="8" style="1" width="18"/>
    <col collapsed="false" customWidth="true" hidden="false" outlineLevel="0" max="26" min="13" style="1" width="14"/>
  </cols>
  <sheetData>
    <row r="1" customFormat="false" ht="30" hidden="false" customHeight="true" outlineLevel="0" collapsed="false">
      <c r="A1" s="98" t="s">
        <v>374</v>
      </c>
      <c r="B1" s="98"/>
      <c r="C1" s="98"/>
      <c r="D1" s="98"/>
      <c r="E1" s="98"/>
      <c r="F1" s="98"/>
      <c r="G1" s="98"/>
      <c r="H1" s="98"/>
      <c r="I1" s="98"/>
      <c r="J1" s="98"/>
      <c r="K1" s="98"/>
      <c r="L1" s="98"/>
    </row>
    <row r="3" customFormat="false" ht="27.75" hidden="false" customHeight="true" outlineLevel="0" collapsed="false">
      <c r="A3" s="99" t="s">
        <v>83</v>
      </c>
      <c r="B3" s="100" t="s">
        <v>375</v>
      </c>
      <c r="C3" s="114" t="s">
        <v>376</v>
      </c>
      <c r="D3" s="114" t="s">
        <v>377</v>
      </c>
      <c r="E3" s="114" t="s">
        <v>378</v>
      </c>
      <c r="F3" s="114" t="s">
        <v>379</v>
      </c>
      <c r="G3" s="114" t="s">
        <v>380</v>
      </c>
      <c r="H3" s="114" t="s">
        <v>84</v>
      </c>
      <c r="I3" s="114" t="s">
        <v>85</v>
      </c>
      <c r="J3" s="114" t="s">
        <v>86</v>
      </c>
      <c r="K3" s="114" t="s">
        <v>87</v>
      </c>
      <c r="L3" s="123" t="s">
        <v>88</v>
      </c>
    </row>
    <row r="4" customFormat="false" ht="27.75" hidden="false" customHeight="true" outlineLevel="0" collapsed="false">
      <c r="A4" s="115" t="s">
        <v>381</v>
      </c>
      <c r="B4" s="124" t="n">
        <v>80000</v>
      </c>
      <c r="C4" s="124" t="n">
        <v>1</v>
      </c>
      <c r="D4" s="124" t="n">
        <v>1</v>
      </c>
      <c r="E4" s="124" t="n">
        <v>1</v>
      </c>
      <c r="F4" s="124" t="n">
        <v>1</v>
      </c>
      <c r="G4" s="124" t="n">
        <v>1</v>
      </c>
      <c r="H4" s="108" t="n">
        <f aca="false">$B4*C4*12*(1+Assumptions!$B$35)^0*Assumptions!$B$66</f>
        <v>620307.692307692</v>
      </c>
      <c r="I4" s="108" t="n">
        <f aca="false">$B4*D4*12*(1+Assumptions!$B$35)^1*Assumptions!$C$66</f>
        <v>1036800</v>
      </c>
      <c r="J4" s="108" t="n">
        <f aca="false">ROUND($B4*E4*12*(1+Assumptions!$B$35)^2*Assumptions!$D$66,2)</f>
        <v>1161600</v>
      </c>
      <c r="K4" s="108" t="n">
        <f aca="false">ROUND($B4*F4*12*(1+Assumptions!$B$35)^3*Assumptions!$E$66,2)</f>
        <v>1277760</v>
      </c>
      <c r="L4" s="108" t="n">
        <f aca="false">ROUND($B4*G4*12*(1+Assumptions!$B$35)^4*Assumptions!$F$66,2)</f>
        <v>1405536</v>
      </c>
    </row>
    <row r="5" customFormat="false" ht="27.75" hidden="false" customHeight="true" outlineLevel="0" collapsed="false">
      <c r="A5" s="115" t="s">
        <v>382</v>
      </c>
      <c r="B5" s="124" t="n">
        <v>30000</v>
      </c>
      <c r="C5" s="124" t="n">
        <v>8</v>
      </c>
      <c r="D5" s="124" t="n">
        <v>8</v>
      </c>
      <c r="E5" s="124" t="n">
        <v>8</v>
      </c>
      <c r="F5" s="124" t="n">
        <v>15</v>
      </c>
      <c r="G5" s="124" t="n">
        <v>22</v>
      </c>
      <c r="H5" s="108" t="n">
        <f aca="false">$B5*C5*12*(1+Assumptions!$B$35)^0*Assumptions!$B$66</f>
        <v>1860923.07692308</v>
      </c>
      <c r="I5" s="108" t="n">
        <f aca="false">$B5*D5*12*(1+Assumptions!$B$35)^1*Assumptions!$C$66</f>
        <v>3110400</v>
      </c>
      <c r="J5" s="108" t="n">
        <f aca="false">ROUND($B5*E5*12*(1+Assumptions!$B$35)^2*Assumptions!$D$66,2)</f>
        <v>3484800</v>
      </c>
      <c r="K5" s="108" t="n">
        <f aca="false">ROUND($B5*F5*12*(1+Assumptions!$B$35)^3*Assumptions!$E$66,2)</f>
        <v>7187400</v>
      </c>
      <c r="L5" s="108" t="n">
        <f aca="false">ROUND($B5*G5*12*(1+Assumptions!$B$35)^4*Assumptions!$F$66,2)</f>
        <v>11595672</v>
      </c>
    </row>
    <row r="6" customFormat="false" ht="27.75" hidden="false" customHeight="true" outlineLevel="0" collapsed="false">
      <c r="A6" s="115" t="s">
        <v>383</v>
      </c>
      <c r="B6" s="124" t="n">
        <v>25000</v>
      </c>
      <c r="C6" s="124" t="n">
        <v>1</v>
      </c>
      <c r="D6" s="124" t="n">
        <v>1</v>
      </c>
      <c r="E6" s="124" t="n">
        <v>1</v>
      </c>
      <c r="F6" s="124" t="n">
        <v>1</v>
      </c>
      <c r="G6" s="124" t="n">
        <v>1</v>
      </c>
      <c r="H6" s="108" t="n">
        <f aca="false">$B6*C6*12*(1+Assumptions!$B$35)^0*Assumptions!$B$66</f>
        <v>193846.153846154</v>
      </c>
      <c r="I6" s="108" t="n">
        <f aca="false">$B6*D6*12*(1+Assumptions!$B$35)^1*Assumptions!$C$66</f>
        <v>324000</v>
      </c>
      <c r="J6" s="108" t="n">
        <f aca="false">ROUND($B6*E6*12*(1+Assumptions!$B$35)^2*Assumptions!$D$66,2)</f>
        <v>363000</v>
      </c>
      <c r="K6" s="108" t="n">
        <f aca="false">ROUND($B6*F6*12*(1+Assumptions!$B$35)^3*Assumptions!$E$66,2)</f>
        <v>399300</v>
      </c>
      <c r="L6" s="108" t="n">
        <f aca="false">ROUND($B6*G6*12*(1+Assumptions!$B$35)^4*Assumptions!$F$66,2)</f>
        <v>439230</v>
      </c>
    </row>
    <row r="7" customFormat="false" ht="27.75" hidden="false" customHeight="true" outlineLevel="0" collapsed="false">
      <c r="A7" s="115" t="s">
        <v>384</v>
      </c>
      <c r="B7" s="124" t="n">
        <v>20000</v>
      </c>
      <c r="C7" s="124" t="n">
        <v>1</v>
      </c>
      <c r="D7" s="124" t="n">
        <v>1</v>
      </c>
      <c r="E7" s="124" t="n">
        <v>1</v>
      </c>
      <c r="F7" s="124" t="n">
        <v>1</v>
      </c>
      <c r="G7" s="124" t="n">
        <v>1</v>
      </c>
      <c r="H7" s="108" t="n">
        <f aca="false">$B7*C7*12*(1+Assumptions!$B$35)^0*Assumptions!$B$66</f>
        <v>155076.923076923</v>
      </c>
      <c r="I7" s="108" t="n">
        <f aca="false">$B7*D7*12*(1+Assumptions!$B$35)^1*Assumptions!$C$66</f>
        <v>259200</v>
      </c>
      <c r="J7" s="108" t="n">
        <f aca="false">ROUND($B7*E7*12*(1+Assumptions!$B$35)^2*Assumptions!$D$66,2)</f>
        <v>290400</v>
      </c>
      <c r="K7" s="108" t="n">
        <f aca="false">ROUND($B7*F7*12*(1+Assumptions!$B$35)^3*Assumptions!$E$66,2)</f>
        <v>319440</v>
      </c>
      <c r="L7" s="108" t="n">
        <f aca="false">ROUND($B7*G7*12*(1+Assumptions!$B$35)^4*Assumptions!$F$66,2)</f>
        <v>351384</v>
      </c>
    </row>
    <row r="8" customFormat="false" ht="27.75" hidden="false" customHeight="true" outlineLevel="0" collapsed="false">
      <c r="A8" s="115" t="s">
        <v>385</v>
      </c>
      <c r="B8" s="124" t="n">
        <v>2500</v>
      </c>
      <c r="C8" s="124" t="n">
        <v>8</v>
      </c>
      <c r="D8" s="124" t="n">
        <v>8</v>
      </c>
      <c r="E8" s="124" t="n">
        <v>8</v>
      </c>
      <c r="F8" s="124" t="n">
        <v>15</v>
      </c>
      <c r="G8" s="124" t="n">
        <v>22</v>
      </c>
      <c r="H8" s="108" t="n">
        <f aca="false">$B8*C8*12*(1+Assumptions!$B$35)^0*Assumptions!$B$66</f>
        <v>155076.923076923</v>
      </c>
      <c r="I8" s="108" t="n">
        <f aca="false">$B8*D8*12*(1+Assumptions!$B$35)^1*Assumptions!$C$66</f>
        <v>259200</v>
      </c>
      <c r="J8" s="108" t="n">
        <f aca="false">ROUND($B8*E8*12*(1+Assumptions!$B$35)^2*Assumptions!$D$66,2)</f>
        <v>290400</v>
      </c>
      <c r="K8" s="108" t="n">
        <f aca="false">ROUND($B8*F8*12*(1+Assumptions!$B$35)^3*Assumptions!$E$66,2)</f>
        <v>598950</v>
      </c>
      <c r="L8" s="108" t="n">
        <f aca="false">ROUND($B8*G8*12*(1+Assumptions!$B$35)^4*Assumptions!$F$66,2)</f>
        <v>966306</v>
      </c>
    </row>
    <row r="9" customFormat="false" ht="27.75" hidden="false" customHeight="true" outlineLevel="0" collapsed="false">
      <c r="A9" s="115" t="s">
        <v>386</v>
      </c>
      <c r="B9" s="124" t="n">
        <v>5000</v>
      </c>
      <c r="C9" s="124" t="n">
        <v>1</v>
      </c>
      <c r="D9" s="124" t="n">
        <v>1</v>
      </c>
      <c r="E9" s="124" t="n">
        <v>1</v>
      </c>
      <c r="F9" s="124" t="n">
        <v>1</v>
      </c>
      <c r="G9" s="124" t="n">
        <v>1</v>
      </c>
      <c r="H9" s="108" t="n">
        <f aca="false">$B9*C9*12*(1+Assumptions!$B$35)^0*Assumptions!$B$66</f>
        <v>38769.2307692308</v>
      </c>
      <c r="I9" s="108" t="n">
        <f aca="false">$B9*D9*12*(1+Assumptions!$B$35)^1*Assumptions!$C$66</f>
        <v>64800</v>
      </c>
      <c r="J9" s="108" t="n">
        <f aca="false">ROUND($B9*E9*12*(1+Assumptions!$B$35)^2*Assumptions!$D$66,2)</f>
        <v>72600</v>
      </c>
      <c r="K9" s="108" t="n">
        <f aca="false">ROUND($B9*F9*12*(1+Assumptions!$B$35)^3*Assumptions!$E$66,2)</f>
        <v>79860</v>
      </c>
      <c r="L9" s="108" t="n">
        <f aca="false">ROUND($B9*G9*12*(1+Assumptions!$B$35)^4*Assumptions!$F$66,2)</f>
        <v>87846</v>
      </c>
    </row>
    <row r="10" customFormat="false" ht="27.75" hidden="false" customHeight="true" outlineLevel="0" collapsed="false">
      <c r="A10" s="115" t="s">
        <v>387</v>
      </c>
      <c r="B10" s="124" t="n">
        <v>10000</v>
      </c>
      <c r="C10" s="124" t="n">
        <v>1</v>
      </c>
      <c r="D10" s="124" t="n">
        <v>1</v>
      </c>
      <c r="E10" s="124" t="n">
        <v>1</v>
      </c>
      <c r="F10" s="124" t="n">
        <v>1</v>
      </c>
      <c r="G10" s="124" t="n">
        <v>1</v>
      </c>
      <c r="H10" s="108" t="n">
        <f aca="false">$B10*C10*12*(1+Assumptions!$B$35)^0*Assumptions!$B$66</f>
        <v>77538.4615384616</v>
      </c>
      <c r="I10" s="108" t="n">
        <f aca="false">$B10*D10*12*(1+Assumptions!$B$35)^1*Assumptions!$C$66</f>
        <v>129600</v>
      </c>
      <c r="J10" s="108" t="n">
        <f aca="false">ROUND($B10*E10*12*(1+Assumptions!$B$35)^2*Assumptions!$D$66,2)</f>
        <v>145200</v>
      </c>
      <c r="K10" s="108" t="n">
        <f aca="false">ROUND($B10*F10*12*(1+Assumptions!$B$35)^3*Assumptions!$E$66,2)</f>
        <v>159720</v>
      </c>
      <c r="L10" s="108" t="n">
        <f aca="false">ROUND($B10*G10*12*(1+Assumptions!$B$35)^4*Assumptions!$F$66,2)</f>
        <v>175692</v>
      </c>
    </row>
    <row r="11" customFormat="false" ht="27.75" hidden="false" customHeight="true" outlineLevel="0" collapsed="false">
      <c r="A11" s="115" t="s">
        <v>388</v>
      </c>
      <c r="B11" s="124" t="n">
        <v>15000</v>
      </c>
      <c r="C11" s="124" t="n">
        <v>1</v>
      </c>
      <c r="D11" s="124" t="n">
        <v>1</v>
      </c>
      <c r="E11" s="124" t="n">
        <v>1</v>
      </c>
      <c r="F11" s="124" t="n">
        <v>1</v>
      </c>
      <c r="G11" s="124" t="n">
        <v>1</v>
      </c>
      <c r="H11" s="108" t="n">
        <f aca="false">$B11*C11*12*(1+Assumptions!$B$35)^0*Assumptions!$B$66</f>
        <v>116307.692307692</v>
      </c>
      <c r="I11" s="108" t="n">
        <f aca="false">$B11*D11*12*(1+Assumptions!$B$35)^1*Assumptions!$C$66</f>
        <v>194400</v>
      </c>
      <c r="J11" s="108" t="n">
        <f aca="false">ROUND($B11*E11*12*(1+Assumptions!$B$35)^2*Assumptions!$D$66,2)</f>
        <v>217800</v>
      </c>
      <c r="K11" s="108" t="n">
        <f aca="false">ROUND($B11*F11*12*(1+Assumptions!$B$35)^3*Assumptions!$E$66,2)</f>
        <v>239580</v>
      </c>
      <c r="L11" s="108" t="n">
        <f aca="false">ROUND($B11*G11*12*(1+Assumptions!$B$35)^4*Assumptions!$F$66,2)</f>
        <v>263538</v>
      </c>
    </row>
    <row r="12" customFormat="false" ht="27.75" hidden="false" customHeight="true" outlineLevel="0" collapsed="false">
      <c r="A12" s="115" t="s">
        <v>389</v>
      </c>
      <c r="B12" s="124" t="n">
        <v>35000</v>
      </c>
      <c r="C12" s="124" t="n">
        <v>1</v>
      </c>
      <c r="D12" s="124" t="n">
        <v>1</v>
      </c>
      <c r="E12" s="124" t="n">
        <v>1</v>
      </c>
      <c r="F12" s="124" t="n">
        <v>1</v>
      </c>
      <c r="G12" s="124" t="n">
        <v>1</v>
      </c>
      <c r="H12" s="108" t="n">
        <f aca="false">$B12*C12*12*(1+Assumptions!$B$35)^0*Assumptions!$B$66</f>
        <v>271384.615384615</v>
      </c>
      <c r="I12" s="108" t="n">
        <f aca="false">$B12*D12*12*(1+Assumptions!$B$35)^1*Assumptions!$C$66</f>
        <v>453600</v>
      </c>
      <c r="J12" s="108" t="n">
        <f aca="false">ROUND($B12*E12*12*(1+Assumptions!$B$35)^2*Assumptions!$D$66,2)</f>
        <v>508200</v>
      </c>
      <c r="K12" s="108" t="n">
        <f aca="false">ROUND($B12*F12*12*(1+Assumptions!$B$35)^3*Assumptions!$E$66,2)</f>
        <v>559020</v>
      </c>
      <c r="L12" s="108" t="n">
        <f aca="false">ROUND($B12*G12*12*(1+Assumptions!$B$35)^4*Assumptions!$F$66,2)</f>
        <v>614922</v>
      </c>
    </row>
    <row r="13" customFormat="false" ht="27.75" hidden="false" customHeight="true" outlineLevel="0" collapsed="false">
      <c r="A13" s="115" t="s">
        <v>390</v>
      </c>
      <c r="B13" s="124" t="n">
        <v>50000</v>
      </c>
      <c r="C13" s="124" t="n">
        <v>1</v>
      </c>
      <c r="D13" s="124" t="n">
        <v>1</v>
      </c>
      <c r="E13" s="124" t="n">
        <v>1</v>
      </c>
      <c r="F13" s="124" t="n">
        <v>1</v>
      </c>
      <c r="G13" s="124" t="n">
        <v>1</v>
      </c>
      <c r="H13" s="108" t="n">
        <f aca="false">$B13*C13*12*(1+Assumptions!$B$35)^0*Assumptions!$B$66</f>
        <v>387692.307692308</v>
      </c>
      <c r="I13" s="108" t="n">
        <f aca="false">$B13*D13*12*(1+Assumptions!$B$35)^1*Assumptions!$C$66</f>
        <v>648000</v>
      </c>
      <c r="J13" s="108" t="n">
        <f aca="false">ROUND($B13*E13*12*(1+Assumptions!$B$35)^2*Assumptions!$D$66,2)</f>
        <v>726000</v>
      </c>
      <c r="K13" s="108" t="n">
        <f aca="false">ROUND($B13*F13*12*(1+Assumptions!$B$35)^3*Assumptions!$E$66,2)</f>
        <v>798600</v>
      </c>
      <c r="L13" s="108" t="n">
        <f aca="false">ROUND($B13*G13*12*(1+Assumptions!$B$35)^4*Assumptions!$F$66,2)</f>
        <v>878460</v>
      </c>
    </row>
    <row r="14" customFormat="false" ht="27.75" hidden="false" customHeight="true" outlineLevel="0" collapsed="false">
      <c r="A14" s="115" t="s">
        <v>391</v>
      </c>
      <c r="B14" s="124" t="n">
        <v>20000</v>
      </c>
      <c r="C14" s="124" t="n">
        <v>1</v>
      </c>
      <c r="D14" s="124" t="n">
        <v>1</v>
      </c>
      <c r="E14" s="124" t="n">
        <v>1</v>
      </c>
      <c r="F14" s="124" t="n">
        <v>1</v>
      </c>
      <c r="G14" s="124" t="n">
        <v>1</v>
      </c>
      <c r="H14" s="108" t="n">
        <f aca="false">$B14*C14*12*(1+Assumptions!$B$35)^0*Assumptions!$B$66</f>
        <v>155076.923076923</v>
      </c>
      <c r="I14" s="108" t="n">
        <f aca="false">$B14*D14*12*(1+Assumptions!$B$35)^1*Assumptions!$C$66</f>
        <v>259200</v>
      </c>
      <c r="J14" s="108" t="n">
        <f aca="false">ROUND($B14*E14*12*(1+Assumptions!$B$35)^2*Assumptions!$D$66,2)</f>
        <v>290400</v>
      </c>
      <c r="K14" s="108" t="n">
        <f aca="false">ROUND($B14*F14*12*(1+Assumptions!$B$35)^3*Assumptions!$E$66,2)</f>
        <v>319440</v>
      </c>
      <c r="L14" s="108" t="n">
        <f aca="false">ROUND($B14*G14*12*(1+Assumptions!$B$35)^4*Assumptions!$F$66,2)</f>
        <v>351384</v>
      </c>
    </row>
    <row r="15" customFormat="false" ht="27.75" hidden="false" customHeight="true" outlineLevel="0" collapsed="false">
      <c r="A15" s="115" t="s">
        <v>392</v>
      </c>
      <c r="B15" s="124" t="n">
        <v>12000</v>
      </c>
      <c r="C15" s="124" t="n">
        <v>1</v>
      </c>
      <c r="D15" s="124" t="n">
        <v>1</v>
      </c>
      <c r="E15" s="124" t="n">
        <v>1</v>
      </c>
      <c r="F15" s="124" t="n">
        <v>1</v>
      </c>
      <c r="G15" s="124" t="n">
        <v>1</v>
      </c>
      <c r="H15" s="108" t="n">
        <f aca="false">$B15*C15*12*(1+Assumptions!$B$35)^0*Assumptions!$B$66</f>
        <v>93046.1538461539</v>
      </c>
      <c r="I15" s="108" t="n">
        <f aca="false">$B15*D15*12*(1+Assumptions!$B$35)^1*Assumptions!$C$66</f>
        <v>155520</v>
      </c>
      <c r="J15" s="108" t="n">
        <f aca="false">ROUND($B15*E15*12*(1+Assumptions!$B$35)^2*Assumptions!$D$66,2)</f>
        <v>174240</v>
      </c>
      <c r="K15" s="108" t="n">
        <f aca="false">ROUND($B15*F15*12*(1+Assumptions!$B$35)^3*Assumptions!$E$66,2)</f>
        <v>191664</v>
      </c>
      <c r="L15" s="108" t="n">
        <f aca="false">ROUND($B15*G15*12*(1+Assumptions!$B$35)^4*Assumptions!$F$66,2)</f>
        <v>210830.4</v>
      </c>
    </row>
    <row r="16" customFormat="false" ht="27.75" hidden="false" customHeight="true" outlineLevel="0" collapsed="false">
      <c r="A16" s="115" t="s">
        <v>393</v>
      </c>
      <c r="B16" s="124" t="n">
        <v>15000</v>
      </c>
      <c r="C16" s="124" t="n">
        <v>1</v>
      </c>
      <c r="D16" s="124" t="n">
        <v>1</v>
      </c>
      <c r="E16" s="124" t="n">
        <v>1</v>
      </c>
      <c r="F16" s="124" t="n">
        <v>1</v>
      </c>
      <c r="G16" s="124" t="n">
        <v>1</v>
      </c>
      <c r="H16" s="108" t="n">
        <f aca="false">$B16*C16*12*(1+Assumptions!$B$35)^0*Assumptions!$B$66</f>
        <v>116307.692307692</v>
      </c>
      <c r="I16" s="108" t="n">
        <f aca="false">$B16*D16*12*(1+Assumptions!$B$35)^1*Assumptions!$C$66</f>
        <v>194400</v>
      </c>
      <c r="J16" s="108" t="n">
        <f aca="false">ROUND($B16*E16*12*(1+Assumptions!$B$35)^2*Assumptions!$D$66,2)</f>
        <v>217800</v>
      </c>
      <c r="K16" s="108" t="n">
        <f aca="false">ROUND($B16*F16*12*(1+Assumptions!$B$35)^3*Assumptions!$E$66,2)</f>
        <v>239580</v>
      </c>
      <c r="L16" s="108" t="n">
        <f aca="false">ROUND($B16*G16*12*(1+Assumptions!$B$35)^4*Assumptions!$F$66,2)</f>
        <v>263538</v>
      </c>
    </row>
    <row r="17" customFormat="false" ht="27.75" hidden="false" customHeight="true" outlineLevel="0" collapsed="false">
      <c r="A17" s="115" t="s">
        <v>394</v>
      </c>
      <c r="B17" s="124" t="n">
        <v>15000</v>
      </c>
      <c r="C17" s="124" t="n">
        <v>1</v>
      </c>
      <c r="D17" s="124" t="n">
        <v>1</v>
      </c>
      <c r="E17" s="124" t="n">
        <v>1</v>
      </c>
      <c r="F17" s="124" t="n">
        <v>1</v>
      </c>
      <c r="G17" s="124" t="n">
        <v>1</v>
      </c>
      <c r="H17" s="108" t="n">
        <f aca="false">$B17*C17*12*(1+Assumptions!$B$35)^0*Assumptions!$B$66</f>
        <v>116307.692307692</v>
      </c>
      <c r="I17" s="108" t="n">
        <f aca="false">$B17*D17*12*(1+Assumptions!$B$35)^1*Assumptions!$C$66</f>
        <v>194400</v>
      </c>
      <c r="J17" s="108" t="n">
        <f aca="false">ROUND($B17*E17*12*(1+Assumptions!$B$35)^2*Assumptions!$D$66,2)</f>
        <v>217800</v>
      </c>
      <c r="K17" s="108" t="n">
        <f aca="false">ROUND($B17*F17*12*(1+Assumptions!$B$35)^3*Assumptions!$E$66,2)</f>
        <v>239580</v>
      </c>
      <c r="L17" s="108" t="n">
        <f aca="false">ROUND($B17*G17*12*(1+Assumptions!$B$35)^4*Assumptions!$F$66,2)</f>
        <v>263538</v>
      </c>
    </row>
    <row r="18" customFormat="false" ht="27.75" hidden="false" customHeight="true" outlineLevel="0" collapsed="false">
      <c r="A18" s="115" t="s">
        <v>395</v>
      </c>
      <c r="B18" s="124" t="n">
        <v>10000</v>
      </c>
      <c r="C18" s="124" t="n">
        <v>1</v>
      </c>
      <c r="D18" s="124" t="n">
        <v>1</v>
      </c>
      <c r="E18" s="124" t="n">
        <v>1</v>
      </c>
      <c r="F18" s="124" t="n">
        <v>1</v>
      </c>
      <c r="G18" s="124" t="n">
        <v>1</v>
      </c>
      <c r="H18" s="108" t="n">
        <f aca="false">$B18*C18*12*(1+Assumptions!$B$35)^0*Assumptions!$B$66</f>
        <v>77538.4615384616</v>
      </c>
      <c r="I18" s="108" t="n">
        <f aca="false">$B18*D18*12*(1+Assumptions!$B$35)^1*Assumptions!$C$66</f>
        <v>129600</v>
      </c>
      <c r="J18" s="108" t="n">
        <f aca="false">ROUND($B18*E18*12*(1+Assumptions!$B$35)^2*Assumptions!$D$66,2)</f>
        <v>145200</v>
      </c>
      <c r="K18" s="108" t="n">
        <f aca="false">ROUND($B18*F18*12*(1+Assumptions!$B$35)^3*Assumptions!$E$66,2)</f>
        <v>159720</v>
      </c>
      <c r="L18" s="108" t="n">
        <f aca="false">ROUND($B18*G18*12*(1+Assumptions!$B$35)^4*Assumptions!$F$66,2)</f>
        <v>175692</v>
      </c>
    </row>
    <row r="19" customFormat="false" ht="15" hidden="false" customHeight="true" outlineLevel="0" collapsed="false">
      <c r="A19" s="125" t="s">
        <v>396</v>
      </c>
      <c r="B19" s="125"/>
      <c r="C19" s="125"/>
      <c r="D19" s="125"/>
      <c r="E19" s="125"/>
      <c r="F19" s="125"/>
      <c r="G19" s="125"/>
      <c r="H19" s="125" t="n">
        <f aca="false">SUM(H4:H18)</f>
        <v>4435200</v>
      </c>
      <c r="I19" s="125" t="n">
        <f aca="false">SUM(I4:I18)</f>
        <v>7413120</v>
      </c>
      <c r="J19" s="125" t="n">
        <f aca="false">SUM(J4:J18)</f>
        <v>8305440</v>
      </c>
      <c r="K19" s="125" t="n">
        <f aca="false">SUM(K4:K18)</f>
        <v>12769614</v>
      </c>
      <c r="L19" s="125" t="n">
        <f aca="false">SUM(L4:L18)</f>
        <v>18043568.4</v>
      </c>
    </row>
    <row r="20" customFormat="false" ht="15" hidden="false" customHeight="true" outlineLevel="0" collapsed="false">
      <c r="A20" s="1" t="s">
        <v>397</v>
      </c>
      <c r="H20" s="126" t="n">
        <v>4435200</v>
      </c>
      <c r="I20" s="126" t="n">
        <v>7413120</v>
      </c>
    </row>
    <row r="21" customFormat="false" ht="36" hidden="false" customHeight="true" outlineLevel="0" collapsed="false">
      <c r="A21" s="75" t="s">
        <v>398</v>
      </c>
      <c r="B21" s="122" t="s">
        <v>399</v>
      </c>
      <c r="C21" s="122"/>
      <c r="D21" s="122"/>
      <c r="E21" s="122"/>
      <c r="F21" s="122"/>
      <c r="G21" s="122"/>
      <c r="H21" s="122"/>
      <c r="I21" s="122"/>
      <c r="J21" s="122"/>
      <c r="K21" s="122"/>
      <c r="L21" s="122"/>
    </row>
    <row r="22" customFormat="false" ht="37.5" hidden="false" customHeight="true" outlineLevel="0" collapsed="false">
      <c r="A22" s="75" t="s">
        <v>400</v>
      </c>
      <c r="B22" s="127" t="s">
        <v>401</v>
      </c>
      <c r="C22" s="127"/>
      <c r="D22" s="127"/>
      <c r="E22" s="127"/>
      <c r="F22" s="127"/>
      <c r="G22" s="127"/>
      <c r="H22" s="127"/>
      <c r="I22" s="127"/>
      <c r="J22" s="127"/>
      <c r="K22" s="127"/>
      <c r="L22" s="127"/>
    </row>
    <row r="23" customFormat="false" ht="48" hidden="false" customHeight="true" outlineLevel="0" collapsed="false">
      <c r="A23" s="75" t="s">
        <v>402</v>
      </c>
      <c r="B23" s="127" t="s">
        <v>403</v>
      </c>
      <c r="C23" s="127"/>
      <c r="D23" s="127"/>
      <c r="E23" s="127"/>
      <c r="F23" s="127"/>
      <c r="G23" s="127"/>
      <c r="H23" s="127"/>
      <c r="I23" s="127"/>
      <c r="J23" s="127"/>
      <c r="K23" s="127"/>
      <c r="L23" s="127"/>
    </row>
    <row r="24" customFormat="false" ht="37.5" hidden="false" customHeight="true" outlineLevel="0" collapsed="false">
      <c r="A24" s="75" t="s">
        <v>404</v>
      </c>
      <c r="B24" s="127" t="s">
        <v>405</v>
      </c>
      <c r="C24" s="127"/>
      <c r="D24" s="127"/>
      <c r="E24" s="127"/>
      <c r="F24" s="127"/>
      <c r="G24" s="127"/>
      <c r="H24" s="127"/>
      <c r="I24" s="127"/>
      <c r="J24" s="127"/>
      <c r="K24" s="127"/>
      <c r="L24" s="127"/>
    </row>
  </sheetData>
  <mergeCells count="5">
    <mergeCell ref="A1:L1"/>
    <mergeCell ref="B21:L21"/>
    <mergeCell ref="B22:L22"/>
    <mergeCell ref="B23:L23"/>
    <mergeCell ref="B24:L24"/>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4"/>
    <col collapsed="false" customWidth="true" hidden="false" outlineLevel="0" max="6" min="2" style="1" width="18"/>
    <col collapsed="false" customWidth="true" hidden="false" outlineLevel="0" max="61" min="7" style="1" width="11"/>
  </cols>
  <sheetData>
    <row r="1" customFormat="false" ht="30" hidden="false" customHeight="true" outlineLevel="0" collapsed="false">
      <c r="A1" s="98" t="s">
        <v>406</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c r="AH1" s="98"/>
      <c r="AI1" s="98"/>
      <c r="AJ1" s="98"/>
      <c r="AK1" s="98"/>
      <c r="AL1" s="98"/>
      <c r="AM1" s="98"/>
      <c r="AN1" s="98"/>
      <c r="AO1" s="98"/>
      <c r="AP1" s="98"/>
      <c r="AQ1" s="98"/>
      <c r="AR1" s="98"/>
      <c r="AS1" s="98"/>
      <c r="AT1" s="98"/>
      <c r="AU1" s="98"/>
      <c r="AV1" s="98"/>
      <c r="AW1" s="98"/>
      <c r="AX1" s="98"/>
      <c r="AY1" s="98"/>
      <c r="AZ1" s="98"/>
      <c r="BA1" s="98"/>
      <c r="BB1" s="98"/>
      <c r="BC1" s="98"/>
      <c r="BD1" s="98"/>
      <c r="BE1" s="98"/>
      <c r="BF1" s="98"/>
      <c r="BG1" s="98"/>
      <c r="BH1" s="98"/>
      <c r="BI1" s="98"/>
    </row>
    <row r="3" customFormat="false" ht="15" hidden="false" customHeight="true" outlineLevel="0" collapsed="false">
      <c r="A3" s="105" t="s">
        <v>407</v>
      </c>
      <c r="B3" s="128" t="n">
        <v>46388</v>
      </c>
      <c r="C3" s="129" t="n">
        <v>46419</v>
      </c>
      <c r="D3" s="130" t="n">
        <v>46447</v>
      </c>
      <c r="E3" s="131" t="n">
        <v>46478</v>
      </c>
      <c r="F3" s="132" t="n">
        <v>46508</v>
      </c>
      <c r="G3" s="133" t="n">
        <v>46539</v>
      </c>
      <c r="H3" s="134" t="n">
        <v>46569</v>
      </c>
      <c r="I3" s="135" t="n">
        <v>46600</v>
      </c>
      <c r="J3" s="136" t="n">
        <v>46631</v>
      </c>
      <c r="K3" s="137" t="n">
        <v>46661</v>
      </c>
      <c r="L3" s="138" t="n">
        <v>46692</v>
      </c>
      <c r="M3" s="139" t="n">
        <v>46722</v>
      </c>
      <c r="N3" s="140" t="n">
        <v>46753</v>
      </c>
      <c r="O3" s="141" t="n">
        <v>46784</v>
      </c>
      <c r="P3" s="142" t="n">
        <v>46813</v>
      </c>
      <c r="Q3" s="143" t="n">
        <v>46844</v>
      </c>
      <c r="R3" s="144" t="n">
        <v>46874</v>
      </c>
      <c r="S3" s="145" t="n">
        <v>46905</v>
      </c>
      <c r="T3" s="146" t="n">
        <v>46935</v>
      </c>
      <c r="U3" s="147" t="n">
        <v>46966</v>
      </c>
      <c r="V3" s="148" t="n">
        <v>46997</v>
      </c>
      <c r="W3" s="149" t="n">
        <v>47027</v>
      </c>
      <c r="X3" s="150" t="n">
        <v>47058</v>
      </c>
      <c r="Y3" s="151" t="n">
        <v>47088</v>
      </c>
      <c r="Z3" s="152" t="n">
        <v>47119</v>
      </c>
      <c r="AA3" s="153" t="n">
        <v>47150</v>
      </c>
      <c r="AB3" s="154" t="n">
        <v>47178</v>
      </c>
      <c r="AC3" s="155" t="n">
        <v>47209</v>
      </c>
      <c r="AD3" s="156" t="n">
        <v>47239</v>
      </c>
      <c r="AE3" s="157" t="n">
        <v>47270</v>
      </c>
      <c r="AF3" s="158" t="n">
        <v>47300</v>
      </c>
      <c r="AG3" s="159" t="n">
        <v>47331</v>
      </c>
      <c r="AH3" s="160" t="n">
        <v>47362</v>
      </c>
      <c r="AI3" s="161" t="n">
        <v>47392</v>
      </c>
      <c r="AJ3" s="162" t="n">
        <v>47423</v>
      </c>
      <c r="AK3" s="163" t="n">
        <v>47453</v>
      </c>
      <c r="AL3" s="164" t="n">
        <v>47484</v>
      </c>
      <c r="AM3" s="165" t="n">
        <v>47515</v>
      </c>
      <c r="AN3" s="166" t="n">
        <v>47543</v>
      </c>
      <c r="AO3" s="167" t="n">
        <v>47574</v>
      </c>
      <c r="AP3" s="168" t="n">
        <v>47604</v>
      </c>
      <c r="AQ3" s="169" t="n">
        <v>47635</v>
      </c>
      <c r="AR3" s="170" t="n">
        <v>47665</v>
      </c>
      <c r="AS3" s="171" t="n">
        <v>47696</v>
      </c>
      <c r="AT3" s="172" t="n">
        <v>47727</v>
      </c>
      <c r="AU3" s="173" t="n">
        <v>47757</v>
      </c>
      <c r="AV3" s="174" t="n">
        <v>47788</v>
      </c>
      <c r="AW3" s="175" t="n">
        <v>47818</v>
      </c>
      <c r="AX3" s="176" t="n">
        <v>47849</v>
      </c>
      <c r="AY3" s="177" t="n">
        <v>47880</v>
      </c>
      <c r="AZ3" s="178" t="n">
        <v>47908</v>
      </c>
      <c r="BA3" s="179" t="n">
        <v>47939</v>
      </c>
      <c r="BB3" s="180" t="n">
        <v>47969</v>
      </c>
      <c r="BC3" s="181" t="n">
        <v>48000</v>
      </c>
      <c r="BD3" s="182" t="n">
        <v>48030</v>
      </c>
      <c r="BE3" s="183" t="n">
        <v>48061</v>
      </c>
      <c r="BF3" s="184" t="n">
        <v>48092</v>
      </c>
      <c r="BG3" s="185" t="n">
        <v>48122</v>
      </c>
      <c r="BH3" s="186" t="n">
        <v>48153</v>
      </c>
      <c r="BI3" s="187" t="n">
        <v>48183</v>
      </c>
    </row>
    <row r="4" customFormat="false" ht="15" hidden="false" customHeight="true" outlineLevel="0" collapsed="false">
      <c r="A4" s="105" t="s">
        <v>408</v>
      </c>
      <c r="B4" s="188" t="n">
        <v>2027</v>
      </c>
      <c r="C4" s="188" t="n">
        <v>2027</v>
      </c>
      <c r="D4" s="188" t="n">
        <v>2027</v>
      </c>
      <c r="E4" s="188" t="n">
        <v>2027</v>
      </c>
      <c r="F4" s="188" t="n">
        <v>2027</v>
      </c>
      <c r="G4" s="188" t="n">
        <v>2027</v>
      </c>
      <c r="H4" s="188" t="n">
        <v>2027</v>
      </c>
      <c r="I4" s="188" t="n">
        <v>2027</v>
      </c>
      <c r="J4" s="188" t="n">
        <v>2027</v>
      </c>
      <c r="K4" s="188" t="n">
        <v>2027</v>
      </c>
      <c r="L4" s="188" t="n">
        <v>2027</v>
      </c>
      <c r="M4" s="188" t="n">
        <v>2027</v>
      </c>
      <c r="N4" s="189" t="n">
        <v>2028</v>
      </c>
      <c r="O4" s="189" t="n">
        <v>2028</v>
      </c>
      <c r="P4" s="189" t="n">
        <v>2028</v>
      </c>
      <c r="Q4" s="189" t="n">
        <v>2028</v>
      </c>
      <c r="R4" s="189" t="n">
        <v>2028</v>
      </c>
      <c r="S4" s="189" t="n">
        <v>2028</v>
      </c>
      <c r="T4" s="189" t="n">
        <v>2028</v>
      </c>
      <c r="U4" s="189" t="n">
        <v>2028</v>
      </c>
      <c r="V4" s="189" t="n">
        <v>2028</v>
      </c>
      <c r="W4" s="189" t="n">
        <v>2028</v>
      </c>
      <c r="X4" s="189" t="n">
        <v>2028</v>
      </c>
      <c r="Y4" s="189" t="n">
        <v>2028</v>
      </c>
      <c r="Z4" s="190" t="n">
        <v>2029</v>
      </c>
      <c r="AA4" s="190" t="n">
        <v>2029</v>
      </c>
      <c r="AB4" s="190" t="n">
        <v>2029</v>
      </c>
      <c r="AC4" s="190" t="n">
        <v>2029</v>
      </c>
      <c r="AD4" s="190" t="n">
        <v>2029</v>
      </c>
      <c r="AE4" s="190" t="n">
        <v>2029</v>
      </c>
      <c r="AF4" s="190" t="n">
        <v>2029</v>
      </c>
      <c r="AG4" s="190" t="n">
        <v>2029</v>
      </c>
      <c r="AH4" s="190" t="n">
        <v>2029</v>
      </c>
      <c r="AI4" s="190" t="n">
        <v>2029</v>
      </c>
      <c r="AJ4" s="190" t="n">
        <v>2029</v>
      </c>
      <c r="AK4" s="190" t="n">
        <v>2029</v>
      </c>
      <c r="AL4" s="191" t="n">
        <v>2030</v>
      </c>
      <c r="AM4" s="191" t="n">
        <v>2030</v>
      </c>
      <c r="AN4" s="191" t="n">
        <v>2030</v>
      </c>
      <c r="AO4" s="191" t="n">
        <v>2030</v>
      </c>
      <c r="AP4" s="191" t="n">
        <v>2030</v>
      </c>
      <c r="AQ4" s="191" t="n">
        <v>2030</v>
      </c>
      <c r="AR4" s="191" t="n">
        <v>2030</v>
      </c>
      <c r="AS4" s="191" t="n">
        <v>2030</v>
      </c>
      <c r="AT4" s="191" t="n">
        <v>2030</v>
      </c>
      <c r="AU4" s="191" t="n">
        <v>2030</v>
      </c>
      <c r="AV4" s="191" t="n">
        <v>2030</v>
      </c>
      <c r="AW4" s="191" t="n">
        <v>2030</v>
      </c>
      <c r="AX4" s="192" t="n">
        <v>2031</v>
      </c>
      <c r="AY4" s="192" t="n">
        <v>2031</v>
      </c>
      <c r="AZ4" s="192" t="n">
        <v>2031</v>
      </c>
      <c r="BA4" s="192" t="n">
        <v>2031</v>
      </c>
      <c r="BB4" s="192" t="n">
        <v>2031</v>
      </c>
      <c r="BC4" s="192" t="n">
        <v>2031</v>
      </c>
      <c r="BD4" s="192" t="n">
        <v>2031</v>
      </c>
      <c r="BE4" s="192" t="n">
        <v>2031</v>
      </c>
      <c r="BF4" s="192" t="n">
        <v>2031</v>
      </c>
      <c r="BG4" s="192" t="n">
        <v>2031</v>
      </c>
      <c r="BH4" s="192" t="n">
        <v>2031</v>
      </c>
      <c r="BI4" s="192" t="n">
        <v>2031</v>
      </c>
    </row>
    <row r="5" customFormat="false" ht="15" hidden="false" customHeight="true" outlineLevel="0" collapsed="false">
      <c r="A5" s="105" t="s">
        <v>409</v>
      </c>
      <c r="B5" s="102" t="n">
        <v>1</v>
      </c>
      <c r="C5" s="102" t="n">
        <v>2</v>
      </c>
      <c r="D5" s="102" t="n">
        <v>3</v>
      </c>
      <c r="E5" s="102" t="n">
        <v>4</v>
      </c>
      <c r="F5" s="102" t="n">
        <v>5</v>
      </c>
      <c r="G5" s="102" t="n">
        <v>6</v>
      </c>
      <c r="H5" s="102" t="n">
        <v>7</v>
      </c>
      <c r="I5" s="102" t="n">
        <v>8</v>
      </c>
      <c r="J5" s="102" t="n">
        <v>9</v>
      </c>
      <c r="K5" s="102" t="n">
        <v>10</v>
      </c>
      <c r="L5" s="102" t="n">
        <v>11</v>
      </c>
      <c r="M5" s="102" t="n">
        <v>12</v>
      </c>
      <c r="N5" s="102" t="n">
        <v>13</v>
      </c>
      <c r="O5" s="102" t="n">
        <v>14</v>
      </c>
      <c r="P5" s="102" t="n">
        <v>15</v>
      </c>
      <c r="Q5" s="102" t="n">
        <v>16</v>
      </c>
      <c r="R5" s="102" t="n">
        <v>17</v>
      </c>
      <c r="S5" s="102" t="n">
        <v>18</v>
      </c>
      <c r="T5" s="102" t="n">
        <v>19</v>
      </c>
      <c r="U5" s="102" t="n">
        <v>20</v>
      </c>
      <c r="V5" s="102" t="n">
        <v>21</v>
      </c>
      <c r="W5" s="102" t="n">
        <v>22</v>
      </c>
      <c r="X5" s="102" t="n">
        <v>23</v>
      </c>
      <c r="Y5" s="102" t="n">
        <v>24</v>
      </c>
      <c r="Z5" s="102" t="n">
        <v>25</v>
      </c>
      <c r="AA5" s="102" t="n">
        <v>26</v>
      </c>
      <c r="AB5" s="102" t="n">
        <v>27</v>
      </c>
      <c r="AC5" s="102" t="n">
        <v>28</v>
      </c>
      <c r="AD5" s="102" t="n">
        <v>29</v>
      </c>
      <c r="AE5" s="102" t="n">
        <v>30</v>
      </c>
      <c r="AF5" s="102" t="n">
        <v>31</v>
      </c>
      <c r="AG5" s="102" t="n">
        <v>32</v>
      </c>
      <c r="AH5" s="102" t="n">
        <v>33</v>
      </c>
      <c r="AI5" s="102" t="n">
        <v>34</v>
      </c>
      <c r="AJ5" s="102" t="n">
        <v>35</v>
      </c>
      <c r="AK5" s="102" t="n">
        <v>36</v>
      </c>
      <c r="AL5" s="102" t="n">
        <v>37</v>
      </c>
      <c r="AM5" s="102" t="n">
        <v>38</v>
      </c>
      <c r="AN5" s="102" t="n">
        <v>39</v>
      </c>
      <c r="AO5" s="102" t="n">
        <v>40</v>
      </c>
      <c r="AP5" s="102" t="n">
        <v>41</v>
      </c>
      <c r="AQ5" s="102" t="n">
        <v>42</v>
      </c>
      <c r="AR5" s="102" t="n">
        <v>43</v>
      </c>
      <c r="AS5" s="102" t="n">
        <v>44</v>
      </c>
      <c r="AT5" s="102" t="n">
        <v>45</v>
      </c>
      <c r="AU5" s="102" t="n">
        <v>46</v>
      </c>
      <c r="AV5" s="102" t="n">
        <v>47</v>
      </c>
      <c r="AW5" s="102" t="n">
        <v>48</v>
      </c>
      <c r="AX5" s="102" t="n">
        <v>49</v>
      </c>
      <c r="AY5" s="102" t="n">
        <v>50</v>
      </c>
      <c r="AZ5" s="102" t="n">
        <v>51</v>
      </c>
      <c r="BA5" s="102" t="n">
        <v>52</v>
      </c>
      <c r="BB5" s="102" t="n">
        <v>53</v>
      </c>
      <c r="BC5" s="102" t="n">
        <v>54</v>
      </c>
      <c r="BD5" s="102" t="n">
        <v>55</v>
      </c>
      <c r="BE5" s="102" t="n">
        <v>56</v>
      </c>
      <c r="BF5" s="102" t="n">
        <v>57</v>
      </c>
      <c r="BG5" s="102" t="n">
        <v>58</v>
      </c>
      <c r="BH5" s="102" t="n">
        <v>59</v>
      </c>
      <c r="BI5" s="102" t="n">
        <v>60</v>
      </c>
    </row>
    <row r="6" customFormat="false" ht="15" hidden="false" customHeight="true" outlineLevel="0" collapsed="false">
      <c r="A6" s="105" t="s">
        <v>410</v>
      </c>
      <c r="B6" s="103" t="n">
        <v>0</v>
      </c>
      <c r="C6" s="103" t="n">
        <v>0.0714285714285714</v>
      </c>
      <c r="D6" s="103" t="n">
        <v>0.0714285714285714</v>
      </c>
      <c r="E6" s="103" t="n">
        <v>0.0821428571428572</v>
      </c>
      <c r="F6" s="103" t="n">
        <v>0.0821428571428572</v>
      </c>
      <c r="G6" s="103" t="n">
        <v>0.0821428571428572</v>
      </c>
      <c r="H6" s="103" t="n">
        <v>0.0964285714285715</v>
      </c>
      <c r="I6" s="103" t="n">
        <v>0.0964285714285715</v>
      </c>
      <c r="J6" s="103" t="n">
        <v>0.0964285714285715</v>
      </c>
      <c r="K6" s="103" t="n">
        <v>0.107142857142857</v>
      </c>
      <c r="L6" s="103" t="n">
        <v>0.107142857142857</v>
      </c>
      <c r="M6" s="103" t="n">
        <v>0.107142857142857</v>
      </c>
      <c r="N6" s="103" t="n">
        <v>0.0666666666666667</v>
      </c>
      <c r="O6" s="103" t="n">
        <v>0.0666666666666667</v>
      </c>
      <c r="P6" s="103" t="n">
        <v>0.0666666666666667</v>
      </c>
      <c r="Q6" s="103" t="n">
        <v>0.0766666666666667</v>
      </c>
      <c r="R6" s="103" t="n">
        <v>0.0766666666666667</v>
      </c>
      <c r="S6" s="103" t="n">
        <v>0.0766666666666667</v>
      </c>
      <c r="T6" s="103" t="n">
        <v>0.09</v>
      </c>
      <c r="U6" s="103" t="n">
        <v>0.09</v>
      </c>
      <c r="V6" s="103" t="n">
        <v>0.09</v>
      </c>
      <c r="W6" s="103" t="n">
        <v>0.1</v>
      </c>
      <c r="X6" s="103" t="n">
        <v>0.1</v>
      </c>
      <c r="Y6" s="103" t="n">
        <v>0.1</v>
      </c>
      <c r="Z6" s="103" t="n">
        <v>0.0666666666666667</v>
      </c>
      <c r="AA6" s="103" t="n">
        <v>0.0666666666666667</v>
      </c>
      <c r="AB6" s="103" t="n">
        <v>0.0666666666666667</v>
      </c>
      <c r="AC6" s="103" t="n">
        <v>0.0766666666666667</v>
      </c>
      <c r="AD6" s="103" t="n">
        <v>0.0766666666666667</v>
      </c>
      <c r="AE6" s="103" t="n">
        <v>0.0766666666666667</v>
      </c>
      <c r="AF6" s="103" t="n">
        <v>0.09</v>
      </c>
      <c r="AG6" s="103" t="n">
        <v>0.09</v>
      </c>
      <c r="AH6" s="103" t="n">
        <v>0.09</v>
      </c>
      <c r="AI6" s="103" t="n">
        <v>0.1</v>
      </c>
      <c r="AJ6" s="103" t="n">
        <v>0.1</v>
      </c>
      <c r="AK6" s="103" t="n">
        <v>0.1</v>
      </c>
      <c r="AL6" s="103" t="n">
        <v>0.0666666666666667</v>
      </c>
      <c r="AM6" s="103" t="n">
        <v>0.0666666666666667</v>
      </c>
      <c r="AN6" s="103" t="n">
        <v>0.0666666666666667</v>
      </c>
      <c r="AO6" s="103" t="n">
        <v>0.0766666666666667</v>
      </c>
      <c r="AP6" s="103" t="n">
        <v>0.0766666666666667</v>
      </c>
      <c r="AQ6" s="103" t="n">
        <v>0.0766666666666667</v>
      </c>
      <c r="AR6" s="103" t="n">
        <v>0.09</v>
      </c>
      <c r="AS6" s="103" t="n">
        <v>0.09</v>
      </c>
      <c r="AT6" s="103" t="n">
        <v>0.09</v>
      </c>
      <c r="AU6" s="103" t="n">
        <v>0.1</v>
      </c>
      <c r="AV6" s="103" t="n">
        <v>0.1</v>
      </c>
      <c r="AW6" s="103" t="n">
        <v>0.1</v>
      </c>
      <c r="AX6" s="103" t="n">
        <v>0.0666666666666667</v>
      </c>
      <c r="AY6" s="103" t="n">
        <v>0.0666666666666667</v>
      </c>
      <c r="AZ6" s="103" t="n">
        <v>0.0666666666666667</v>
      </c>
      <c r="BA6" s="103" t="n">
        <v>0.0766666666666667</v>
      </c>
      <c r="BB6" s="103" t="n">
        <v>0.0766666666666667</v>
      </c>
      <c r="BC6" s="103" t="n">
        <v>0.0766666666666667</v>
      </c>
      <c r="BD6" s="103" t="n">
        <v>0.09</v>
      </c>
      <c r="BE6" s="103" t="n">
        <v>0.09</v>
      </c>
      <c r="BF6" s="103" t="n">
        <v>0.09</v>
      </c>
      <c r="BG6" s="103" t="n">
        <v>0.1</v>
      </c>
      <c r="BH6" s="103" t="n">
        <v>0.1</v>
      </c>
      <c r="BI6" s="103" t="n">
        <v>0.1</v>
      </c>
    </row>
    <row r="7" customFormat="false" ht="15" hidden="false" customHeight="true" outlineLevel="0" collapsed="false">
      <c r="A7" s="105" t="s">
        <v>411</v>
      </c>
      <c r="B7" s="193" t="n">
        <f aca="false">Assumptions!B$4*B$6</f>
        <v>0</v>
      </c>
      <c r="C7" s="193" t="n">
        <f aca="false">Assumptions!B$4*C$6</f>
        <v>1982142.85714286</v>
      </c>
      <c r="D7" s="193" t="n">
        <f aca="false">Assumptions!B$4*D$6</f>
        <v>1982142.85714286</v>
      </c>
      <c r="E7" s="193" t="n">
        <f aca="false">Assumptions!B$4*E$6</f>
        <v>2279464.28571429</v>
      </c>
      <c r="F7" s="193" t="n">
        <f aca="false">Assumptions!B$4*F$6</f>
        <v>2279464.28571429</v>
      </c>
      <c r="G7" s="193" t="n">
        <f aca="false">Assumptions!B$4*G$6</f>
        <v>2279464.28571429</v>
      </c>
      <c r="H7" s="193" t="n">
        <f aca="false">Assumptions!B$4*H$6</f>
        <v>2675892.85714286</v>
      </c>
      <c r="I7" s="193" t="n">
        <f aca="false">Assumptions!B$4*I$6</f>
        <v>2675892.85714286</v>
      </c>
      <c r="J7" s="193" t="n">
        <f aca="false">Assumptions!B$4*J$6</f>
        <v>2675892.85714286</v>
      </c>
      <c r="K7" s="193" t="n">
        <f aca="false">Assumptions!B$4*K$6</f>
        <v>2973214.28571428</v>
      </c>
      <c r="L7" s="193" t="n">
        <f aca="false">Assumptions!B$4*L$6</f>
        <v>2973214.28571428</v>
      </c>
      <c r="M7" s="193" t="n">
        <f aca="false">Assumptions!B$4*M$6</f>
        <v>2973214.28571428</v>
      </c>
      <c r="N7" s="193" t="n">
        <f aca="false">Assumptions!C$4*N$6</f>
        <v>35166666.6666667</v>
      </c>
      <c r="O7" s="193" t="n">
        <f aca="false">Assumptions!C$4*O$6</f>
        <v>35166666.6666667</v>
      </c>
      <c r="P7" s="193" t="n">
        <f aca="false">Assumptions!C$4*P$6</f>
        <v>35166666.6666667</v>
      </c>
      <c r="Q7" s="193" t="n">
        <f aca="false">Assumptions!C$4*Q$6</f>
        <v>40441666.6666667</v>
      </c>
      <c r="R7" s="193" t="n">
        <f aca="false">Assumptions!C$4*R$6</f>
        <v>40441666.6666667</v>
      </c>
      <c r="S7" s="193" t="n">
        <f aca="false">Assumptions!C$4*S$6</f>
        <v>40441666.6666667</v>
      </c>
      <c r="T7" s="193" t="n">
        <f aca="false">Assumptions!C$4*T$6</f>
        <v>47475000</v>
      </c>
      <c r="U7" s="193" t="n">
        <f aca="false">Assumptions!C$4*U$6</f>
        <v>47475000</v>
      </c>
      <c r="V7" s="193" t="n">
        <f aca="false">Assumptions!C$4*V$6</f>
        <v>47475000</v>
      </c>
      <c r="W7" s="193" t="n">
        <f aca="false">Assumptions!C$4*W$6</f>
        <v>52750000</v>
      </c>
      <c r="X7" s="193" t="n">
        <f aca="false">Assumptions!C$4*X$6</f>
        <v>52750000</v>
      </c>
      <c r="Y7" s="193" t="n">
        <f aca="false">Assumptions!C$4*Y$6</f>
        <v>52750000</v>
      </c>
      <c r="Z7" s="193" t="n">
        <f aca="false">Assumptions!D$4*Z$6</f>
        <v>46666666.6666667</v>
      </c>
      <c r="AA7" s="193" t="n">
        <f aca="false">Assumptions!D$4*AA$6</f>
        <v>46666666.6666667</v>
      </c>
      <c r="AB7" s="193" t="n">
        <f aca="false">Assumptions!D$4*AB$6</f>
        <v>46666666.6666667</v>
      </c>
      <c r="AC7" s="193" t="n">
        <f aca="false">Assumptions!D$4*AC$6</f>
        <v>53666666.6666667</v>
      </c>
      <c r="AD7" s="193" t="n">
        <f aca="false">Assumptions!D$4*AD$6</f>
        <v>53666666.6666667</v>
      </c>
      <c r="AE7" s="193" t="n">
        <f aca="false">Assumptions!D$4*AE$6</f>
        <v>53666666.6666667</v>
      </c>
      <c r="AF7" s="193" t="n">
        <f aca="false">Assumptions!D$4*AF$6</f>
        <v>63000000</v>
      </c>
      <c r="AG7" s="193" t="n">
        <f aca="false">Assumptions!D$4*AG$6</f>
        <v>63000000</v>
      </c>
      <c r="AH7" s="193" t="n">
        <f aca="false">Assumptions!D$4*AH$6</f>
        <v>63000000</v>
      </c>
      <c r="AI7" s="193" t="n">
        <f aca="false">Assumptions!D$4*AI$6</f>
        <v>70000000</v>
      </c>
      <c r="AJ7" s="193" t="n">
        <f aca="false">Assumptions!D$4*AJ$6</f>
        <v>70000000</v>
      </c>
      <c r="AK7" s="193" t="n">
        <f aca="false">Assumptions!D$4*AK$6</f>
        <v>70000000</v>
      </c>
      <c r="AL7" s="193" t="n">
        <f aca="false">Assumptions!E$4*AL$6</f>
        <v>90000000</v>
      </c>
      <c r="AM7" s="193" t="n">
        <f aca="false">Assumptions!E$4*AM$6</f>
        <v>90000000</v>
      </c>
      <c r="AN7" s="193" t="n">
        <f aca="false">Assumptions!E$4*AN$6</f>
        <v>90000000</v>
      </c>
      <c r="AO7" s="193" t="n">
        <f aca="false">Assumptions!E$4*AO$6</f>
        <v>103500000</v>
      </c>
      <c r="AP7" s="193" t="n">
        <f aca="false">Assumptions!E$4*AP$6</f>
        <v>103500000</v>
      </c>
      <c r="AQ7" s="193" t="n">
        <f aca="false">Assumptions!E$4*AQ$6</f>
        <v>103500000</v>
      </c>
      <c r="AR7" s="193" t="n">
        <f aca="false">Assumptions!E$4*AR$6</f>
        <v>121500000</v>
      </c>
      <c r="AS7" s="193" t="n">
        <f aca="false">Assumptions!E$4*AS$6</f>
        <v>121500000</v>
      </c>
      <c r="AT7" s="193" t="n">
        <f aca="false">Assumptions!E$4*AT$6</f>
        <v>121500000</v>
      </c>
      <c r="AU7" s="193" t="n">
        <f aca="false">Assumptions!E$4*AU$6</f>
        <v>135000000</v>
      </c>
      <c r="AV7" s="193" t="n">
        <f aca="false">Assumptions!E$4*AV$6</f>
        <v>135000000</v>
      </c>
      <c r="AW7" s="193" t="n">
        <f aca="false">Assumptions!E$4*AW$6</f>
        <v>135000000</v>
      </c>
      <c r="AX7" s="193" t="n">
        <f aca="false">Assumptions!F$4*AX$6</f>
        <v>166666666.666667</v>
      </c>
      <c r="AY7" s="193" t="n">
        <f aca="false">Assumptions!F$4*AY$6</f>
        <v>166666666.666667</v>
      </c>
      <c r="AZ7" s="193" t="n">
        <f aca="false">Assumptions!F$4*AZ$6</f>
        <v>166666666.666667</v>
      </c>
      <c r="BA7" s="193" t="n">
        <f aca="false">Assumptions!F$4*BA$6</f>
        <v>191666666.666667</v>
      </c>
      <c r="BB7" s="193" t="n">
        <f aca="false">Assumptions!F$4*BB$6</f>
        <v>191666666.666667</v>
      </c>
      <c r="BC7" s="193" t="n">
        <f aca="false">Assumptions!F$4*BC$6</f>
        <v>191666666.666667</v>
      </c>
      <c r="BD7" s="193" t="n">
        <f aca="false">Assumptions!F$4*BD$6</f>
        <v>225000000</v>
      </c>
      <c r="BE7" s="193" t="n">
        <f aca="false">Assumptions!F$4*BE$6</f>
        <v>225000000</v>
      </c>
      <c r="BF7" s="193" t="n">
        <f aca="false">Assumptions!F$4*BF$6</f>
        <v>225000000</v>
      </c>
      <c r="BG7" s="193" t="n">
        <f aca="false">Assumptions!F$4*BG$6</f>
        <v>250000000</v>
      </c>
      <c r="BH7" s="193" t="n">
        <f aca="false">Assumptions!F$4*BH$6</f>
        <v>250000000</v>
      </c>
      <c r="BI7" s="193" t="n">
        <f aca="false">Assumptions!F$4*BI$6</f>
        <v>250000000</v>
      </c>
    </row>
    <row r="8" customFormat="false" ht="27.75" hidden="false" customHeight="true" outlineLevel="0" collapsed="false">
      <c r="A8" s="75" t="s">
        <v>412</v>
      </c>
      <c r="B8" s="194" t="n">
        <f aca="false">Assumptions!B$5*B$6</f>
        <v>0</v>
      </c>
      <c r="C8" s="194" t="n">
        <f aca="false">Assumptions!B$5*C$6</f>
        <v>1982142.85714286</v>
      </c>
      <c r="D8" s="194" t="n">
        <f aca="false">Assumptions!B$5*D$6</f>
        <v>1982142.85714286</v>
      </c>
      <c r="E8" s="194" t="n">
        <f aca="false">Assumptions!B$5*E$6</f>
        <v>2279464.28571429</v>
      </c>
      <c r="F8" s="194" t="n">
        <f aca="false">Assumptions!B$5*F$6</f>
        <v>2279464.28571429</v>
      </c>
      <c r="G8" s="194" t="n">
        <f aca="false">Assumptions!B$5*G$6</f>
        <v>2279464.28571429</v>
      </c>
      <c r="H8" s="194" t="n">
        <f aca="false">Assumptions!B$5*H$6</f>
        <v>2675892.85714286</v>
      </c>
      <c r="I8" s="194" t="n">
        <f aca="false">Assumptions!B$5*I$6</f>
        <v>2675892.85714286</v>
      </c>
      <c r="J8" s="194" t="n">
        <f aca="false">Assumptions!B$5*J$6</f>
        <v>2675892.85714286</v>
      </c>
      <c r="K8" s="194" t="n">
        <f aca="false">Assumptions!B$5*K$6</f>
        <v>2973214.28571428</v>
      </c>
      <c r="L8" s="194" t="n">
        <f aca="false">Assumptions!B$5*L$6</f>
        <v>2973214.28571428</v>
      </c>
      <c r="M8" s="194" t="n">
        <f aca="false">Assumptions!B$5*M$6</f>
        <v>2973214.28571428</v>
      </c>
      <c r="N8" s="194" t="n">
        <f aca="false">Assumptions!C$5*N$6</f>
        <v>35166666.6666667</v>
      </c>
      <c r="O8" s="194" t="n">
        <f aca="false">Assumptions!C$5*O$6</f>
        <v>35166666.6666667</v>
      </c>
      <c r="P8" s="194" t="n">
        <f aca="false">Assumptions!C$5*P$6</f>
        <v>35166666.6666667</v>
      </c>
      <c r="Q8" s="194" t="n">
        <f aca="false">Assumptions!C$5*Q$6</f>
        <v>40441666.6666667</v>
      </c>
      <c r="R8" s="194" t="n">
        <f aca="false">Assumptions!C$5*R$6</f>
        <v>40441666.6666667</v>
      </c>
      <c r="S8" s="194" t="n">
        <f aca="false">Assumptions!C$5*S$6</f>
        <v>40441666.6666667</v>
      </c>
      <c r="T8" s="194" t="n">
        <f aca="false">Assumptions!C$5*T$6</f>
        <v>47475000</v>
      </c>
      <c r="U8" s="194" t="n">
        <f aca="false">Assumptions!C$5*U$6</f>
        <v>47475000</v>
      </c>
      <c r="V8" s="194" t="n">
        <f aca="false">Assumptions!C$5*V$6</f>
        <v>47475000</v>
      </c>
      <c r="W8" s="194" t="n">
        <f aca="false">Assumptions!C$5*W$6</f>
        <v>52750000</v>
      </c>
      <c r="X8" s="194" t="n">
        <f aca="false">Assumptions!C$5*X$6</f>
        <v>52750000</v>
      </c>
      <c r="Y8" s="194" t="n">
        <f aca="false">Assumptions!C$5*Y$6</f>
        <v>52750000</v>
      </c>
      <c r="Z8" s="194" t="n">
        <f aca="false">Assumptions!D$5*Z$6</f>
        <v>46666666.6666667</v>
      </c>
      <c r="AA8" s="194" t="n">
        <f aca="false">Assumptions!D$5*AA$6</f>
        <v>46666666.6666667</v>
      </c>
      <c r="AB8" s="194" t="n">
        <f aca="false">Assumptions!D$5*AB$6</f>
        <v>46666666.6666667</v>
      </c>
      <c r="AC8" s="194" t="n">
        <f aca="false">Assumptions!D$5*AC$6</f>
        <v>53666666.6666667</v>
      </c>
      <c r="AD8" s="194" t="n">
        <f aca="false">Assumptions!D$5*AD$6</f>
        <v>53666666.6666667</v>
      </c>
      <c r="AE8" s="194" t="n">
        <f aca="false">Assumptions!D$5*AE$6</f>
        <v>53666666.6666667</v>
      </c>
      <c r="AF8" s="194" t="n">
        <f aca="false">Assumptions!D$5*AF$6</f>
        <v>63000000</v>
      </c>
      <c r="AG8" s="194" t="n">
        <f aca="false">Assumptions!D$5*AG$6</f>
        <v>63000000</v>
      </c>
      <c r="AH8" s="194" t="n">
        <f aca="false">Assumptions!D$5*AH$6</f>
        <v>63000000</v>
      </c>
      <c r="AI8" s="194" t="n">
        <f aca="false">Assumptions!D$5*AI$6</f>
        <v>70000000</v>
      </c>
      <c r="AJ8" s="194" t="n">
        <f aca="false">Assumptions!D$5*AJ$6</f>
        <v>70000000</v>
      </c>
      <c r="AK8" s="194" t="n">
        <f aca="false">Assumptions!D$5*AK$6</f>
        <v>70000000</v>
      </c>
      <c r="AL8" s="194" t="n">
        <f aca="false">Assumptions!E$5*AL$6</f>
        <v>90000000</v>
      </c>
      <c r="AM8" s="194" t="n">
        <f aca="false">Assumptions!E$5*AM$6</f>
        <v>90000000</v>
      </c>
      <c r="AN8" s="194" t="n">
        <f aca="false">Assumptions!E$5*AN$6</f>
        <v>90000000</v>
      </c>
      <c r="AO8" s="194" t="n">
        <f aca="false">Assumptions!E$5*AO$6</f>
        <v>103500000</v>
      </c>
      <c r="AP8" s="194" t="n">
        <f aca="false">Assumptions!E$5*AP$6</f>
        <v>103500000</v>
      </c>
      <c r="AQ8" s="194" t="n">
        <f aca="false">Assumptions!E$5*AQ$6</f>
        <v>103500000</v>
      </c>
      <c r="AR8" s="194" t="n">
        <f aca="false">Assumptions!E$5*AR$6</f>
        <v>121500000</v>
      </c>
      <c r="AS8" s="194" t="n">
        <f aca="false">Assumptions!E$5*AS$6</f>
        <v>121500000</v>
      </c>
      <c r="AT8" s="194" t="n">
        <f aca="false">Assumptions!E$5*AT$6</f>
        <v>121500000</v>
      </c>
      <c r="AU8" s="194" t="n">
        <f aca="false">Assumptions!E$5*AU$6</f>
        <v>135000000</v>
      </c>
      <c r="AV8" s="194" t="n">
        <f aca="false">Assumptions!E$5*AV$6</f>
        <v>135000000</v>
      </c>
      <c r="AW8" s="194" t="n">
        <f aca="false">Assumptions!E$5*AW$6</f>
        <v>135000000</v>
      </c>
      <c r="AX8" s="194" t="n">
        <f aca="false">Assumptions!F$5*AX$6</f>
        <v>166666666.666667</v>
      </c>
      <c r="AY8" s="194" t="n">
        <f aca="false">Assumptions!F$5*AY$6</f>
        <v>166666666.666667</v>
      </c>
      <c r="AZ8" s="194" t="n">
        <f aca="false">Assumptions!F$5*AZ$6</f>
        <v>166666666.666667</v>
      </c>
      <c r="BA8" s="194" t="n">
        <f aca="false">Assumptions!F$5*BA$6</f>
        <v>191666666.666667</v>
      </c>
      <c r="BB8" s="194" t="n">
        <f aca="false">Assumptions!F$5*BB$6</f>
        <v>191666666.666667</v>
      </c>
      <c r="BC8" s="194" t="n">
        <f aca="false">Assumptions!F$5*BC$6</f>
        <v>191666666.666667</v>
      </c>
      <c r="BD8" s="194" t="n">
        <f aca="false">Assumptions!F$5*BD$6</f>
        <v>225000000</v>
      </c>
      <c r="BE8" s="194" t="n">
        <f aca="false">Assumptions!F$5*BE$6</f>
        <v>225000000</v>
      </c>
      <c r="BF8" s="194" t="n">
        <f aca="false">Assumptions!F$5*BF$6</f>
        <v>225000000</v>
      </c>
      <c r="BG8" s="194" t="n">
        <f aca="false">Assumptions!F$5*BG$6</f>
        <v>250000000</v>
      </c>
      <c r="BH8" s="194" t="n">
        <f aca="false">Assumptions!F$5*BH$6</f>
        <v>250000000</v>
      </c>
      <c r="BI8" s="194" t="n">
        <f aca="false">Assumptions!F$5*BI$6</f>
        <v>250000000</v>
      </c>
    </row>
    <row r="9" customFormat="false" ht="27.75" hidden="false" customHeight="true" outlineLevel="0" collapsed="false">
      <c r="A9" s="75" t="s">
        <v>413</v>
      </c>
      <c r="B9" s="194" t="n">
        <f aca="false">Assumptions!B$4*B$6</f>
        <v>0</v>
      </c>
      <c r="C9" s="194" t="n">
        <f aca="false">Assumptions!B$4*C$6</f>
        <v>1982142.85714286</v>
      </c>
      <c r="D9" s="194" t="n">
        <f aca="false">Assumptions!B$4*D$6</f>
        <v>1982142.85714286</v>
      </c>
      <c r="E9" s="194" t="n">
        <f aca="false">Assumptions!B$4*E$6</f>
        <v>2279464.28571429</v>
      </c>
      <c r="F9" s="194" t="n">
        <f aca="false">Assumptions!B$4*F$6</f>
        <v>2279464.28571429</v>
      </c>
      <c r="G9" s="194" t="n">
        <f aca="false">Assumptions!B$4*G$6</f>
        <v>2279464.28571429</v>
      </c>
      <c r="H9" s="194" t="n">
        <f aca="false">Assumptions!B$4*H$6</f>
        <v>2675892.85714286</v>
      </c>
      <c r="I9" s="194" t="n">
        <f aca="false">Assumptions!B$4*I$6</f>
        <v>2675892.85714286</v>
      </c>
      <c r="J9" s="194" t="n">
        <f aca="false">Assumptions!B$4*J$6</f>
        <v>2675892.85714286</v>
      </c>
      <c r="K9" s="194" t="n">
        <f aca="false">Assumptions!B$4*K$6</f>
        <v>2973214.28571428</v>
      </c>
      <c r="L9" s="194" t="n">
        <f aca="false">Assumptions!B$4*L$6</f>
        <v>2973214.28571428</v>
      </c>
      <c r="M9" s="194" t="n">
        <f aca="false">Assumptions!B$4*M$6</f>
        <v>2973214.28571428</v>
      </c>
      <c r="N9" s="194" t="n">
        <f aca="false">Assumptions!C$4*N$6</f>
        <v>35166666.6666667</v>
      </c>
      <c r="O9" s="194" t="n">
        <f aca="false">Assumptions!C$4*O$6</f>
        <v>35166666.6666667</v>
      </c>
      <c r="P9" s="194" t="n">
        <f aca="false">Assumptions!C$4*P$6</f>
        <v>35166666.6666667</v>
      </c>
      <c r="Q9" s="194" t="n">
        <f aca="false">Assumptions!C$4*Q$6</f>
        <v>40441666.6666667</v>
      </c>
      <c r="R9" s="194" t="n">
        <f aca="false">Assumptions!C$4*R$6</f>
        <v>40441666.6666667</v>
      </c>
      <c r="S9" s="194" t="n">
        <f aca="false">Assumptions!C$4*S$6</f>
        <v>40441666.6666667</v>
      </c>
      <c r="T9" s="194" t="n">
        <f aca="false">Assumptions!C$4*T$6</f>
        <v>47475000</v>
      </c>
      <c r="U9" s="194" t="n">
        <f aca="false">Assumptions!C$4*U$6</f>
        <v>47475000</v>
      </c>
      <c r="V9" s="194" t="n">
        <f aca="false">Assumptions!C$4*V$6</f>
        <v>47475000</v>
      </c>
      <c r="W9" s="194" t="n">
        <f aca="false">Assumptions!C$4*W$6</f>
        <v>52750000</v>
      </c>
      <c r="X9" s="194" t="n">
        <f aca="false">Assumptions!C$4*X$6</f>
        <v>52750000</v>
      </c>
      <c r="Y9" s="194" t="n">
        <f aca="false">Assumptions!C$4*Y$6</f>
        <v>52750000</v>
      </c>
      <c r="Z9" s="194" t="n">
        <f aca="false">Assumptions!D$4*Z$6</f>
        <v>46666666.6666667</v>
      </c>
      <c r="AA9" s="194" t="n">
        <f aca="false">Assumptions!D$4*AA$6</f>
        <v>46666666.6666667</v>
      </c>
      <c r="AB9" s="194" t="n">
        <f aca="false">Assumptions!D$4*AB$6</f>
        <v>46666666.6666667</v>
      </c>
      <c r="AC9" s="194" t="n">
        <f aca="false">Assumptions!D$4*AC$6</f>
        <v>53666666.6666667</v>
      </c>
      <c r="AD9" s="194" t="n">
        <f aca="false">Assumptions!D$4*AD$6</f>
        <v>53666666.6666667</v>
      </c>
      <c r="AE9" s="194" t="n">
        <f aca="false">Assumptions!D$4*AE$6</f>
        <v>53666666.6666667</v>
      </c>
      <c r="AF9" s="194" t="n">
        <f aca="false">Assumptions!D$4*AF$6</f>
        <v>63000000</v>
      </c>
      <c r="AG9" s="194" t="n">
        <f aca="false">Assumptions!D$4*AG$6</f>
        <v>63000000</v>
      </c>
      <c r="AH9" s="194" t="n">
        <f aca="false">Assumptions!D$4*AH$6</f>
        <v>63000000</v>
      </c>
      <c r="AI9" s="194" t="n">
        <f aca="false">Assumptions!D$4*AI$6</f>
        <v>70000000</v>
      </c>
      <c r="AJ9" s="194" t="n">
        <f aca="false">Assumptions!D$4*AJ$6</f>
        <v>70000000</v>
      </c>
      <c r="AK9" s="194" t="n">
        <f aca="false">Assumptions!D$4*AK$6</f>
        <v>70000000</v>
      </c>
      <c r="AL9" s="194" t="n">
        <f aca="false">Assumptions!E$4*AL$6</f>
        <v>90000000</v>
      </c>
      <c r="AM9" s="194" t="n">
        <f aca="false">Assumptions!E$4*AM$6</f>
        <v>90000000</v>
      </c>
      <c r="AN9" s="194" t="n">
        <f aca="false">Assumptions!E$4*AN$6</f>
        <v>90000000</v>
      </c>
      <c r="AO9" s="194" t="n">
        <f aca="false">Assumptions!E$4*AO$6</f>
        <v>103500000</v>
      </c>
      <c r="AP9" s="194" t="n">
        <f aca="false">Assumptions!E$4*AP$6</f>
        <v>103500000</v>
      </c>
      <c r="AQ9" s="194" t="n">
        <f aca="false">Assumptions!E$4*AQ$6</f>
        <v>103500000</v>
      </c>
      <c r="AR9" s="194" t="n">
        <f aca="false">Assumptions!E$4*AR$6</f>
        <v>121500000</v>
      </c>
      <c r="AS9" s="194" t="n">
        <f aca="false">Assumptions!E$4*AS$6</f>
        <v>121500000</v>
      </c>
      <c r="AT9" s="194" t="n">
        <f aca="false">Assumptions!E$4*AT$6</f>
        <v>121500000</v>
      </c>
      <c r="AU9" s="194" t="n">
        <f aca="false">Assumptions!E$4*AU$6</f>
        <v>135000000</v>
      </c>
      <c r="AV9" s="194" t="n">
        <f aca="false">Assumptions!E$4*AV$6</f>
        <v>135000000</v>
      </c>
      <c r="AW9" s="194" t="n">
        <f aca="false">Assumptions!E$4*AW$6</f>
        <v>135000000</v>
      </c>
      <c r="AX9" s="194" t="n">
        <f aca="false">Assumptions!F$4*AX$6</f>
        <v>166666666.666667</v>
      </c>
      <c r="AY9" s="194" t="n">
        <f aca="false">Assumptions!F$4*AY$6</f>
        <v>166666666.666667</v>
      </c>
      <c r="AZ9" s="194" t="n">
        <f aca="false">Assumptions!F$4*AZ$6</f>
        <v>166666666.666667</v>
      </c>
      <c r="BA9" s="194" t="n">
        <f aca="false">Assumptions!F$4*BA$6</f>
        <v>191666666.666667</v>
      </c>
      <c r="BB9" s="194" t="n">
        <f aca="false">Assumptions!F$4*BB$6</f>
        <v>191666666.666667</v>
      </c>
      <c r="BC9" s="194" t="n">
        <f aca="false">Assumptions!F$4*BC$6</f>
        <v>191666666.666667</v>
      </c>
      <c r="BD9" s="194" t="n">
        <f aca="false">Assumptions!F$4*BD$6</f>
        <v>225000000</v>
      </c>
      <c r="BE9" s="194" t="n">
        <f aca="false">Assumptions!F$4*BE$6</f>
        <v>225000000</v>
      </c>
      <c r="BF9" s="194" t="n">
        <f aca="false">Assumptions!F$4*BF$6</f>
        <v>225000000</v>
      </c>
      <c r="BG9" s="194" t="n">
        <f aca="false">Assumptions!F$4*BG$6</f>
        <v>250000000</v>
      </c>
      <c r="BH9" s="194" t="n">
        <f aca="false">Assumptions!F$4*BH$6</f>
        <v>250000000</v>
      </c>
      <c r="BI9" s="194" t="n">
        <f aca="false">Assumptions!F$4*BI$6</f>
        <v>250000000</v>
      </c>
    </row>
    <row r="10" customFormat="false" ht="27.75" hidden="false" customHeight="true" outlineLevel="0" collapsed="false">
      <c r="A10" s="75" t="s">
        <v>414</v>
      </c>
      <c r="B10" s="194" t="n">
        <f aca="false">0</f>
        <v>0</v>
      </c>
      <c r="C10" s="194" t="n">
        <f aca="false">0</f>
        <v>0</v>
      </c>
      <c r="D10" s="194" t="n">
        <f aca="false">0</f>
        <v>0</v>
      </c>
      <c r="E10" s="194" t="n">
        <f aca="false">0</f>
        <v>0</v>
      </c>
      <c r="F10" s="194" t="n">
        <f aca="false">0</f>
        <v>0</v>
      </c>
      <c r="G10" s="194" t="n">
        <f aca="false">0</f>
        <v>0</v>
      </c>
      <c r="H10" s="194" t="n">
        <f aca="false">0</f>
        <v>0</v>
      </c>
      <c r="I10" s="194" t="n">
        <f aca="false">0</f>
        <v>0</v>
      </c>
      <c r="J10" s="194" t="n">
        <f aca="false">0</f>
        <v>0</v>
      </c>
      <c r="K10" s="194" t="n">
        <f aca="false">0</f>
        <v>0</v>
      </c>
      <c r="L10" s="194" t="n">
        <f aca="false">0</f>
        <v>0</v>
      </c>
      <c r="M10" s="194" t="n">
        <f aca="false">0</f>
        <v>0</v>
      </c>
      <c r="N10" s="194" t="n">
        <f aca="false">0</f>
        <v>0</v>
      </c>
      <c r="O10" s="194" t="n">
        <f aca="false">0</f>
        <v>0</v>
      </c>
      <c r="P10" s="194" t="n">
        <f aca="false">0</f>
        <v>0</v>
      </c>
      <c r="Q10" s="194" t="n">
        <f aca="false">0</f>
        <v>0</v>
      </c>
      <c r="R10" s="194" t="n">
        <f aca="false">0</f>
        <v>0</v>
      </c>
      <c r="S10" s="194" t="n">
        <f aca="false">0</f>
        <v>0</v>
      </c>
      <c r="T10" s="194" t="n">
        <f aca="false">0</f>
        <v>0</v>
      </c>
      <c r="U10" s="194" t="n">
        <f aca="false">0</f>
        <v>0</v>
      </c>
      <c r="V10" s="194" t="n">
        <f aca="false">0</f>
        <v>0</v>
      </c>
      <c r="W10" s="194" t="n">
        <f aca="false">0</f>
        <v>0</v>
      </c>
      <c r="X10" s="194" t="n">
        <f aca="false">0</f>
        <v>0</v>
      </c>
      <c r="Y10" s="194" t="n">
        <f aca="false">0</f>
        <v>0</v>
      </c>
      <c r="Z10" s="194" t="n">
        <f aca="false">0</f>
        <v>0</v>
      </c>
      <c r="AA10" s="194" t="n">
        <f aca="false">0</f>
        <v>0</v>
      </c>
      <c r="AB10" s="194" t="n">
        <f aca="false">0</f>
        <v>0</v>
      </c>
      <c r="AC10" s="194" t="n">
        <f aca="false">0</f>
        <v>0</v>
      </c>
      <c r="AD10" s="194" t="n">
        <f aca="false">0</f>
        <v>0</v>
      </c>
      <c r="AE10" s="194" t="n">
        <f aca="false">0</f>
        <v>0</v>
      </c>
      <c r="AF10" s="194" t="n">
        <f aca="false">0</f>
        <v>0</v>
      </c>
      <c r="AG10" s="194" t="n">
        <f aca="false">0</f>
        <v>0</v>
      </c>
      <c r="AH10" s="194" t="n">
        <f aca="false">0</f>
        <v>0</v>
      </c>
      <c r="AI10" s="194" t="n">
        <f aca="false">0</f>
        <v>0</v>
      </c>
      <c r="AJ10" s="194" t="n">
        <f aca="false">0</f>
        <v>0</v>
      </c>
      <c r="AK10" s="194" t="n">
        <f aca="false">0</f>
        <v>0</v>
      </c>
      <c r="AL10" s="194" t="n">
        <f aca="false">0</f>
        <v>0</v>
      </c>
      <c r="AM10" s="194" t="n">
        <f aca="false">0</f>
        <v>0</v>
      </c>
      <c r="AN10" s="194" t="n">
        <f aca="false">0</f>
        <v>0</v>
      </c>
      <c r="AO10" s="194" t="n">
        <f aca="false">0</f>
        <v>0</v>
      </c>
      <c r="AP10" s="194" t="n">
        <f aca="false">0</f>
        <v>0</v>
      </c>
      <c r="AQ10" s="194" t="n">
        <f aca="false">0</f>
        <v>0</v>
      </c>
      <c r="AR10" s="194" t="n">
        <f aca="false">0</f>
        <v>0</v>
      </c>
      <c r="AS10" s="194" t="n">
        <f aca="false">0</f>
        <v>0</v>
      </c>
      <c r="AT10" s="194" t="n">
        <f aca="false">0</f>
        <v>0</v>
      </c>
      <c r="AU10" s="194" t="n">
        <f aca="false">0</f>
        <v>0</v>
      </c>
      <c r="AV10" s="194" t="n">
        <f aca="false">0</f>
        <v>0</v>
      </c>
      <c r="AW10" s="194" t="n">
        <f aca="false">0</f>
        <v>0</v>
      </c>
      <c r="AX10" s="194" t="n">
        <f aca="false">0</f>
        <v>0</v>
      </c>
      <c r="AY10" s="194" t="n">
        <f aca="false">0</f>
        <v>0</v>
      </c>
      <c r="AZ10" s="194" t="n">
        <f aca="false">0</f>
        <v>0</v>
      </c>
      <c r="BA10" s="194" t="n">
        <f aca="false">0</f>
        <v>0</v>
      </c>
      <c r="BB10" s="194" t="n">
        <f aca="false">0</f>
        <v>0</v>
      </c>
      <c r="BC10" s="194" t="n">
        <f aca="false">0</f>
        <v>0</v>
      </c>
      <c r="BD10" s="194" t="n">
        <f aca="false">0</f>
        <v>0</v>
      </c>
      <c r="BE10" s="194" t="n">
        <f aca="false">0</f>
        <v>0</v>
      </c>
      <c r="BF10" s="194" t="n">
        <f aca="false">0</f>
        <v>0</v>
      </c>
      <c r="BG10" s="194" t="n">
        <f aca="false">0</f>
        <v>0</v>
      </c>
      <c r="BH10" s="194" t="n">
        <f aca="false">0</f>
        <v>0</v>
      </c>
      <c r="BI10" s="194" t="n">
        <f aca="false">0</f>
        <v>0</v>
      </c>
    </row>
    <row r="11" customFormat="false" ht="15" hidden="false" customHeight="true" outlineLevel="0" collapsed="false">
      <c r="A11" s="105" t="s">
        <v>205</v>
      </c>
      <c r="B11" s="193" t="n">
        <f aca="false">ROUND(Assumptions!B77*B$6,0)</f>
        <v>0</v>
      </c>
      <c r="C11" s="193" t="n">
        <f aca="false">ROUND(Assumptions!B77*C$6,0)</f>
        <v>13</v>
      </c>
      <c r="D11" s="193" t="n">
        <f aca="false">ROUND(Assumptions!B77*D$6,0)</f>
        <v>13</v>
      </c>
      <c r="E11" s="193" t="n">
        <f aca="false">ROUND(Assumptions!B77*E$6,0)</f>
        <v>15</v>
      </c>
      <c r="F11" s="193" t="n">
        <f aca="false">ROUND(Assumptions!B77*F$6,0)</f>
        <v>15</v>
      </c>
      <c r="G11" s="193" t="n">
        <f aca="false">ROUND(Assumptions!B77*G$6,0)</f>
        <v>15</v>
      </c>
      <c r="H11" s="193" t="n">
        <f aca="false">ROUND(Assumptions!B77*H$6,0)</f>
        <v>18</v>
      </c>
      <c r="I11" s="193" t="n">
        <f aca="false">ROUND(Assumptions!B77*I$6,0)</f>
        <v>18</v>
      </c>
      <c r="J11" s="193" t="n">
        <f aca="false">ROUND(Assumptions!B77*J$6,0)</f>
        <v>18</v>
      </c>
      <c r="K11" s="193" t="n">
        <f aca="false">ROUND(Assumptions!B77*K$6,0)</f>
        <v>20</v>
      </c>
      <c r="L11" s="193" t="n">
        <f aca="false">ROUND(Assumptions!B77*L$6,0)</f>
        <v>20</v>
      </c>
      <c r="M11" s="193" t="n">
        <f aca="false">Assumptions!B77-SUM(B11:L11)</f>
        <v>20</v>
      </c>
      <c r="N11" s="193" t="n">
        <f aca="false">ROUND(Assumptions!C77*N$6,0)</f>
        <v>111</v>
      </c>
      <c r="O11" s="193" t="n">
        <f aca="false">ROUND(Assumptions!C77*O$6,0)</f>
        <v>111</v>
      </c>
      <c r="P11" s="193" t="n">
        <f aca="false">ROUND(Assumptions!C77*P$6,0)</f>
        <v>111</v>
      </c>
      <c r="Q11" s="193" t="n">
        <f aca="false">ROUND(Assumptions!C77*Q$6,0)</f>
        <v>128</v>
      </c>
      <c r="R11" s="193" t="n">
        <f aca="false">ROUND(Assumptions!C77*R$6,0)</f>
        <v>128</v>
      </c>
      <c r="S11" s="193" t="n">
        <f aca="false">ROUND(Assumptions!C77*S$6,0)</f>
        <v>128</v>
      </c>
      <c r="T11" s="193" t="n">
        <f aca="false">ROUND(Assumptions!C77*T$6,0)</f>
        <v>150</v>
      </c>
      <c r="U11" s="193" t="n">
        <f aca="false">ROUND(Assumptions!C77*U$6,0)</f>
        <v>150</v>
      </c>
      <c r="V11" s="193" t="n">
        <f aca="false">ROUND(Assumptions!C77*V$6,0)</f>
        <v>150</v>
      </c>
      <c r="W11" s="193" t="n">
        <f aca="false">ROUND(Assumptions!C77*W$6,0)</f>
        <v>167</v>
      </c>
      <c r="X11" s="193" t="n">
        <f aca="false">ROUND(Assumptions!C77*X$6,0)</f>
        <v>167</v>
      </c>
      <c r="Y11" s="193" t="n">
        <f aca="false">Assumptions!C77-SUM(N11:X11)</f>
        <v>169</v>
      </c>
      <c r="Z11" s="193" t="n">
        <f aca="false">ROUND(Assumptions!D77*Z$6,0)</f>
        <v>53</v>
      </c>
      <c r="AA11" s="193" t="n">
        <f aca="false">ROUND(Assumptions!D77*AA$6,0)</f>
        <v>53</v>
      </c>
      <c r="AB11" s="193" t="n">
        <f aca="false">ROUND(Assumptions!D77*AB$6,0)</f>
        <v>53</v>
      </c>
      <c r="AC11" s="193" t="n">
        <f aca="false">ROUND(Assumptions!D77*AC$6,0)</f>
        <v>60</v>
      </c>
      <c r="AD11" s="193" t="n">
        <f aca="false">ROUND(Assumptions!D77*AD$6,0)</f>
        <v>60</v>
      </c>
      <c r="AE11" s="193" t="n">
        <f aca="false">ROUND(Assumptions!D77*AE$6,0)</f>
        <v>60</v>
      </c>
      <c r="AF11" s="193" t="n">
        <f aca="false">ROUND(Assumptions!D77*AF$6,0)</f>
        <v>71</v>
      </c>
      <c r="AG11" s="193" t="n">
        <f aca="false">ROUND(Assumptions!D77*AG$6,0)</f>
        <v>71</v>
      </c>
      <c r="AH11" s="193" t="n">
        <f aca="false">ROUND(Assumptions!D77*AH$6,0)</f>
        <v>71</v>
      </c>
      <c r="AI11" s="193" t="n">
        <f aca="false">ROUND(Assumptions!D77*AI$6,0)</f>
        <v>79</v>
      </c>
      <c r="AJ11" s="193" t="n">
        <f aca="false">ROUND(Assumptions!D77*AJ$6,0)</f>
        <v>79</v>
      </c>
      <c r="AK11" s="193" t="n">
        <f aca="false">Assumptions!D77-SUM(Z11:AJ11)</f>
        <v>78</v>
      </c>
      <c r="AL11" s="193" t="n">
        <f aca="false">ROUND(Assumptions!E77*AL$6,0)</f>
        <v>82</v>
      </c>
      <c r="AM11" s="193" t="n">
        <f aca="false">ROUND(Assumptions!E77*AM$6,0)</f>
        <v>82</v>
      </c>
      <c r="AN11" s="193" t="n">
        <f aca="false">ROUND(Assumptions!E77*AN$6,0)</f>
        <v>82</v>
      </c>
      <c r="AO11" s="193" t="n">
        <f aca="false">ROUND(Assumptions!E77*AO$6,0)</f>
        <v>94</v>
      </c>
      <c r="AP11" s="193" t="n">
        <f aca="false">ROUND(Assumptions!E77*AP$6,0)</f>
        <v>94</v>
      </c>
      <c r="AQ11" s="193" t="n">
        <f aca="false">ROUND(Assumptions!E77*AQ$6,0)</f>
        <v>94</v>
      </c>
      <c r="AR11" s="193" t="n">
        <f aca="false">ROUND(Assumptions!E77*AR$6,0)</f>
        <v>110</v>
      </c>
      <c r="AS11" s="193" t="n">
        <f aca="false">ROUND(Assumptions!E77*AS$6,0)</f>
        <v>110</v>
      </c>
      <c r="AT11" s="193" t="n">
        <f aca="false">ROUND(Assumptions!E77*AT$6,0)</f>
        <v>110</v>
      </c>
      <c r="AU11" s="193" t="n">
        <f aca="false">ROUND(Assumptions!E77*AU$6,0)</f>
        <v>123</v>
      </c>
      <c r="AV11" s="193" t="n">
        <f aca="false">ROUND(Assumptions!E77*AV$6,0)</f>
        <v>123</v>
      </c>
      <c r="AW11" s="193" t="n">
        <f aca="false">Assumptions!E77-SUM(AL11:AV11)</f>
        <v>123</v>
      </c>
      <c r="AX11" s="193" t="n">
        <f aca="false">ROUND(Assumptions!F77*AX$6,0)</f>
        <v>123</v>
      </c>
      <c r="AY11" s="193" t="n">
        <f aca="false">ROUND(Assumptions!F77*AY$6,0)</f>
        <v>123</v>
      </c>
      <c r="AZ11" s="193" t="n">
        <f aca="false">ROUND(Assumptions!F77*AZ$6,0)</f>
        <v>123</v>
      </c>
      <c r="BA11" s="193" t="n">
        <f aca="false">ROUND(Assumptions!F77*BA$6,0)</f>
        <v>142</v>
      </c>
      <c r="BB11" s="193" t="n">
        <f aca="false">ROUND(Assumptions!F77*BB$6,0)</f>
        <v>142</v>
      </c>
      <c r="BC11" s="193" t="n">
        <f aca="false">ROUND(Assumptions!F77*BC$6,0)</f>
        <v>142</v>
      </c>
      <c r="BD11" s="193" t="n">
        <f aca="false">ROUND(Assumptions!F77*BD$6,0)</f>
        <v>167</v>
      </c>
      <c r="BE11" s="193" t="n">
        <f aca="false">ROUND(Assumptions!F77*BE$6,0)</f>
        <v>167</v>
      </c>
      <c r="BF11" s="193" t="n">
        <f aca="false">ROUND(Assumptions!F77*BF$6,0)</f>
        <v>167</v>
      </c>
      <c r="BG11" s="193" t="n">
        <f aca="false">ROUND(Assumptions!F77*BG$6,0)</f>
        <v>185</v>
      </c>
      <c r="BH11" s="193" t="n">
        <f aca="false">ROUND(Assumptions!F77*BH$6,0)</f>
        <v>185</v>
      </c>
      <c r="BI11" s="193" t="n">
        <f aca="false">Assumptions!F77-SUM(AX11:BH11)</f>
        <v>186</v>
      </c>
    </row>
    <row r="12" customFormat="false" ht="15" hidden="false" customHeight="true" outlineLevel="0" collapsed="false">
      <c r="A12" s="195" t="s">
        <v>415</v>
      </c>
      <c r="B12" s="195"/>
      <c r="C12" s="195"/>
      <c r="D12" s="195"/>
      <c r="E12" s="195"/>
      <c r="F12" s="195"/>
    </row>
    <row r="13" customFormat="false" ht="15" hidden="false" customHeight="true" outlineLevel="0" collapsed="false">
      <c r="A13" s="196" t="s">
        <v>416</v>
      </c>
      <c r="B13" s="197" t="s">
        <v>84</v>
      </c>
      <c r="C13" s="197" t="s">
        <v>85</v>
      </c>
      <c r="D13" s="197" t="s">
        <v>86</v>
      </c>
      <c r="E13" s="197" t="s">
        <v>87</v>
      </c>
      <c r="F13" s="197" t="s">
        <v>88</v>
      </c>
    </row>
    <row r="14" customFormat="false" ht="21.75" hidden="false" customHeight="true" outlineLevel="0" collapsed="false">
      <c r="A14" s="84" t="s">
        <v>417</v>
      </c>
      <c r="B14" s="85" t="n">
        <f aca="false">SUM(B7:D7)</f>
        <v>3964285.71428571</v>
      </c>
      <c r="C14" s="85" t="n">
        <f aca="false">SUM(N7:P7)</f>
        <v>105500000</v>
      </c>
      <c r="D14" s="85" t="n">
        <f aca="false">SUM(Z7:AB7)</f>
        <v>140000000</v>
      </c>
      <c r="E14" s="85" t="n">
        <f aca="false">SUM(AL7:AN7)</f>
        <v>270000000</v>
      </c>
      <c r="F14" s="85" t="n">
        <f aca="false">SUM(AX7:AZ7)</f>
        <v>500000000</v>
      </c>
    </row>
    <row r="15" customFormat="false" ht="15" hidden="false" customHeight="true" outlineLevel="0" collapsed="false">
      <c r="A15" s="84" t="s">
        <v>418</v>
      </c>
      <c r="B15" s="85" t="n">
        <f aca="false">SUM(E7:G7)</f>
        <v>6838392.85714286</v>
      </c>
      <c r="C15" s="85" t="n">
        <f aca="false">SUM(Q7:S7)</f>
        <v>121325000</v>
      </c>
      <c r="D15" s="85" t="n">
        <f aca="false">SUM(AC7:AE7)</f>
        <v>161000000</v>
      </c>
      <c r="E15" s="85" t="n">
        <f aca="false">SUM(AO7:AQ7)</f>
        <v>310500000</v>
      </c>
      <c r="F15" s="85" t="n">
        <f aca="false">SUM(BA7:BC7)</f>
        <v>575000000</v>
      </c>
    </row>
    <row r="16" customFormat="false" ht="15" hidden="false" customHeight="true" outlineLevel="0" collapsed="false">
      <c r="A16" s="84" t="s">
        <v>419</v>
      </c>
      <c r="B16" s="85" t="n">
        <f aca="false">SUM(H7:J7)</f>
        <v>8027678.57142858</v>
      </c>
      <c r="C16" s="85" t="n">
        <f aca="false">SUM(T7:V7)</f>
        <v>142425000</v>
      </c>
      <c r="D16" s="85" t="n">
        <f aca="false">SUM(AF7:AH7)</f>
        <v>189000000</v>
      </c>
      <c r="E16" s="85" t="n">
        <f aca="false">SUM(AR7:AT7)</f>
        <v>364500000</v>
      </c>
      <c r="F16" s="85" t="n">
        <f aca="false">SUM(BD7:BF7)</f>
        <v>675000000</v>
      </c>
    </row>
    <row r="17" customFormat="false" ht="15" hidden="false" customHeight="true" outlineLevel="0" collapsed="false">
      <c r="A17" s="84" t="s">
        <v>420</v>
      </c>
      <c r="B17" s="85" t="n">
        <f aca="false">SUM(K7:M7)</f>
        <v>8919642.85714285</v>
      </c>
      <c r="C17" s="85" t="n">
        <f aca="false">SUM(W7:Y7)</f>
        <v>158250000</v>
      </c>
      <c r="D17" s="85" t="n">
        <f aca="false">SUM(AI7:AK7)</f>
        <v>210000000</v>
      </c>
      <c r="E17" s="85" t="n">
        <f aca="false">SUM(AU7:AW7)</f>
        <v>405000000</v>
      </c>
      <c r="F17" s="85" t="n">
        <f aca="false">SUM(BG7:BI7)</f>
        <v>750000000</v>
      </c>
    </row>
    <row r="18" customFormat="false" ht="15" hidden="false" customHeight="true" outlineLevel="0" collapsed="false">
      <c r="A18" s="84" t="s">
        <v>365</v>
      </c>
      <c r="B18" s="85" t="n">
        <f aca="false">SUM(B14:B17)</f>
        <v>27750000</v>
      </c>
      <c r="C18" s="85" t="n">
        <f aca="false">SUM(C14:C17)</f>
        <v>527500000</v>
      </c>
      <c r="D18" s="85" t="n">
        <f aca="false">SUM(D14:D17)</f>
        <v>700000000</v>
      </c>
      <c r="E18" s="85" t="n">
        <f aca="false">SUM(E14:E17)</f>
        <v>1350000000</v>
      </c>
      <c r="F18" s="85" t="n">
        <f aca="false">SUM(F14:F17)</f>
        <v>2500000000</v>
      </c>
    </row>
    <row r="19" customFormat="false" ht="15" hidden="false" customHeight="true" outlineLevel="0" collapsed="false">
      <c r="A19" s="1" t="s">
        <v>87</v>
      </c>
      <c r="B19" s="198" t="n">
        <f aca="false">SUM(AL9:AN9)/1000000</f>
        <v>270</v>
      </c>
      <c r="C19" s="198" t="n">
        <f aca="false">SUM(AO9:AQ9)/1000000</f>
        <v>310.5</v>
      </c>
      <c r="D19" s="198" t="n">
        <f aca="false">SUM(AR9:AT9)/1000000</f>
        <v>364.5</v>
      </c>
      <c r="E19" s="198" t="n">
        <f aca="false">SUM(AU9:AW9)/1000000</f>
        <v>405</v>
      </c>
      <c r="F19" s="198" t="n">
        <f aca="false">SUM(B19:E19)</f>
        <v>1350</v>
      </c>
    </row>
    <row r="20" customFormat="false" ht="15" hidden="false" customHeight="true" outlineLevel="0" collapsed="false">
      <c r="A20" s="1" t="s">
        <v>88</v>
      </c>
      <c r="B20" s="198" t="n">
        <f aca="false">SUM(AX9:AZ9)/1000000</f>
        <v>500</v>
      </c>
      <c r="C20" s="198" t="n">
        <f aca="false">SUM(BA9:BC9)/1000000</f>
        <v>575</v>
      </c>
      <c r="D20" s="198" t="n">
        <f aca="false">SUM(BD9:BF9)/1000000</f>
        <v>675</v>
      </c>
      <c r="E20" s="198" t="n">
        <f aca="false">SUM(BG9:BI9)/1000000</f>
        <v>750</v>
      </c>
      <c r="F20" s="198" t="n">
        <f aca="false">SUM(B20:E20)</f>
        <v>2500</v>
      </c>
    </row>
  </sheetData>
  <mergeCells count="2">
    <mergeCell ref="A1:BI1"/>
    <mergeCell ref="A12:F12"/>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6.29"/>
    <col collapsed="false" customWidth="true" hidden="false" outlineLevel="0" max="5" min="2" style="1" width="14"/>
    <col collapsed="false" customWidth="true" hidden="false" outlineLevel="0" max="6" min="6" style="1" width="12.42"/>
    <col collapsed="false" customWidth="true" hidden="false" outlineLevel="0" max="65" min="7" style="1" width="10"/>
  </cols>
  <sheetData>
    <row r="1" customFormat="false" ht="30.75" hidden="false" customHeight="true" outlineLevel="0" collapsed="false">
      <c r="A1" s="11" t="s">
        <v>421</v>
      </c>
      <c r="B1" s="11"/>
      <c r="C1" s="11"/>
      <c r="D1" s="11"/>
      <c r="E1" s="11"/>
      <c r="F1" s="11"/>
    </row>
    <row r="3" customFormat="false" ht="15" hidden="false" customHeight="true" outlineLevel="0" collapsed="false">
      <c r="A3" s="199" t="s">
        <v>83</v>
      </c>
      <c r="B3" s="200" t="s">
        <v>84</v>
      </c>
      <c r="C3" s="200" t="s">
        <v>85</v>
      </c>
      <c r="D3" s="200" t="s">
        <v>86</v>
      </c>
      <c r="E3" s="200" t="s">
        <v>87</v>
      </c>
      <c r="F3" s="200" t="s">
        <v>88</v>
      </c>
    </row>
    <row r="4" customFormat="false" ht="15" hidden="false" customHeight="true" outlineLevel="0" collapsed="false">
      <c r="A4" s="201" t="s">
        <v>422</v>
      </c>
      <c r="B4" s="85" t="n">
        <f aca="false">0</f>
        <v>0</v>
      </c>
      <c r="C4" s="85" t="n">
        <f aca="false">B7</f>
        <v>20672304.09</v>
      </c>
      <c r="D4" s="85" t="n">
        <f aca="false">C7</f>
        <v>452602220.2</v>
      </c>
      <c r="E4" s="85" t="n">
        <f aca="false">D7</f>
        <v>866561332.12</v>
      </c>
      <c r="F4" s="85" t="n">
        <f aca="false">E7</f>
        <v>1667436799.272</v>
      </c>
    </row>
    <row r="5" customFormat="false" ht="15" hidden="false" customHeight="true" outlineLevel="0" collapsed="false">
      <c r="A5" s="201" t="s">
        <v>423</v>
      </c>
      <c r="B5" s="85" t="n">
        <f aca="false">Assumptions!B76*(1-Assumptions!$B$25)</f>
        <v>23587500</v>
      </c>
      <c r="C5" s="85" t="n">
        <f aca="false">Assumptions!C76*(1-Assumptions!$B$25)</f>
        <v>448375000</v>
      </c>
      <c r="D5" s="85" t="n">
        <f aca="false">Assumptions!D76*(1-Assumptions!$B$25)</f>
        <v>595000000</v>
      </c>
      <c r="E5" s="85" t="n">
        <f aca="false">Assumptions!E76*(1-Assumptions!$B$25)</f>
        <v>1147500000</v>
      </c>
      <c r="F5" s="85" t="n">
        <f aca="false">Assumptions!F76*(1-Assumptions!$B$25)</f>
        <v>2125000000</v>
      </c>
    </row>
    <row r="6" customFormat="false" ht="15" hidden="false" customHeight="true" outlineLevel="0" collapsed="false">
      <c r="A6" s="201" t="s">
        <v>424</v>
      </c>
      <c r="B6" s="85" t="n">
        <f aca="false">B4+B5-Assumptions!B79</f>
        <v>2915195.91</v>
      </c>
      <c r="C6" s="85" t="n">
        <f aca="false">C4+C5-Assumptions!C79</f>
        <v>16445083.89</v>
      </c>
      <c r="D6" s="85" t="n">
        <f aca="false">D4+D5-Assumptions!D79</f>
        <v>181040888.08</v>
      </c>
      <c r="E6" s="85" t="n">
        <f aca="false">E4+E5-Assumptions!E79</f>
        <v>346624532.848</v>
      </c>
      <c r="F6" s="85" t="n">
        <f aca="false">F4+F5-Assumptions!F79</f>
        <v>666974719.7088</v>
      </c>
    </row>
    <row r="7" customFormat="false" ht="15" hidden="false" customHeight="true" outlineLevel="0" collapsed="false">
      <c r="A7" s="201" t="s">
        <v>425</v>
      </c>
      <c r="B7" s="85" t="n">
        <f aca="false">B4+B5-B6</f>
        <v>20672304.09</v>
      </c>
      <c r="C7" s="85" t="n">
        <f aca="false">C4+C5-C6</f>
        <v>452602220.2</v>
      </c>
      <c r="D7" s="85" t="n">
        <f aca="false">D4+D5-D6</f>
        <v>866561332.12</v>
      </c>
      <c r="E7" s="85" t="n">
        <f aca="false">E4+E5-E6</f>
        <v>1667436799.272</v>
      </c>
      <c r="F7" s="85" t="n">
        <f aca="false">F4+F5-F6</f>
        <v>3125462079.5632</v>
      </c>
    </row>
    <row r="8" customFormat="false" ht="15" hidden="false" customHeight="true" outlineLevel="0" collapsed="false">
      <c r="A8" s="201" t="s">
        <v>426</v>
      </c>
      <c r="B8" s="85" t="n">
        <f aca="false">B7-'Balance Sheet'!B6</f>
        <v>0</v>
      </c>
      <c r="C8" s="85" t="n">
        <f aca="false">C7-'Balance Sheet'!C6</f>
        <v>0</v>
      </c>
      <c r="D8" s="85" t="n">
        <f aca="false">D7-'Balance Sheet'!D6</f>
        <v>0</v>
      </c>
      <c r="E8" s="85" t="n">
        <f aca="false">E7-'Balance Sheet'!E6</f>
        <v>0</v>
      </c>
      <c r="F8" s="85" t="n">
        <f aca="false">F7-'Balance Sheet'!F6</f>
        <v>0</v>
      </c>
    </row>
  </sheetData>
  <mergeCells count="1">
    <mergeCell ref="A1:F1"/>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28"/>
    <col collapsed="false" customWidth="true" hidden="false" outlineLevel="0" max="6" min="2" style="1" width="24"/>
    <col collapsed="false" customWidth="true" hidden="false" outlineLevel="0" max="66" min="7" style="1" width="10"/>
  </cols>
  <sheetData>
    <row r="1" customFormat="false" ht="30.75" hidden="false" customHeight="true" outlineLevel="0" collapsed="false">
      <c r="A1" s="11" t="s">
        <v>427</v>
      </c>
      <c r="B1" s="11"/>
      <c r="C1" s="11"/>
      <c r="D1" s="11"/>
      <c r="E1" s="11"/>
      <c r="F1" s="11"/>
    </row>
    <row r="3" customFormat="false" ht="15" hidden="false" customHeight="true" outlineLevel="0" collapsed="false">
      <c r="A3" s="199" t="s">
        <v>83</v>
      </c>
      <c r="B3" s="200" t="s">
        <v>84</v>
      </c>
      <c r="C3" s="200" t="s">
        <v>85</v>
      </c>
      <c r="D3" s="200" t="s">
        <v>86</v>
      </c>
      <c r="E3" s="200" t="s">
        <v>87</v>
      </c>
      <c r="F3" s="200" t="s">
        <v>88</v>
      </c>
    </row>
    <row r="4" customFormat="false" ht="15" hidden="false" customHeight="true" outlineLevel="0" collapsed="false">
      <c r="A4" s="84" t="s">
        <v>422</v>
      </c>
      <c r="B4" s="85" t="n">
        <f aca="false">0</f>
        <v>0</v>
      </c>
      <c r="C4" s="85" t="n">
        <f aca="false">'Balance Sheet'!B6</f>
        <v>20672304.09</v>
      </c>
      <c r="D4" s="85" t="n">
        <f aca="false">'Balance Sheet'!C6</f>
        <v>452602220.2</v>
      </c>
      <c r="E4" s="85" t="n">
        <f aca="false">'Balance Sheet'!D6</f>
        <v>866561332.12</v>
      </c>
      <c r="F4" s="85" t="n">
        <f aca="false">'Balance Sheet'!E6</f>
        <v>1667436799.272</v>
      </c>
    </row>
    <row r="5" customFormat="false" ht="15" hidden="false" customHeight="true" outlineLevel="0" collapsed="false">
      <c r="A5" s="84" t="s">
        <v>425</v>
      </c>
      <c r="B5" s="85" t="n">
        <f aca="false">'Balance Sheet'!B6</f>
        <v>20672304.09</v>
      </c>
      <c r="C5" s="85" t="n">
        <f aca="false">'Balance Sheet'!C6</f>
        <v>452602220.2</v>
      </c>
      <c r="D5" s="85" t="n">
        <f aca="false">'Balance Sheet'!D6</f>
        <v>866561332.12</v>
      </c>
      <c r="E5" s="85" t="n">
        <f aca="false">'Balance Sheet'!E6</f>
        <v>1667436799.272</v>
      </c>
      <c r="F5" s="85" t="n">
        <f aca="false">'Balance Sheet'!F6</f>
        <v>3125462079.5632</v>
      </c>
    </row>
    <row r="6" customFormat="false" ht="15" hidden="false" customHeight="true" outlineLevel="0" collapsed="false">
      <c r="A6" s="84" t="s">
        <v>428</v>
      </c>
      <c r="B6" s="85" t="n">
        <f aca="false">AVERAGE(B4,B5)</f>
        <v>10336152.045</v>
      </c>
      <c r="C6" s="85" t="n">
        <f aca="false">AVERAGE(C4,C5)</f>
        <v>236637262.145</v>
      </c>
      <c r="D6" s="85" t="n">
        <f aca="false">AVERAGE(D4,D5)</f>
        <v>659581776.16</v>
      </c>
      <c r="E6" s="85" t="n">
        <f aca="false">AVERAGE(E4,E5)</f>
        <v>1266999065.696</v>
      </c>
      <c r="F6" s="85" t="n">
        <f aca="false">AVERAGE(F4,F5)</f>
        <v>2396449439.4176</v>
      </c>
    </row>
    <row r="7" customFormat="false" ht="15" hidden="false" customHeight="true" outlineLevel="0" collapsed="false">
      <c r="A7" s="84" t="s">
        <v>429</v>
      </c>
      <c r="B7" s="96" t="n">
        <f aca="false">Assumptions!B6</f>
        <v>0.34</v>
      </c>
      <c r="C7" s="96" t="n">
        <f aca="false">Assumptions!C6</f>
        <v>0.32</v>
      </c>
      <c r="D7" s="96" t="n">
        <f aca="false">Assumptions!D6</f>
        <v>0.3</v>
      </c>
      <c r="E7" s="96" t="n">
        <f aca="false">Assumptions!E6</f>
        <v>0.28</v>
      </c>
      <c r="F7" s="96" t="n">
        <f aca="false">Assumptions!F6</f>
        <v>0.26</v>
      </c>
    </row>
    <row r="8" customFormat="false" ht="15" hidden="false" customHeight="true" outlineLevel="0" collapsed="false">
      <c r="A8" s="84" t="s">
        <v>208</v>
      </c>
      <c r="B8" s="85" t="n">
        <v>3538847.96</v>
      </c>
      <c r="C8" s="85" t="n">
        <v>45873640.26</v>
      </c>
      <c r="D8" s="85" t="n">
        <f aca="false">D6*D7</f>
        <v>197874532.848</v>
      </c>
      <c r="E8" s="85" t="n">
        <f aca="false">E6*E7</f>
        <v>354759738.39488</v>
      </c>
      <c r="F8" s="85" t="n">
        <f aca="false">F6*F7</f>
        <v>623076854.248576</v>
      </c>
    </row>
    <row r="9" customFormat="false" ht="48" hidden="false" customHeight="true" outlineLevel="0" collapsed="false">
      <c r="A9" s="202" t="s">
        <v>430</v>
      </c>
      <c r="B9" s="113" t="s">
        <v>431</v>
      </c>
      <c r="C9" s="113" t="s">
        <v>432</v>
      </c>
      <c r="D9" s="113" t="s">
        <v>433</v>
      </c>
      <c r="E9" s="113" t="s">
        <v>433</v>
      </c>
      <c r="F9" s="113" t="s">
        <v>433</v>
      </c>
    </row>
    <row r="10" customFormat="false" ht="27.75" hidden="false" customHeight="true" outlineLevel="0" collapsed="false">
      <c r="A10" s="202" t="s">
        <v>434</v>
      </c>
      <c r="B10" s="203" t="n">
        <f aca="false">IFERROR(B8/B6,0)</f>
        <v>0.342375764655269</v>
      </c>
      <c r="C10" s="203" t="n">
        <f aca="false">IFERROR(C8/C6,0)</f>
        <v>0.193856368368101</v>
      </c>
      <c r="D10" s="203" t="n">
        <f aca="false">IFERROR(D8/D6,0)</f>
        <v>0.3</v>
      </c>
      <c r="E10" s="203" t="n">
        <f aca="false">IFERROR(E8/E6,0)</f>
        <v>0.28</v>
      </c>
      <c r="F10" s="203" t="n">
        <f aca="false">IFERROR(F8/F6,0)</f>
        <v>0.26</v>
      </c>
    </row>
  </sheetData>
  <mergeCells count="1">
    <mergeCell ref="A1:F1"/>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10"/>
    <col collapsed="false" customWidth="true" hidden="false" outlineLevel="0" max="5" min="2" style="1" width="14"/>
    <col collapsed="false" customWidth="true" hidden="false" outlineLevel="0" max="65" min="6" style="1" width="10"/>
  </cols>
  <sheetData>
    <row r="1" customFormat="false" ht="30.75" hidden="false" customHeight="true" outlineLevel="0" collapsed="false">
      <c r="A1" s="11" t="s">
        <v>435</v>
      </c>
      <c r="B1" s="11"/>
      <c r="C1" s="11"/>
      <c r="D1" s="11"/>
      <c r="E1" s="11"/>
      <c r="F1" s="11"/>
    </row>
    <row r="3" customFormat="false" ht="15" hidden="false" customHeight="true" outlineLevel="0" collapsed="false">
      <c r="A3" s="199" t="s">
        <v>83</v>
      </c>
      <c r="B3" s="200" t="s">
        <v>84</v>
      </c>
      <c r="C3" s="200" t="s">
        <v>85</v>
      </c>
      <c r="D3" s="200" t="s">
        <v>86</v>
      </c>
      <c r="E3" s="200" t="s">
        <v>87</v>
      </c>
      <c r="F3" s="200" t="s">
        <v>88</v>
      </c>
    </row>
    <row r="4" customFormat="false" ht="15" hidden="false" customHeight="true" outlineLevel="0" collapsed="false">
      <c r="A4" s="84" t="s">
        <v>204</v>
      </c>
      <c r="B4" s="85" t="n">
        <f aca="false">Assumptions!B76</f>
        <v>27750000</v>
      </c>
      <c r="C4" s="85" t="n">
        <f aca="false">Assumptions!C76</f>
        <v>527500000</v>
      </c>
      <c r="D4" s="85" t="n">
        <f aca="false">Assumptions!D76</f>
        <v>700000000</v>
      </c>
      <c r="E4" s="85" t="n">
        <f aca="false">Assumptions!E76</f>
        <v>1350000000</v>
      </c>
      <c r="F4" s="85" t="n">
        <f aca="false">Assumptions!F76</f>
        <v>2500000000</v>
      </c>
    </row>
    <row r="5" customFormat="false" ht="15" hidden="false" customHeight="true" outlineLevel="0" collapsed="false">
      <c r="A5" s="84" t="s">
        <v>436</v>
      </c>
      <c r="B5" s="96" t="n">
        <f aca="false">Assumptions!B26</f>
        <v>0.05</v>
      </c>
      <c r="C5" s="96" t="n">
        <f aca="false">Assumptions!C26</f>
        <v>0.07</v>
      </c>
      <c r="D5" s="96" t="n">
        <f aca="false">Assumptions!D26</f>
        <v>0.06</v>
      </c>
      <c r="E5" s="96" t="n">
        <f aca="false">Assumptions!E26</f>
        <v>0.06</v>
      </c>
      <c r="F5" s="96" t="n">
        <f aca="false">Assumptions!F26</f>
        <v>0.06</v>
      </c>
    </row>
    <row r="6" customFormat="false" ht="15" hidden="false" customHeight="true" outlineLevel="0" collapsed="false">
      <c r="A6" s="84" t="s">
        <v>437</v>
      </c>
      <c r="B6" s="85" t="n">
        <f aca="false">B4*B5</f>
        <v>1387500</v>
      </c>
      <c r="C6" s="85" t="n">
        <f aca="false">C4*C5</f>
        <v>36925000</v>
      </c>
      <c r="D6" s="85" t="n">
        <f aca="false">D4*D5</f>
        <v>42000000</v>
      </c>
      <c r="E6" s="85" t="n">
        <f aca="false">E4*E5</f>
        <v>81000000</v>
      </c>
      <c r="F6" s="85" t="n">
        <f aca="false">F4*F5</f>
        <v>150000000</v>
      </c>
    </row>
    <row r="7" customFormat="false" ht="15" hidden="false" customHeight="true" outlineLevel="0" collapsed="false">
      <c r="A7" s="84" t="s">
        <v>438</v>
      </c>
      <c r="B7" s="85" t="n">
        <f aca="false">Assumptions!B81</f>
        <v>1387500</v>
      </c>
      <c r="C7" s="85" t="n">
        <f aca="false">Assumptions!C81</f>
        <v>36925000</v>
      </c>
      <c r="D7" s="85" t="n">
        <f aca="false">Assumptions!D81</f>
        <v>42000000</v>
      </c>
      <c r="E7" s="85" t="n">
        <f aca="false">Assumptions!E81</f>
        <v>81000000</v>
      </c>
      <c r="F7" s="85" t="n">
        <f aca="false">Assumptions!F81</f>
        <v>150000000</v>
      </c>
    </row>
    <row r="8" customFormat="false" ht="15" hidden="false" customHeight="true" outlineLevel="0" collapsed="false">
      <c r="A8" s="84" t="s">
        <v>210</v>
      </c>
      <c r="B8" s="85" t="n">
        <f aca="false">'Income Statement'!B13</f>
        <v>3118262.4</v>
      </c>
      <c r="C8" s="85" t="n">
        <f aca="false">'Income Statement'!C13</f>
        <v>0</v>
      </c>
      <c r="D8" s="85" t="n">
        <f aca="false">'Income Statement'!D13</f>
        <v>5600000</v>
      </c>
      <c r="E8" s="85" t="n">
        <f aca="false">'Income Statement'!E13</f>
        <v>10800000</v>
      </c>
      <c r="F8" s="85" t="n">
        <f aca="false">'Income Statement'!F13</f>
        <v>20000000</v>
      </c>
    </row>
  </sheetData>
  <mergeCells count="1">
    <mergeCell ref="A1:F1"/>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I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8"/>
    <col collapsed="false" customWidth="true" hidden="false" outlineLevel="0" max="61" min="2" style="1" width="12"/>
  </cols>
  <sheetData>
    <row r="1" customFormat="false" ht="30.75" hidden="false" customHeight="true" outlineLevel="0" collapsed="false">
      <c r="A1" s="11" t="s">
        <v>439</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row>
    <row r="3" customFormat="false" ht="15" hidden="false" customHeight="true" outlineLevel="0" collapsed="false">
      <c r="A3" s="105" t="s">
        <v>407</v>
      </c>
      <c r="B3" s="204" t="n">
        <v>46388</v>
      </c>
      <c r="C3" s="205" t="n">
        <v>46419</v>
      </c>
      <c r="D3" s="206" t="n">
        <v>46447</v>
      </c>
      <c r="E3" s="207" t="n">
        <v>46478</v>
      </c>
      <c r="F3" s="208" t="n">
        <v>46508</v>
      </c>
      <c r="G3" s="209" t="n">
        <v>46539</v>
      </c>
      <c r="H3" s="210" t="n">
        <v>46569</v>
      </c>
      <c r="I3" s="211" t="n">
        <v>46600</v>
      </c>
      <c r="J3" s="212" t="n">
        <v>46631</v>
      </c>
      <c r="K3" s="213" t="n">
        <v>46661</v>
      </c>
      <c r="L3" s="214" t="n">
        <v>46692</v>
      </c>
      <c r="M3" s="215" t="n">
        <v>46722</v>
      </c>
      <c r="N3" s="216" t="n">
        <v>46753</v>
      </c>
      <c r="O3" s="217" t="n">
        <v>46784</v>
      </c>
      <c r="P3" s="218" t="n">
        <v>46813</v>
      </c>
      <c r="Q3" s="219" t="n">
        <v>46844</v>
      </c>
      <c r="R3" s="220" t="n">
        <v>46874</v>
      </c>
      <c r="S3" s="221" t="n">
        <v>46905</v>
      </c>
      <c r="T3" s="222" t="n">
        <v>46935</v>
      </c>
      <c r="U3" s="223" t="n">
        <v>46966</v>
      </c>
      <c r="V3" s="224" t="n">
        <v>46997</v>
      </c>
      <c r="W3" s="225" t="n">
        <v>47027</v>
      </c>
      <c r="X3" s="226" t="n">
        <v>47058</v>
      </c>
      <c r="Y3" s="227" t="n">
        <v>47088</v>
      </c>
      <c r="Z3" s="228" t="n">
        <v>47119</v>
      </c>
      <c r="AA3" s="229" t="n">
        <v>47150</v>
      </c>
      <c r="AB3" s="230" t="n">
        <v>47178</v>
      </c>
      <c r="AC3" s="231" t="n">
        <v>47209</v>
      </c>
      <c r="AD3" s="232" t="n">
        <v>47239</v>
      </c>
      <c r="AE3" s="233" t="n">
        <v>47270</v>
      </c>
      <c r="AF3" s="234" t="n">
        <v>47300</v>
      </c>
      <c r="AG3" s="235" t="n">
        <v>47331</v>
      </c>
      <c r="AH3" s="236" t="n">
        <v>47362</v>
      </c>
      <c r="AI3" s="237" t="n">
        <v>47392</v>
      </c>
      <c r="AJ3" s="238" t="n">
        <v>47423</v>
      </c>
      <c r="AK3" s="239" t="n">
        <v>47453</v>
      </c>
      <c r="AL3" s="240" t="n">
        <v>47484</v>
      </c>
      <c r="AM3" s="241" t="n">
        <v>47515</v>
      </c>
      <c r="AN3" s="242" t="n">
        <v>47543</v>
      </c>
      <c r="AO3" s="243" t="n">
        <v>47574</v>
      </c>
      <c r="AP3" s="244" t="n">
        <v>47604</v>
      </c>
      <c r="AQ3" s="245" t="n">
        <v>47635</v>
      </c>
      <c r="AR3" s="246" t="n">
        <v>47665</v>
      </c>
      <c r="AS3" s="247" t="n">
        <v>47696</v>
      </c>
      <c r="AT3" s="248" t="n">
        <v>47727</v>
      </c>
      <c r="AU3" s="249" t="n">
        <v>47757</v>
      </c>
      <c r="AV3" s="250" t="n">
        <v>47788</v>
      </c>
      <c r="AW3" s="251" t="n">
        <v>47818</v>
      </c>
      <c r="AX3" s="252" t="n">
        <v>47849</v>
      </c>
      <c r="AY3" s="253" t="n">
        <v>47880</v>
      </c>
      <c r="AZ3" s="254" t="n">
        <v>47908</v>
      </c>
      <c r="BA3" s="255" t="n">
        <v>47939</v>
      </c>
      <c r="BB3" s="256" t="n">
        <v>47969</v>
      </c>
      <c r="BC3" s="257" t="n">
        <v>48000</v>
      </c>
      <c r="BD3" s="258" t="n">
        <v>48030</v>
      </c>
      <c r="BE3" s="259" t="n">
        <v>48061</v>
      </c>
      <c r="BF3" s="260" t="n">
        <v>48092</v>
      </c>
      <c r="BG3" s="261" t="n">
        <v>48122</v>
      </c>
      <c r="BH3" s="262" t="n">
        <v>48153</v>
      </c>
      <c r="BI3" s="263" t="n">
        <v>48183</v>
      </c>
    </row>
    <row r="4" customFormat="false" ht="15" hidden="false" customHeight="true" outlineLevel="0" collapsed="false">
      <c r="A4" s="105" t="s">
        <v>408</v>
      </c>
      <c r="B4" s="264" t="n">
        <v>2027</v>
      </c>
      <c r="C4" s="264" t="n">
        <v>2027</v>
      </c>
      <c r="D4" s="264" t="n">
        <v>2027</v>
      </c>
      <c r="E4" s="264" t="n">
        <v>2027</v>
      </c>
      <c r="F4" s="264" t="n">
        <v>2027</v>
      </c>
      <c r="G4" s="264" t="n">
        <v>2027</v>
      </c>
      <c r="H4" s="264" t="n">
        <v>2027</v>
      </c>
      <c r="I4" s="264" t="n">
        <v>2027</v>
      </c>
      <c r="J4" s="264" t="n">
        <v>2027</v>
      </c>
      <c r="K4" s="264" t="n">
        <v>2027</v>
      </c>
      <c r="L4" s="264" t="n">
        <v>2027</v>
      </c>
      <c r="M4" s="264" t="n">
        <v>2027</v>
      </c>
      <c r="N4" s="265" t="n">
        <v>2028</v>
      </c>
      <c r="O4" s="265" t="n">
        <v>2028</v>
      </c>
      <c r="P4" s="265" t="n">
        <v>2028</v>
      </c>
      <c r="Q4" s="265" t="n">
        <v>2028</v>
      </c>
      <c r="R4" s="265" t="n">
        <v>2028</v>
      </c>
      <c r="S4" s="265" t="n">
        <v>2028</v>
      </c>
      <c r="T4" s="265" t="n">
        <v>2028</v>
      </c>
      <c r="U4" s="265" t="n">
        <v>2028</v>
      </c>
      <c r="V4" s="265" t="n">
        <v>2028</v>
      </c>
      <c r="W4" s="265" t="n">
        <v>2028</v>
      </c>
      <c r="X4" s="265" t="n">
        <v>2028</v>
      </c>
      <c r="Y4" s="265" t="n">
        <v>2028</v>
      </c>
      <c r="Z4" s="266" t="n">
        <v>2029</v>
      </c>
      <c r="AA4" s="266" t="n">
        <v>2029</v>
      </c>
      <c r="AB4" s="266" t="n">
        <v>2029</v>
      </c>
      <c r="AC4" s="266" t="n">
        <v>2029</v>
      </c>
      <c r="AD4" s="266" t="n">
        <v>2029</v>
      </c>
      <c r="AE4" s="266" t="n">
        <v>2029</v>
      </c>
      <c r="AF4" s="266" t="n">
        <v>2029</v>
      </c>
      <c r="AG4" s="266" t="n">
        <v>2029</v>
      </c>
      <c r="AH4" s="266" t="n">
        <v>2029</v>
      </c>
      <c r="AI4" s="266" t="n">
        <v>2029</v>
      </c>
      <c r="AJ4" s="266" t="n">
        <v>2029</v>
      </c>
      <c r="AK4" s="266" t="n">
        <v>2029</v>
      </c>
      <c r="AL4" s="267" t="n">
        <v>2030</v>
      </c>
      <c r="AM4" s="267" t="n">
        <v>2030</v>
      </c>
      <c r="AN4" s="267" t="n">
        <v>2030</v>
      </c>
      <c r="AO4" s="267" t="n">
        <v>2030</v>
      </c>
      <c r="AP4" s="267" t="n">
        <v>2030</v>
      </c>
      <c r="AQ4" s="267" t="n">
        <v>2030</v>
      </c>
      <c r="AR4" s="267" t="n">
        <v>2030</v>
      </c>
      <c r="AS4" s="267" t="n">
        <v>2030</v>
      </c>
      <c r="AT4" s="267" t="n">
        <v>2030</v>
      </c>
      <c r="AU4" s="267" t="n">
        <v>2030</v>
      </c>
      <c r="AV4" s="267" t="n">
        <v>2030</v>
      </c>
      <c r="AW4" s="267" t="n">
        <v>2030</v>
      </c>
      <c r="AX4" s="268" t="n">
        <v>2031</v>
      </c>
      <c r="AY4" s="268" t="n">
        <v>2031</v>
      </c>
      <c r="AZ4" s="268" t="n">
        <v>2031</v>
      </c>
      <c r="BA4" s="268" t="n">
        <v>2031</v>
      </c>
      <c r="BB4" s="268" t="n">
        <v>2031</v>
      </c>
      <c r="BC4" s="268" t="n">
        <v>2031</v>
      </c>
      <c r="BD4" s="268" t="n">
        <v>2031</v>
      </c>
      <c r="BE4" s="268" t="n">
        <v>2031</v>
      </c>
      <c r="BF4" s="268" t="n">
        <v>2031</v>
      </c>
      <c r="BG4" s="268" t="n">
        <v>2031</v>
      </c>
      <c r="BH4" s="268" t="n">
        <v>2031</v>
      </c>
      <c r="BI4" s="268" t="n">
        <v>2031</v>
      </c>
    </row>
    <row r="5" customFormat="false" ht="15" hidden="false" customHeight="true" outlineLevel="0" collapsed="false">
      <c r="A5" s="105" t="s">
        <v>409</v>
      </c>
      <c r="B5" s="269" t="n">
        <v>1</v>
      </c>
      <c r="C5" s="269" t="n">
        <v>2</v>
      </c>
      <c r="D5" s="269" t="n">
        <v>3</v>
      </c>
      <c r="E5" s="269" t="n">
        <v>4</v>
      </c>
      <c r="F5" s="269" t="n">
        <v>5</v>
      </c>
      <c r="G5" s="269" t="n">
        <v>6</v>
      </c>
      <c r="H5" s="269" t="n">
        <v>7</v>
      </c>
      <c r="I5" s="269" t="n">
        <v>8</v>
      </c>
      <c r="J5" s="269" t="n">
        <v>9</v>
      </c>
      <c r="K5" s="269" t="n">
        <v>10</v>
      </c>
      <c r="L5" s="269" t="n">
        <v>11</v>
      </c>
      <c r="M5" s="269" t="n">
        <v>12</v>
      </c>
      <c r="N5" s="269" t="n">
        <v>13</v>
      </c>
      <c r="O5" s="269" t="n">
        <v>14</v>
      </c>
      <c r="P5" s="269" t="n">
        <v>15</v>
      </c>
      <c r="Q5" s="269" t="n">
        <v>16</v>
      </c>
      <c r="R5" s="269" t="n">
        <v>17</v>
      </c>
      <c r="S5" s="269" t="n">
        <v>18</v>
      </c>
      <c r="T5" s="269" t="n">
        <v>19</v>
      </c>
      <c r="U5" s="269" t="n">
        <v>20</v>
      </c>
      <c r="V5" s="269" t="n">
        <v>21</v>
      </c>
      <c r="W5" s="269" t="n">
        <v>22</v>
      </c>
      <c r="X5" s="269" t="n">
        <v>23</v>
      </c>
      <c r="Y5" s="269" t="n">
        <v>24</v>
      </c>
      <c r="Z5" s="269" t="n">
        <v>25</v>
      </c>
      <c r="AA5" s="269" t="n">
        <v>26</v>
      </c>
      <c r="AB5" s="269" t="n">
        <v>27</v>
      </c>
      <c r="AC5" s="269" t="n">
        <v>28</v>
      </c>
      <c r="AD5" s="269" t="n">
        <v>29</v>
      </c>
      <c r="AE5" s="269" t="n">
        <v>30</v>
      </c>
      <c r="AF5" s="269" t="n">
        <v>31</v>
      </c>
      <c r="AG5" s="269" t="n">
        <v>32</v>
      </c>
      <c r="AH5" s="269" t="n">
        <v>33</v>
      </c>
      <c r="AI5" s="269" t="n">
        <v>34</v>
      </c>
      <c r="AJ5" s="269" t="n">
        <v>35</v>
      </c>
      <c r="AK5" s="269" t="n">
        <v>36</v>
      </c>
      <c r="AL5" s="269" t="n">
        <v>37</v>
      </c>
      <c r="AM5" s="269" t="n">
        <v>38</v>
      </c>
      <c r="AN5" s="269" t="n">
        <v>39</v>
      </c>
      <c r="AO5" s="269" t="n">
        <v>40</v>
      </c>
      <c r="AP5" s="269" t="n">
        <v>41</v>
      </c>
      <c r="AQ5" s="269" t="n">
        <v>42</v>
      </c>
      <c r="AR5" s="269" t="n">
        <v>43</v>
      </c>
      <c r="AS5" s="269" t="n">
        <v>44</v>
      </c>
      <c r="AT5" s="269" t="n">
        <v>45</v>
      </c>
      <c r="AU5" s="269" t="n">
        <v>46</v>
      </c>
      <c r="AV5" s="269" t="n">
        <v>47</v>
      </c>
      <c r="AW5" s="269" t="n">
        <v>48</v>
      </c>
      <c r="AX5" s="269" t="n">
        <v>49</v>
      </c>
      <c r="AY5" s="269" t="n">
        <v>50</v>
      </c>
      <c r="AZ5" s="269" t="n">
        <v>51</v>
      </c>
      <c r="BA5" s="269" t="n">
        <v>52</v>
      </c>
      <c r="BB5" s="269" t="n">
        <v>53</v>
      </c>
      <c r="BC5" s="269" t="n">
        <v>54</v>
      </c>
      <c r="BD5" s="269" t="n">
        <v>55</v>
      </c>
      <c r="BE5" s="269" t="n">
        <v>56</v>
      </c>
      <c r="BF5" s="269" t="n">
        <v>57</v>
      </c>
      <c r="BG5" s="269" t="n">
        <v>58</v>
      </c>
      <c r="BH5" s="269" t="n">
        <v>59</v>
      </c>
      <c r="BI5" s="269" t="n">
        <v>60</v>
      </c>
    </row>
    <row r="6" customFormat="false" ht="15" hidden="false" customHeight="true" outlineLevel="0" collapsed="false">
      <c r="A6" s="105" t="s">
        <v>440</v>
      </c>
      <c r="B6" s="270" t="n">
        <f aca="false">Originations!B6</f>
        <v>0</v>
      </c>
      <c r="C6" s="270" t="n">
        <f aca="false">Originations!C6</f>
        <v>0.0714285714285714</v>
      </c>
      <c r="D6" s="270" t="n">
        <f aca="false">Originations!D6</f>
        <v>0.0714285714285714</v>
      </c>
      <c r="E6" s="270" t="n">
        <f aca="false">Originations!E6</f>
        <v>0.0821428571428572</v>
      </c>
      <c r="F6" s="270" t="n">
        <f aca="false">Originations!F6</f>
        <v>0.0821428571428572</v>
      </c>
      <c r="G6" s="270" t="n">
        <f aca="false">Originations!G6</f>
        <v>0.0821428571428572</v>
      </c>
      <c r="H6" s="270" t="n">
        <f aca="false">Originations!H6</f>
        <v>0.0964285714285715</v>
      </c>
      <c r="I6" s="270" t="n">
        <f aca="false">Originations!I6</f>
        <v>0.0964285714285715</v>
      </c>
      <c r="J6" s="270" t="n">
        <f aca="false">Originations!J6</f>
        <v>0.0964285714285715</v>
      </c>
      <c r="K6" s="270" t="n">
        <f aca="false">Originations!K6</f>
        <v>0.107142857142857</v>
      </c>
      <c r="L6" s="270" t="n">
        <f aca="false">Originations!L6</f>
        <v>0.107142857142857</v>
      </c>
      <c r="M6" s="270" t="n">
        <f aca="false">Originations!M6</f>
        <v>0.107142857142857</v>
      </c>
      <c r="N6" s="270" t="n">
        <f aca="false">Originations!N6</f>
        <v>0.0666666666666667</v>
      </c>
      <c r="O6" s="270" t="n">
        <f aca="false">Originations!O6</f>
        <v>0.0666666666666667</v>
      </c>
      <c r="P6" s="270" t="n">
        <f aca="false">Originations!P6</f>
        <v>0.0666666666666667</v>
      </c>
      <c r="Q6" s="270" t="n">
        <f aca="false">Originations!Q6</f>
        <v>0.0766666666666667</v>
      </c>
      <c r="R6" s="270" t="n">
        <f aca="false">Originations!R6</f>
        <v>0.0766666666666667</v>
      </c>
      <c r="S6" s="270" t="n">
        <f aca="false">Originations!S6</f>
        <v>0.0766666666666667</v>
      </c>
      <c r="T6" s="270" t="n">
        <f aca="false">Originations!T6</f>
        <v>0.09</v>
      </c>
      <c r="U6" s="270" t="n">
        <f aca="false">Originations!U6</f>
        <v>0.09</v>
      </c>
      <c r="V6" s="270" t="n">
        <f aca="false">Originations!V6</f>
        <v>0.09</v>
      </c>
      <c r="W6" s="270" t="n">
        <f aca="false">Originations!W6</f>
        <v>0.1</v>
      </c>
      <c r="X6" s="270" t="n">
        <f aca="false">Originations!X6</f>
        <v>0.1</v>
      </c>
      <c r="Y6" s="270" t="n">
        <f aca="false">Originations!Y6</f>
        <v>0.1</v>
      </c>
      <c r="Z6" s="270" t="n">
        <f aca="false">Originations!Z6</f>
        <v>0.0666666666666667</v>
      </c>
      <c r="AA6" s="270" t="n">
        <f aca="false">Originations!AA6</f>
        <v>0.0666666666666667</v>
      </c>
      <c r="AB6" s="270" t="n">
        <f aca="false">Originations!AB6</f>
        <v>0.0666666666666667</v>
      </c>
      <c r="AC6" s="270" t="n">
        <f aca="false">Originations!AC6</f>
        <v>0.0766666666666667</v>
      </c>
      <c r="AD6" s="270" t="n">
        <f aca="false">Originations!AD6</f>
        <v>0.0766666666666667</v>
      </c>
      <c r="AE6" s="270" t="n">
        <f aca="false">Originations!AE6</f>
        <v>0.0766666666666667</v>
      </c>
      <c r="AF6" s="270" t="n">
        <f aca="false">Originations!AF6</f>
        <v>0.09</v>
      </c>
      <c r="AG6" s="270" t="n">
        <f aca="false">Originations!AG6</f>
        <v>0.09</v>
      </c>
      <c r="AH6" s="270" t="n">
        <f aca="false">Originations!AH6</f>
        <v>0.09</v>
      </c>
      <c r="AI6" s="270" t="n">
        <f aca="false">Originations!AI6</f>
        <v>0.1</v>
      </c>
      <c r="AJ6" s="270" t="n">
        <f aca="false">Originations!AJ6</f>
        <v>0.1</v>
      </c>
      <c r="AK6" s="270" t="n">
        <f aca="false">Originations!AK6</f>
        <v>0.1</v>
      </c>
      <c r="AL6" s="270" t="n">
        <f aca="false">Originations!AL6</f>
        <v>0.0666666666666667</v>
      </c>
      <c r="AM6" s="270" t="n">
        <f aca="false">Originations!AM6</f>
        <v>0.0666666666666667</v>
      </c>
      <c r="AN6" s="270" t="n">
        <f aca="false">Originations!AN6</f>
        <v>0.0666666666666667</v>
      </c>
      <c r="AO6" s="270" t="n">
        <f aca="false">Originations!AO6</f>
        <v>0.0766666666666667</v>
      </c>
      <c r="AP6" s="270" t="n">
        <f aca="false">Originations!AP6</f>
        <v>0.0766666666666667</v>
      </c>
      <c r="AQ6" s="270" t="n">
        <f aca="false">Originations!AQ6</f>
        <v>0.0766666666666667</v>
      </c>
      <c r="AR6" s="270" t="n">
        <f aca="false">Originations!AR6</f>
        <v>0.09</v>
      </c>
      <c r="AS6" s="270" t="n">
        <f aca="false">Originations!AS6</f>
        <v>0.09</v>
      </c>
      <c r="AT6" s="270" t="n">
        <f aca="false">Originations!AT6</f>
        <v>0.09</v>
      </c>
      <c r="AU6" s="270" t="n">
        <f aca="false">Originations!AU6</f>
        <v>0.1</v>
      </c>
      <c r="AV6" s="270" t="n">
        <f aca="false">Originations!AV6</f>
        <v>0.1</v>
      </c>
      <c r="AW6" s="270" t="n">
        <f aca="false">Originations!AW6</f>
        <v>0.1</v>
      </c>
      <c r="AX6" s="270" t="n">
        <f aca="false">Originations!AX6</f>
        <v>0.0666666666666667</v>
      </c>
      <c r="AY6" s="270" t="n">
        <f aca="false">Originations!AY6</f>
        <v>0.0666666666666667</v>
      </c>
      <c r="AZ6" s="270" t="n">
        <f aca="false">Originations!AZ6</f>
        <v>0.0666666666666667</v>
      </c>
      <c r="BA6" s="270" t="n">
        <f aca="false">Originations!BA6</f>
        <v>0.0766666666666667</v>
      </c>
      <c r="BB6" s="270" t="n">
        <f aca="false">Originations!BB6</f>
        <v>0.0766666666666667</v>
      </c>
      <c r="BC6" s="270" t="n">
        <f aca="false">Originations!BC6</f>
        <v>0.0766666666666667</v>
      </c>
      <c r="BD6" s="270" t="n">
        <f aca="false">Originations!BD6</f>
        <v>0.09</v>
      </c>
      <c r="BE6" s="270" t="n">
        <f aca="false">Originations!BE6</f>
        <v>0.09</v>
      </c>
      <c r="BF6" s="270" t="n">
        <f aca="false">Originations!BF6</f>
        <v>0.09</v>
      </c>
      <c r="BG6" s="270" t="n">
        <f aca="false">Originations!BG6</f>
        <v>0.1</v>
      </c>
      <c r="BH6" s="270" t="n">
        <f aca="false">Originations!BH6</f>
        <v>0.1</v>
      </c>
      <c r="BI6" s="270" t="n">
        <f aca="false">Originations!BI6</f>
        <v>0.1</v>
      </c>
    </row>
    <row r="7" customFormat="false" ht="21.75" hidden="false" customHeight="true" outlineLevel="0" collapsed="false"/>
    <row r="8" customFormat="false" ht="15" hidden="false" customHeight="true" outlineLevel="0" collapsed="false">
      <c r="A8" s="271" t="s">
        <v>441</v>
      </c>
      <c r="B8" s="272" t="n">
        <f aca="false">Originations!B7</f>
        <v>0</v>
      </c>
      <c r="C8" s="272" t="n">
        <f aca="false">Originations!C7</f>
        <v>1982142.85714286</v>
      </c>
      <c r="D8" s="272" t="n">
        <f aca="false">Originations!D7</f>
        <v>1982142.85714286</v>
      </c>
      <c r="E8" s="272" t="n">
        <f aca="false">Originations!E7</f>
        <v>2279464.28571429</v>
      </c>
      <c r="F8" s="272" t="n">
        <f aca="false">Originations!F7</f>
        <v>2279464.28571429</v>
      </c>
      <c r="G8" s="272" t="n">
        <f aca="false">Originations!G7</f>
        <v>2279464.28571429</v>
      </c>
      <c r="H8" s="272" t="n">
        <f aca="false">Originations!H7</f>
        <v>2675892.85714286</v>
      </c>
      <c r="I8" s="272" t="n">
        <f aca="false">Originations!I7</f>
        <v>2675892.85714286</v>
      </c>
      <c r="J8" s="272" t="n">
        <f aca="false">Originations!J7</f>
        <v>2675892.85714286</v>
      </c>
      <c r="K8" s="272" t="n">
        <f aca="false">Originations!K7</f>
        <v>2973214.28571428</v>
      </c>
      <c r="L8" s="272" t="n">
        <f aca="false">Originations!L7</f>
        <v>2973214.28571428</v>
      </c>
      <c r="M8" s="272" t="n">
        <f aca="false">Originations!M7</f>
        <v>2973214.28571428</v>
      </c>
      <c r="N8" s="272" t="n">
        <f aca="false">Originations!N7</f>
        <v>35166666.6666667</v>
      </c>
      <c r="O8" s="272" t="n">
        <f aca="false">Originations!O7</f>
        <v>35166666.6666667</v>
      </c>
      <c r="P8" s="272" t="n">
        <f aca="false">Originations!P7</f>
        <v>35166666.6666667</v>
      </c>
      <c r="Q8" s="272" t="n">
        <f aca="false">Originations!Q7</f>
        <v>40441666.6666667</v>
      </c>
      <c r="R8" s="272" t="n">
        <f aca="false">Originations!R7</f>
        <v>40441666.6666667</v>
      </c>
      <c r="S8" s="272" t="n">
        <f aca="false">Originations!S7</f>
        <v>40441666.6666667</v>
      </c>
      <c r="T8" s="272" t="n">
        <f aca="false">Originations!T7</f>
        <v>47475000</v>
      </c>
      <c r="U8" s="272" t="n">
        <f aca="false">Originations!U7</f>
        <v>47475000</v>
      </c>
      <c r="V8" s="272" t="n">
        <f aca="false">Originations!V7</f>
        <v>47475000</v>
      </c>
      <c r="W8" s="272" t="n">
        <f aca="false">Originations!W7</f>
        <v>52750000</v>
      </c>
      <c r="X8" s="272" t="n">
        <f aca="false">Originations!X7</f>
        <v>52750000</v>
      </c>
      <c r="Y8" s="272" t="n">
        <f aca="false">Originations!Y7</f>
        <v>52750000</v>
      </c>
      <c r="Z8" s="272" t="n">
        <f aca="false">Originations!Z7</f>
        <v>46666666.6666667</v>
      </c>
      <c r="AA8" s="272" t="n">
        <f aca="false">Originations!AA7</f>
        <v>46666666.6666667</v>
      </c>
      <c r="AB8" s="272" t="n">
        <f aca="false">Originations!AB7</f>
        <v>46666666.6666667</v>
      </c>
      <c r="AC8" s="272" t="n">
        <f aca="false">Originations!AC7</f>
        <v>53666666.6666667</v>
      </c>
      <c r="AD8" s="272" t="n">
        <f aca="false">Originations!AD7</f>
        <v>53666666.6666667</v>
      </c>
      <c r="AE8" s="272" t="n">
        <f aca="false">Originations!AE7</f>
        <v>53666666.6666667</v>
      </c>
      <c r="AF8" s="272" t="n">
        <f aca="false">Originations!AF7</f>
        <v>63000000</v>
      </c>
      <c r="AG8" s="272" t="n">
        <f aca="false">Originations!AG7</f>
        <v>63000000</v>
      </c>
      <c r="AH8" s="272" t="n">
        <f aca="false">Originations!AH7</f>
        <v>63000000</v>
      </c>
      <c r="AI8" s="272" t="n">
        <f aca="false">Originations!AI7</f>
        <v>70000000</v>
      </c>
      <c r="AJ8" s="272" t="n">
        <f aca="false">Originations!AJ7</f>
        <v>70000000</v>
      </c>
      <c r="AK8" s="272" t="n">
        <f aca="false">Originations!AK7</f>
        <v>70000000</v>
      </c>
      <c r="AL8" s="272" t="n">
        <f aca="false">Originations!AL7</f>
        <v>90000000</v>
      </c>
      <c r="AM8" s="272" t="n">
        <f aca="false">Originations!AM7</f>
        <v>90000000</v>
      </c>
      <c r="AN8" s="272" t="n">
        <f aca="false">Originations!AN7</f>
        <v>90000000</v>
      </c>
      <c r="AO8" s="272" t="n">
        <f aca="false">Originations!AO7</f>
        <v>103500000</v>
      </c>
      <c r="AP8" s="272" t="n">
        <f aca="false">Originations!AP7</f>
        <v>103500000</v>
      </c>
      <c r="AQ8" s="272" t="n">
        <f aca="false">Originations!AQ7</f>
        <v>103500000</v>
      </c>
      <c r="AR8" s="272" t="n">
        <f aca="false">Originations!AR7</f>
        <v>121500000</v>
      </c>
      <c r="AS8" s="272" t="n">
        <f aca="false">Originations!AS7</f>
        <v>121500000</v>
      </c>
      <c r="AT8" s="272" t="n">
        <f aca="false">Originations!AT7</f>
        <v>121500000</v>
      </c>
      <c r="AU8" s="272" t="n">
        <f aca="false">Originations!AU7</f>
        <v>135000000</v>
      </c>
      <c r="AV8" s="272" t="n">
        <f aca="false">Originations!AV7</f>
        <v>135000000</v>
      </c>
      <c r="AW8" s="272" t="n">
        <f aca="false">Originations!AW7</f>
        <v>135000000</v>
      </c>
      <c r="AX8" s="272" t="n">
        <f aca="false">Originations!AX7</f>
        <v>166666666.666667</v>
      </c>
      <c r="AY8" s="272" t="n">
        <f aca="false">Originations!AY7</f>
        <v>166666666.666667</v>
      </c>
      <c r="AZ8" s="272" t="n">
        <f aca="false">Originations!AZ7</f>
        <v>166666666.666667</v>
      </c>
      <c r="BA8" s="272" t="n">
        <f aca="false">Originations!BA7</f>
        <v>191666666.666667</v>
      </c>
      <c r="BB8" s="272" t="n">
        <f aca="false">Originations!BB7</f>
        <v>191666666.666667</v>
      </c>
      <c r="BC8" s="272" t="n">
        <f aca="false">Originations!BC7</f>
        <v>191666666.666667</v>
      </c>
      <c r="BD8" s="272" t="n">
        <f aca="false">Originations!BD7</f>
        <v>225000000</v>
      </c>
      <c r="BE8" s="272" t="n">
        <f aca="false">Originations!BE7</f>
        <v>225000000</v>
      </c>
      <c r="BF8" s="272" t="n">
        <f aca="false">Originations!BF7</f>
        <v>225000000</v>
      </c>
      <c r="BG8" s="272" t="n">
        <f aca="false">Originations!BG7</f>
        <v>250000000</v>
      </c>
      <c r="BH8" s="272" t="n">
        <f aca="false">Originations!BH7</f>
        <v>250000000</v>
      </c>
      <c r="BI8" s="272" t="n">
        <f aca="false">Originations!BI7</f>
        <v>250000000</v>
      </c>
    </row>
    <row r="9" customFormat="false" ht="15" hidden="false" customHeight="true" outlineLevel="0" collapsed="false">
      <c r="B9" s="273"/>
      <c r="C9" s="273"/>
      <c r="D9" s="273"/>
      <c r="E9" s="273"/>
      <c r="F9" s="273"/>
      <c r="G9" s="273"/>
      <c r="H9" s="273"/>
      <c r="I9" s="273"/>
      <c r="J9" s="273"/>
      <c r="K9" s="273"/>
      <c r="L9" s="273"/>
      <c r="M9" s="273"/>
      <c r="N9" s="273"/>
      <c r="O9" s="273"/>
      <c r="P9" s="273"/>
      <c r="Q9" s="273"/>
      <c r="R9" s="273"/>
      <c r="S9" s="273"/>
      <c r="T9" s="273"/>
      <c r="U9" s="273"/>
      <c r="V9" s="273"/>
      <c r="W9" s="273"/>
      <c r="X9" s="273"/>
      <c r="Y9" s="273"/>
      <c r="Z9" s="273"/>
      <c r="AA9" s="273"/>
      <c r="AB9" s="273"/>
      <c r="AC9" s="273"/>
      <c r="AD9" s="273"/>
      <c r="AE9" s="273"/>
      <c r="AF9" s="273"/>
      <c r="AG9" s="273"/>
      <c r="AH9" s="273"/>
      <c r="AI9" s="273"/>
      <c r="AJ9" s="273"/>
      <c r="AK9" s="273"/>
      <c r="AL9" s="273"/>
      <c r="AM9" s="273"/>
      <c r="AN9" s="273"/>
      <c r="AO9" s="273"/>
      <c r="AP9" s="273"/>
      <c r="AQ9" s="273"/>
      <c r="AR9" s="273"/>
      <c r="AS9" s="273"/>
      <c r="AT9" s="273"/>
      <c r="AU9" s="273"/>
      <c r="AV9" s="273"/>
      <c r="AW9" s="273"/>
      <c r="AX9" s="273"/>
      <c r="AY9" s="273"/>
      <c r="AZ9" s="273"/>
      <c r="BA9" s="273"/>
      <c r="BB9" s="273"/>
      <c r="BC9" s="273"/>
      <c r="BD9" s="273"/>
      <c r="BE9" s="273"/>
      <c r="BF9" s="273"/>
      <c r="BG9" s="273"/>
      <c r="BH9" s="273"/>
      <c r="BI9" s="273"/>
    </row>
    <row r="10" customFormat="false" ht="15" hidden="false" customHeight="true" outlineLevel="0" collapsed="false">
      <c r="A10" s="271" t="s">
        <v>216</v>
      </c>
      <c r="B10" s="272" t="n">
        <f aca="false">'Cash Flow'!B5*B6</f>
        <v>-0</v>
      </c>
      <c r="C10" s="272" t="n">
        <f aca="false">'Cash Flow'!B5*C6</f>
        <v>-583347.911621428</v>
      </c>
      <c r="D10" s="272" t="n">
        <f aca="false">'Cash Flow'!B5*D6</f>
        <v>-583347.911621428</v>
      </c>
      <c r="E10" s="272" t="n">
        <f aca="false">'Cash Flow'!B5*E6</f>
        <v>-670850.098364643</v>
      </c>
      <c r="F10" s="272" t="n">
        <f aca="false">'Cash Flow'!B5*F6</f>
        <v>-670850.098364643</v>
      </c>
      <c r="G10" s="272" t="n">
        <f aca="false">'Cash Flow'!B5*G6</f>
        <v>-670850.098364643</v>
      </c>
      <c r="H10" s="272" t="n">
        <f aca="false">'Cash Flow'!B5*H6</f>
        <v>-787519.680688929</v>
      </c>
      <c r="I10" s="272" t="n">
        <f aca="false">'Cash Flow'!B5*I6</f>
        <v>-787519.680688929</v>
      </c>
      <c r="J10" s="272" t="n">
        <f aca="false">'Cash Flow'!B5*J6</f>
        <v>-787519.680688929</v>
      </c>
      <c r="K10" s="272" t="n">
        <f aca="false">'Cash Flow'!B5*K6</f>
        <v>-875021.867432142</v>
      </c>
      <c r="L10" s="272" t="n">
        <f aca="false">'Cash Flow'!B5*L6</f>
        <v>-875021.867432142</v>
      </c>
      <c r="M10" s="272" t="n">
        <f aca="false">'Cash Flow'!B5*M6</f>
        <v>-875021.867432142</v>
      </c>
      <c r="N10" s="272" t="n">
        <f aca="false">'Cash Flow'!C5*N6</f>
        <v>616907.738236666</v>
      </c>
      <c r="O10" s="272" t="n">
        <f aca="false">'Cash Flow'!C5*O6</f>
        <v>616907.738236666</v>
      </c>
      <c r="P10" s="272" t="n">
        <f aca="false">'Cash Flow'!C5*P6</f>
        <v>616907.738236666</v>
      </c>
      <c r="Q10" s="272" t="n">
        <f aca="false">'Cash Flow'!C5*Q6</f>
        <v>709443.898972166</v>
      </c>
      <c r="R10" s="272" t="n">
        <f aca="false">'Cash Flow'!C5*R6</f>
        <v>709443.898972166</v>
      </c>
      <c r="S10" s="272" t="n">
        <f aca="false">'Cash Flow'!C5*S6</f>
        <v>709443.898972166</v>
      </c>
      <c r="T10" s="272" t="n">
        <f aca="false">'Cash Flow'!C5*T6</f>
        <v>832825.446619498</v>
      </c>
      <c r="U10" s="272" t="n">
        <f aca="false">'Cash Flow'!C5*U6</f>
        <v>832825.446619498</v>
      </c>
      <c r="V10" s="272" t="n">
        <f aca="false">'Cash Flow'!C5*V6</f>
        <v>832825.446619498</v>
      </c>
      <c r="W10" s="272" t="n">
        <f aca="false">'Cash Flow'!C5*W6</f>
        <v>925361.607354998</v>
      </c>
      <c r="X10" s="272" t="n">
        <f aca="false">'Cash Flow'!C5*X6</f>
        <v>925361.607354998</v>
      </c>
      <c r="Y10" s="272" t="n">
        <f aca="false">'Cash Flow'!C5*Y6</f>
        <v>925361.607354998</v>
      </c>
      <c r="Z10" s="272" t="n">
        <f aca="false">'Cash Flow'!D5*Z6</f>
        <v>5116754.10867067</v>
      </c>
      <c r="AA10" s="272" t="n">
        <f aca="false">'Cash Flow'!D5*AA6</f>
        <v>5116754.10867067</v>
      </c>
      <c r="AB10" s="272" t="n">
        <f aca="false">'Cash Flow'!D5*AB6</f>
        <v>5116754.10867067</v>
      </c>
      <c r="AC10" s="272" t="n">
        <f aca="false">'Cash Flow'!D5*AC6</f>
        <v>5884267.22497127</v>
      </c>
      <c r="AD10" s="272" t="n">
        <f aca="false">'Cash Flow'!D5*AD6</f>
        <v>5884267.22497127</v>
      </c>
      <c r="AE10" s="272" t="n">
        <f aca="false">'Cash Flow'!D5*AE6</f>
        <v>5884267.22497127</v>
      </c>
      <c r="AF10" s="272" t="n">
        <f aca="false">'Cash Flow'!D5*AF6</f>
        <v>6907618.0467054</v>
      </c>
      <c r="AG10" s="272" t="n">
        <f aca="false">'Cash Flow'!D5*AG6</f>
        <v>6907618.0467054</v>
      </c>
      <c r="AH10" s="272" t="n">
        <f aca="false">'Cash Flow'!D5*AH6</f>
        <v>6907618.0467054</v>
      </c>
      <c r="AI10" s="272" t="n">
        <f aca="false">'Cash Flow'!D5*AI6</f>
        <v>7675131.163006</v>
      </c>
      <c r="AJ10" s="272" t="n">
        <f aca="false">'Cash Flow'!D5*AJ6</f>
        <v>7675131.163006</v>
      </c>
      <c r="AK10" s="272" t="n">
        <f aca="false">'Cash Flow'!D5*AK6</f>
        <v>7675131.163006</v>
      </c>
      <c r="AL10" s="272" t="n">
        <f aca="false">'Cash Flow'!E5*AL6</f>
        <v>10662722.3029832</v>
      </c>
      <c r="AM10" s="272" t="n">
        <f aca="false">'Cash Flow'!E5*AM6</f>
        <v>10662722.3029832</v>
      </c>
      <c r="AN10" s="272" t="n">
        <f aca="false">'Cash Flow'!E5*AN6</f>
        <v>10662722.3029832</v>
      </c>
      <c r="AO10" s="272" t="n">
        <f aca="false">'Cash Flow'!E5*AO6</f>
        <v>12262130.6484307</v>
      </c>
      <c r="AP10" s="272" t="n">
        <f aca="false">'Cash Flow'!E5*AP6</f>
        <v>12262130.6484307</v>
      </c>
      <c r="AQ10" s="272" t="n">
        <f aca="false">'Cash Flow'!E5*AQ6</f>
        <v>12262130.6484307</v>
      </c>
      <c r="AR10" s="272" t="n">
        <f aca="false">'Cash Flow'!E5*AR6</f>
        <v>14394675.1090273</v>
      </c>
      <c r="AS10" s="272" t="n">
        <f aca="false">'Cash Flow'!E5*AS6</f>
        <v>14394675.1090273</v>
      </c>
      <c r="AT10" s="272" t="n">
        <f aca="false">'Cash Flow'!E5*AT6</f>
        <v>14394675.1090273</v>
      </c>
      <c r="AU10" s="272" t="n">
        <f aca="false">'Cash Flow'!E5*AU6</f>
        <v>15994083.4544748</v>
      </c>
      <c r="AV10" s="272" t="n">
        <f aca="false">'Cash Flow'!E5*AV6</f>
        <v>15994083.4544748</v>
      </c>
      <c r="AW10" s="272" t="n">
        <f aca="false">'Cash Flow'!E5*AW6</f>
        <v>15994083.4544748</v>
      </c>
      <c r="AX10" s="272" t="n">
        <f aca="false">'Cash Flow'!F5*AX6</f>
        <v>19317331.9627251</v>
      </c>
      <c r="AY10" s="272" t="n">
        <f aca="false">'Cash Flow'!F5*AY6</f>
        <v>19317331.9627251</v>
      </c>
      <c r="AZ10" s="272" t="n">
        <f aca="false">'Cash Flow'!F5*AZ6</f>
        <v>19317331.9627251</v>
      </c>
      <c r="BA10" s="272" t="n">
        <f aca="false">'Cash Flow'!F5*BA6</f>
        <v>22214931.7571338</v>
      </c>
      <c r="BB10" s="272" t="n">
        <f aca="false">'Cash Flow'!F5*BB6</f>
        <v>22214931.7571338</v>
      </c>
      <c r="BC10" s="272" t="n">
        <f aca="false">'Cash Flow'!F5*BC6</f>
        <v>22214931.7571338</v>
      </c>
      <c r="BD10" s="272" t="n">
        <f aca="false">'Cash Flow'!F5*BD6</f>
        <v>26078398.1496788</v>
      </c>
      <c r="BE10" s="272" t="n">
        <f aca="false">'Cash Flow'!F5*BE6</f>
        <v>26078398.1496788</v>
      </c>
      <c r="BF10" s="272" t="n">
        <f aca="false">'Cash Flow'!F5*BF6</f>
        <v>26078398.1496788</v>
      </c>
      <c r="BG10" s="272" t="n">
        <f aca="false">'Cash Flow'!F5*BG6</f>
        <v>28975997.9440876</v>
      </c>
      <c r="BH10" s="272" t="n">
        <f aca="false">'Cash Flow'!F5*BH6</f>
        <v>28975997.9440876</v>
      </c>
      <c r="BI10" s="272" t="n">
        <f aca="false">'Cash Flow'!F5*BI6</f>
        <v>28975997.9440876</v>
      </c>
    </row>
    <row r="11" customFormat="false" ht="15" hidden="false" customHeight="true" outlineLevel="0" collapsed="false">
      <c r="A11" s="105" t="s">
        <v>442</v>
      </c>
      <c r="B11" s="273" t="n">
        <f aca="false">'Cash Flow'!B6*B6</f>
        <v>0</v>
      </c>
      <c r="C11" s="273" t="n">
        <f aca="false">'Cash Flow'!B6*C6</f>
        <v>0</v>
      </c>
      <c r="D11" s="273" t="n">
        <f aca="false">'Cash Flow'!B6*D6</f>
        <v>0</v>
      </c>
      <c r="E11" s="273" t="n">
        <f aca="false">'Cash Flow'!B6*E6</f>
        <v>0</v>
      </c>
      <c r="F11" s="273" t="n">
        <f aca="false">'Cash Flow'!B6*F6</f>
        <v>0</v>
      </c>
      <c r="G11" s="273" t="n">
        <f aca="false">'Cash Flow'!B6*G6</f>
        <v>0</v>
      </c>
      <c r="H11" s="273" t="n">
        <f aca="false">'Cash Flow'!B6*H6</f>
        <v>0</v>
      </c>
      <c r="I11" s="273" t="n">
        <f aca="false">'Cash Flow'!B6*I6</f>
        <v>0</v>
      </c>
      <c r="J11" s="273" t="n">
        <f aca="false">'Cash Flow'!B6*J6</f>
        <v>0</v>
      </c>
      <c r="K11" s="273" t="n">
        <f aca="false">'Cash Flow'!B6*K6</f>
        <v>0</v>
      </c>
      <c r="L11" s="273" t="n">
        <f aca="false">'Cash Flow'!B6*L6</f>
        <v>0</v>
      </c>
      <c r="M11" s="273" t="n">
        <f aca="false">'Cash Flow'!B6*M6</f>
        <v>0</v>
      </c>
      <c r="N11" s="273" t="n">
        <f aca="false">'Cash Flow'!C6*N6</f>
        <v>0</v>
      </c>
      <c r="O11" s="273" t="n">
        <f aca="false">'Cash Flow'!C6*O6</f>
        <v>0</v>
      </c>
      <c r="P11" s="273" t="n">
        <f aca="false">'Cash Flow'!C6*P6</f>
        <v>0</v>
      </c>
      <c r="Q11" s="273" t="n">
        <f aca="false">'Cash Flow'!C6*Q6</f>
        <v>0</v>
      </c>
      <c r="R11" s="273" t="n">
        <f aca="false">'Cash Flow'!C6*R6</f>
        <v>0</v>
      </c>
      <c r="S11" s="273" t="n">
        <f aca="false">'Cash Flow'!C6*S6</f>
        <v>0</v>
      </c>
      <c r="T11" s="273" t="n">
        <f aca="false">'Cash Flow'!C6*T6</f>
        <v>0</v>
      </c>
      <c r="U11" s="273" t="n">
        <f aca="false">'Cash Flow'!C6*U6</f>
        <v>0</v>
      </c>
      <c r="V11" s="273" t="n">
        <f aca="false">'Cash Flow'!C6*V6</f>
        <v>0</v>
      </c>
      <c r="W11" s="273" t="n">
        <f aca="false">'Cash Flow'!C6*W6</f>
        <v>0</v>
      </c>
      <c r="X11" s="273" t="n">
        <f aca="false">'Cash Flow'!C6*X6</f>
        <v>0</v>
      </c>
      <c r="Y11" s="273" t="n">
        <f aca="false">'Cash Flow'!C6*Y6</f>
        <v>0</v>
      </c>
      <c r="Z11" s="273" t="n">
        <f aca="false">'Cash Flow'!D6*Z6</f>
        <v>66666.6666666667</v>
      </c>
      <c r="AA11" s="273" t="n">
        <f aca="false">'Cash Flow'!D6*AA6</f>
        <v>66666.6666666667</v>
      </c>
      <c r="AB11" s="273" t="n">
        <f aca="false">'Cash Flow'!D6*AB6</f>
        <v>66666.6666666667</v>
      </c>
      <c r="AC11" s="273" t="n">
        <f aca="false">'Cash Flow'!D6*AC6</f>
        <v>76666.6666666667</v>
      </c>
      <c r="AD11" s="273" t="n">
        <f aca="false">'Cash Flow'!D6*AD6</f>
        <v>76666.6666666667</v>
      </c>
      <c r="AE11" s="273" t="n">
        <f aca="false">'Cash Flow'!D6*AE6</f>
        <v>76666.6666666667</v>
      </c>
      <c r="AF11" s="273" t="n">
        <f aca="false">'Cash Flow'!D6*AF6</f>
        <v>90000</v>
      </c>
      <c r="AG11" s="273" t="n">
        <f aca="false">'Cash Flow'!D6*AG6</f>
        <v>90000</v>
      </c>
      <c r="AH11" s="273" t="n">
        <f aca="false">'Cash Flow'!D6*AH6</f>
        <v>90000</v>
      </c>
      <c r="AI11" s="273" t="n">
        <f aca="false">'Cash Flow'!D6*AI6</f>
        <v>100000</v>
      </c>
      <c r="AJ11" s="273" t="n">
        <f aca="false">'Cash Flow'!D6*AJ6</f>
        <v>100000</v>
      </c>
      <c r="AK11" s="273" t="n">
        <f aca="false">'Cash Flow'!D6*AK6</f>
        <v>100000</v>
      </c>
      <c r="AL11" s="273" t="n">
        <f aca="false">'Cash Flow'!E6*AL6</f>
        <v>100000</v>
      </c>
      <c r="AM11" s="273" t="n">
        <f aca="false">'Cash Flow'!E6*AM6</f>
        <v>100000</v>
      </c>
      <c r="AN11" s="273" t="n">
        <f aca="false">'Cash Flow'!E6*AN6</f>
        <v>100000</v>
      </c>
      <c r="AO11" s="273" t="n">
        <f aca="false">'Cash Flow'!E6*AO6</f>
        <v>115000</v>
      </c>
      <c r="AP11" s="273" t="n">
        <f aca="false">'Cash Flow'!E6*AP6</f>
        <v>115000</v>
      </c>
      <c r="AQ11" s="273" t="n">
        <f aca="false">'Cash Flow'!E6*AQ6</f>
        <v>115000</v>
      </c>
      <c r="AR11" s="273" t="n">
        <f aca="false">'Cash Flow'!E6*AR6</f>
        <v>135000</v>
      </c>
      <c r="AS11" s="273" t="n">
        <f aca="false">'Cash Flow'!E6*AS6</f>
        <v>135000</v>
      </c>
      <c r="AT11" s="273" t="n">
        <f aca="false">'Cash Flow'!E6*AT6</f>
        <v>135000</v>
      </c>
      <c r="AU11" s="273" t="n">
        <f aca="false">'Cash Flow'!E6*AU6</f>
        <v>150000</v>
      </c>
      <c r="AV11" s="273" t="n">
        <f aca="false">'Cash Flow'!E6*AV6</f>
        <v>150000</v>
      </c>
      <c r="AW11" s="273" t="n">
        <f aca="false">'Cash Flow'!E6*AW6</f>
        <v>150000</v>
      </c>
      <c r="AX11" s="273" t="n">
        <f aca="false">'Cash Flow'!F6*AX6</f>
        <v>133333.333333333</v>
      </c>
      <c r="AY11" s="273" t="n">
        <f aca="false">'Cash Flow'!F6*AY6</f>
        <v>133333.333333333</v>
      </c>
      <c r="AZ11" s="273" t="n">
        <f aca="false">'Cash Flow'!F6*AZ6</f>
        <v>133333.333333333</v>
      </c>
      <c r="BA11" s="273" t="n">
        <f aca="false">'Cash Flow'!F6*BA6</f>
        <v>153333.333333333</v>
      </c>
      <c r="BB11" s="273" t="n">
        <f aca="false">'Cash Flow'!F6*BB6</f>
        <v>153333.333333333</v>
      </c>
      <c r="BC11" s="273" t="n">
        <f aca="false">'Cash Flow'!F6*BC6</f>
        <v>153333.333333333</v>
      </c>
      <c r="BD11" s="273" t="n">
        <f aca="false">'Cash Flow'!F6*BD6</f>
        <v>180000</v>
      </c>
      <c r="BE11" s="273" t="n">
        <f aca="false">'Cash Flow'!F6*BE6</f>
        <v>180000</v>
      </c>
      <c r="BF11" s="273" t="n">
        <f aca="false">'Cash Flow'!F6*BF6</f>
        <v>180000</v>
      </c>
      <c r="BG11" s="273" t="n">
        <f aca="false">'Cash Flow'!F6*BG6</f>
        <v>200000</v>
      </c>
      <c r="BH11" s="273" t="n">
        <f aca="false">'Cash Flow'!F6*BH6</f>
        <v>200000</v>
      </c>
      <c r="BI11" s="273" t="n">
        <f aca="false">'Cash Flow'!F6*BI6</f>
        <v>200000</v>
      </c>
    </row>
    <row r="12" customFormat="false" ht="15" hidden="false" customHeight="true" outlineLevel="0" collapsed="false">
      <c r="A12" s="105" t="s">
        <v>443</v>
      </c>
      <c r="B12" s="273" t="n">
        <f aca="false">'Cash Flow'!B7*B6</f>
        <v>0</v>
      </c>
      <c r="C12" s="273" t="n">
        <f aca="false">'Cash Flow'!B7*C6</f>
        <v>44297.7944785714</v>
      </c>
      <c r="D12" s="273" t="n">
        <f aca="false">'Cash Flow'!B7*D6</f>
        <v>44297.7944785714</v>
      </c>
      <c r="E12" s="273" t="n">
        <f aca="false">'Cash Flow'!B7*E6</f>
        <v>50942.4636503572</v>
      </c>
      <c r="F12" s="273" t="n">
        <f aca="false">'Cash Flow'!B7*F6</f>
        <v>50942.4636503572</v>
      </c>
      <c r="G12" s="273" t="n">
        <f aca="false">'Cash Flow'!B7*G6</f>
        <v>50942.4636503572</v>
      </c>
      <c r="H12" s="273" t="n">
        <f aca="false">'Cash Flow'!B7*H6</f>
        <v>59802.0225460715</v>
      </c>
      <c r="I12" s="273" t="n">
        <f aca="false">'Cash Flow'!B7*I6</f>
        <v>59802.0225460715</v>
      </c>
      <c r="J12" s="273" t="n">
        <f aca="false">'Cash Flow'!B7*J6</f>
        <v>59802.0225460715</v>
      </c>
      <c r="K12" s="273" t="n">
        <f aca="false">'Cash Flow'!B7*K6</f>
        <v>66446.691717857</v>
      </c>
      <c r="L12" s="273" t="n">
        <f aca="false">'Cash Flow'!B7*L6</f>
        <v>66446.691717857</v>
      </c>
      <c r="M12" s="273" t="n">
        <f aca="false">'Cash Flow'!B7*M6</f>
        <v>66446.691717857</v>
      </c>
      <c r="N12" s="273" t="n">
        <f aca="false">'Cash Flow'!C7*N6</f>
        <v>863859.83222</v>
      </c>
      <c r="O12" s="273" t="n">
        <f aca="false">'Cash Flow'!C7*O6</f>
        <v>863859.83222</v>
      </c>
      <c r="P12" s="273" t="n">
        <f aca="false">'Cash Flow'!C7*P6</f>
        <v>863859.83222</v>
      </c>
      <c r="Q12" s="273" t="n">
        <f aca="false">'Cash Flow'!C7*Q6</f>
        <v>993438.807053</v>
      </c>
      <c r="R12" s="273" t="n">
        <f aca="false">'Cash Flow'!C7*R6</f>
        <v>993438.807053</v>
      </c>
      <c r="S12" s="273" t="n">
        <f aca="false">'Cash Flow'!C7*S6</f>
        <v>993438.807053</v>
      </c>
      <c r="T12" s="273" t="n">
        <f aca="false">'Cash Flow'!C7*T6</f>
        <v>1166210.773497</v>
      </c>
      <c r="U12" s="273" t="n">
        <f aca="false">'Cash Flow'!C7*U6</f>
        <v>1166210.773497</v>
      </c>
      <c r="V12" s="273" t="n">
        <f aca="false">'Cash Flow'!C7*V6</f>
        <v>1166210.773497</v>
      </c>
      <c r="W12" s="273" t="n">
        <f aca="false">'Cash Flow'!C7*W6</f>
        <v>1295789.74833</v>
      </c>
      <c r="X12" s="273" t="n">
        <f aca="false">'Cash Flow'!C7*X6</f>
        <v>1295789.74833</v>
      </c>
      <c r="Y12" s="273" t="n">
        <f aca="false">'Cash Flow'!C7*Y6</f>
        <v>1295789.74833</v>
      </c>
      <c r="Z12" s="273" t="n">
        <f aca="false">'Cash Flow'!D7*Z6</f>
        <v>827918.22384</v>
      </c>
      <c r="AA12" s="273" t="n">
        <f aca="false">'Cash Flow'!D7*AA6</f>
        <v>827918.22384</v>
      </c>
      <c r="AB12" s="273" t="n">
        <f aca="false">'Cash Flow'!D7*AB6</f>
        <v>827918.22384</v>
      </c>
      <c r="AC12" s="273" t="n">
        <f aca="false">'Cash Flow'!D7*AC6</f>
        <v>952105.957416</v>
      </c>
      <c r="AD12" s="273" t="n">
        <f aca="false">'Cash Flow'!D7*AD6</f>
        <v>952105.957416</v>
      </c>
      <c r="AE12" s="273" t="n">
        <f aca="false">'Cash Flow'!D7*AE6</f>
        <v>952105.957416</v>
      </c>
      <c r="AF12" s="273" t="n">
        <f aca="false">'Cash Flow'!D7*AF6</f>
        <v>1117689.602184</v>
      </c>
      <c r="AG12" s="273" t="n">
        <f aca="false">'Cash Flow'!D7*AG6</f>
        <v>1117689.602184</v>
      </c>
      <c r="AH12" s="273" t="n">
        <f aca="false">'Cash Flow'!D7*AH6</f>
        <v>1117689.602184</v>
      </c>
      <c r="AI12" s="273" t="n">
        <f aca="false">'Cash Flow'!D7*AI6</f>
        <v>1241877.33576</v>
      </c>
      <c r="AJ12" s="273" t="n">
        <f aca="false">'Cash Flow'!D7*AJ6</f>
        <v>1241877.33576</v>
      </c>
      <c r="AK12" s="273" t="n">
        <f aca="false">'Cash Flow'!D7*AK6</f>
        <v>1241877.33576</v>
      </c>
      <c r="AL12" s="273" t="n">
        <f aca="false">'Cash Flow'!E7*AL6</f>
        <v>1601750.934304</v>
      </c>
      <c r="AM12" s="273" t="n">
        <f aca="false">'Cash Flow'!E7*AM6</f>
        <v>1601750.934304</v>
      </c>
      <c r="AN12" s="273" t="n">
        <f aca="false">'Cash Flow'!E7*AN6</f>
        <v>1601750.934304</v>
      </c>
      <c r="AO12" s="273" t="n">
        <f aca="false">'Cash Flow'!E7*AO6</f>
        <v>1842013.5744496</v>
      </c>
      <c r="AP12" s="273" t="n">
        <f aca="false">'Cash Flow'!E7*AP6</f>
        <v>1842013.5744496</v>
      </c>
      <c r="AQ12" s="273" t="n">
        <f aca="false">'Cash Flow'!E7*AQ6</f>
        <v>1842013.5744496</v>
      </c>
      <c r="AR12" s="273" t="n">
        <f aca="false">'Cash Flow'!E7*AR6</f>
        <v>2162363.7613104</v>
      </c>
      <c r="AS12" s="273" t="n">
        <f aca="false">'Cash Flow'!E7*AS6</f>
        <v>2162363.7613104</v>
      </c>
      <c r="AT12" s="273" t="n">
        <f aca="false">'Cash Flow'!E7*AT6</f>
        <v>2162363.7613104</v>
      </c>
      <c r="AU12" s="273" t="n">
        <f aca="false">'Cash Flow'!E7*AU6</f>
        <v>2402626.401456</v>
      </c>
      <c r="AV12" s="273" t="n">
        <f aca="false">'Cash Flow'!E7*AV6</f>
        <v>2402626.401456</v>
      </c>
      <c r="AW12" s="273" t="n">
        <f aca="false">'Cash Flow'!E7*AW6</f>
        <v>2402626.401456</v>
      </c>
      <c r="AX12" s="273" t="n">
        <f aca="false">'Cash Flow'!F7*AX6</f>
        <v>2916050.5605824</v>
      </c>
      <c r="AY12" s="273" t="n">
        <f aca="false">'Cash Flow'!F7*AY6</f>
        <v>2916050.5605824</v>
      </c>
      <c r="AZ12" s="273" t="n">
        <f aca="false">'Cash Flow'!F7*AZ6</f>
        <v>2916050.5605824</v>
      </c>
      <c r="BA12" s="273" t="n">
        <f aca="false">'Cash Flow'!F7*BA6</f>
        <v>3353458.14466976</v>
      </c>
      <c r="BB12" s="273" t="n">
        <f aca="false">'Cash Flow'!F7*BB6</f>
        <v>3353458.14466976</v>
      </c>
      <c r="BC12" s="273" t="n">
        <f aca="false">'Cash Flow'!F7*BC6</f>
        <v>3353458.14466976</v>
      </c>
      <c r="BD12" s="273" t="n">
        <f aca="false">'Cash Flow'!F7*BD6</f>
        <v>3936668.25678624</v>
      </c>
      <c r="BE12" s="273" t="n">
        <f aca="false">'Cash Flow'!F7*BE6</f>
        <v>3936668.25678624</v>
      </c>
      <c r="BF12" s="273" t="n">
        <f aca="false">'Cash Flow'!F7*BF6</f>
        <v>3936668.25678624</v>
      </c>
      <c r="BG12" s="273" t="n">
        <f aca="false">'Cash Flow'!F7*BG6</f>
        <v>4374075.8408736</v>
      </c>
      <c r="BH12" s="273" t="n">
        <f aca="false">'Cash Flow'!F7*BH6</f>
        <v>4374075.8408736</v>
      </c>
      <c r="BI12" s="273" t="n">
        <f aca="false">'Cash Flow'!F7*BI6</f>
        <v>4374075.8408736</v>
      </c>
    </row>
    <row r="13" customFormat="false" ht="15" hidden="false" customHeight="true" outlineLevel="0" collapsed="false">
      <c r="A13" s="105" t="s">
        <v>444</v>
      </c>
      <c r="B13" s="273" t="n">
        <f aca="false">'Cash Flow'!B8*B6</f>
        <v>-0</v>
      </c>
      <c r="C13" s="273" t="n">
        <f aca="false">'Cash Flow'!B8*C6</f>
        <v>-1476593.14928571</v>
      </c>
      <c r="D13" s="273" t="n">
        <f aca="false">'Cash Flow'!B8*D6</f>
        <v>-1476593.14928571</v>
      </c>
      <c r="E13" s="273" t="n">
        <f aca="false">'Cash Flow'!B8*E6</f>
        <v>-1698082.12167857</v>
      </c>
      <c r="F13" s="273" t="n">
        <f aca="false">'Cash Flow'!B8*F6</f>
        <v>-1698082.12167857</v>
      </c>
      <c r="G13" s="273" t="n">
        <f aca="false">'Cash Flow'!B8*G6</f>
        <v>-1698082.12167857</v>
      </c>
      <c r="H13" s="273" t="n">
        <f aca="false">'Cash Flow'!B8*H6</f>
        <v>-1993400.75153572</v>
      </c>
      <c r="I13" s="273" t="n">
        <f aca="false">'Cash Flow'!B8*I6</f>
        <v>-1993400.75153572</v>
      </c>
      <c r="J13" s="273" t="n">
        <f aca="false">'Cash Flow'!B8*J6</f>
        <v>-1993400.75153572</v>
      </c>
      <c r="K13" s="273" t="n">
        <f aca="false">'Cash Flow'!B8*K6</f>
        <v>-2214889.72392857</v>
      </c>
      <c r="L13" s="273" t="n">
        <f aca="false">'Cash Flow'!B8*L6</f>
        <v>-2214889.72392857</v>
      </c>
      <c r="M13" s="273" t="n">
        <f aca="false">'Cash Flow'!B8*M6</f>
        <v>-2214889.72392857</v>
      </c>
      <c r="N13" s="273" t="n">
        <f aca="false">'Cash Flow'!C8*N6</f>
        <v>-28795327.7406667</v>
      </c>
      <c r="O13" s="273" t="n">
        <f aca="false">'Cash Flow'!C8*O6</f>
        <v>-28795327.7406667</v>
      </c>
      <c r="P13" s="273" t="n">
        <f aca="false">'Cash Flow'!C8*P6</f>
        <v>-28795327.7406667</v>
      </c>
      <c r="Q13" s="273" t="n">
        <f aca="false">'Cash Flow'!C8*Q6</f>
        <v>-33114626.9017667</v>
      </c>
      <c r="R13" s="273" t="n">
        <f aca="false">'Cash Flow'!C8*R6</f>
        <v>-33114626.9017667</v>
      </c>
      <c r="S13" s="273" t="n">
        <f aca="false">'Cash Flow'!C8*S6</f>
        <v>-33114626.9017667</v>
      </c>
      <c r="T13" s="273" t="n">
        <f aca="false">'Cash Flow'!C8*T6</f>
        <v>-38873692.4499</v>
      </c>
      <c r="U13" s="273" t="n">
        <f aca="false">'Cash Flow'!C8*U6</f>
        <v>-38873692.4499</v>
      </c>
      <c r="V13" s="273" t="n">
        <f aca="false">'Cash Flow'!C8*V6</f>
        <v>-38873692.4499</v>
      </c>
      <c r="W13" s="273" t="n">
        <f aca="false">'Cash Flow'!C8*W6</f>
        <v>-43192991.611</v>
      </c>
      <c r="X13" s="273" t="n">
        <f aca="false">'Cash Flow'!C8*X6</f>
        <v>-43192991.611</v>
      </c>
      <c r="Y13" s="273" t="n">
        <f aca="false">'Cash Flow'!C8*Y6</f>
        <v>-43192991.611</v>
      </c>
      <c r="Z13" s="273" t="n">
        <f aca="false">'Cash Flow'!D8*Z6</f>
        <v>-27597274.128</v>
      </c>
      <c r="AA13" s="273" t="n">
        <f aca="false">'Cash Flow'!D8*AA6</f>
        <v>-27597274.128</v>
      </c>
      <c r="AB13" s="273" t="n">
        <f aca="false">'Cash Flow'!D8*AB6</f>
        <v>-27597274.128</v>
      </c>
      <c r="AC13" s="273" t="n">
        <f aca="false">'Cash Flow'!D8*AC6</f>
        <v>-31736865.2472</v>
      </c>
      <c r="AD13" s="273" t="n">
        <f aca="false">'Cash Flow'!D8*AD6</f>
        <v>-31736865.2472</v>
      </c>
      <c r="AE13" s="273" t="n">
        <f aca="false">'Cash Flow'!D8*AE6</f>
        <v>-31736865.2472</v>
      </c>
      <c r="AF13" s="273" t="n">
        <f aca="false">'Cash Flow'!D8*AF6</f>
        <v>-37256320.0728</v>
      </c>
      <c r="AG13" s="273" t="n">
        <f aca="false">'Cash Flow'!D8*AG6</f>
        <v>-37256320.0728</v>
      </c>
      <c r="AH13" s="273" t="n">
        <f aca="false">'Cash Flow'!D8*AH6</f>
        <v>-37256320.0728</v>
      </c>
      <c r="AI13" s="273" t="n">
        <f aca="false">'Cash Flow'!D8*AI6</f>
        <v>-41395911.192</v>
      </c>
      <c r="AJ13" s="273" t="n">
        <f aca="false">'Cash Flow'!D8*AJ6</f>
        <v>-41395911.192</v>
      </c>
      <c r="AK13" s="273" t="n">
        <f aca="false">'Cash Flow'!D8*AK6</f>
        <v>-41395911.192</v>
      </c>
      <c r="AL13" s="273" t="n">
        <f aca="false">'Cash Flow'!E8*AL6</f>
        <v>-53391697.8101333</v>
      </c>
      <c r="AM13" s="273" t="n">
        <f aca="false">'Cash Flow'!E8*AM6</f>
        <v>-53391697.8101333</v>
      </c>
      <c r="AN13" s="273" t="n">
        <f aca="false">'Cash Flow'!E8*AN6</f>
        <v>-53391697.8101333</v>
      </c>
      <c r="AO13" s="273" t="n">
        <f aca="false">'Cash Flow'!E8*AO6</f>
        <v>-61400452.4816534</v>
      </c>
      <c r="AP13" s="273" t="n">
        <f aca="false">'Cash Flow'!E8*AP6</f>
        <v>-61400452.4816534</v>
      </c>
      <c r="AQ13" s="273" t="n">
        <f aca="false">'Cash Flow'!E8*AQ6</f>
        <v>-61400452.4816534</v>
      </c>
      <c r="AR13" s="273" t="n">
        <f aca="false">'Cash Flow'!E8*AR6</f>
        <v>-72078792.04368</v>
      </c>
      <c r="AS13" s="273" t="n">
        <f aca="false">'Cash Flow'!E8*AS6</f>
        <v>-72078792.04368</v>
      </c>
      <c r="AT13" s="273" t="n">
        <f aca="false">'Cash Flow'!E8*AT6</f>
        <v>-72078792.04368</v>
      </c>
      <c r="AU13" s="273" t="n">
        <f aca="false">'Cash Flow'!E8*AU6</f>
        <v>-80087546.7152</v>
      </c>
      <c r="AV13" s="273" t="n">
        <f aca="false">'Cash Flow'!E8*AV6</f>
        <v>-80087546.7152</v>
      </c>
      <c r="AW13" s="273" t="n">
        <f aca="false">'Cash Flow'!E8*AW6</f>
        <v>-80087546.7152</v>
      </c>
      <c r="AX13" s="273" t="n">
        <f aca="false">'Cash Flow'!F8*AX6</f>
        <v>-97201685.3527467</v>
      </c>
      <c r="AY13" s="273" t="n">
        <f aca="false">'Cash Flow'!F8*AY6</f>
        <v>-97201685.3527467</v>
      </c>
      <c r="AZ13" s="273" t="n">
        <f aca="false">'Cash Flow'!F8*AZ6</f>
        <v>-97201685.3527467</v>
      </c>
      <c r="BA13" s="273" t="n">
        <f aca="false">'Cash Flow'!F8*BA6</f>
        <v>-111781938.155659</v>
      </c>
      <c r="BB13" s="273" t="n">
        <f aca="false">'Cash Flow'!F8*BB6</f>
        <v>-111781938.155659</v>
      </c>
      <c r="BC13" s="273" t="n">
        <f aca="false">'Cash Flow'!F8*BC6</f>
        <v>-111781938.155659</v>
      </c>
      <c r="BD13" s="273" t="n">
        <f aca="false">'Cash Flow'!F8*BD6</f>
        <v>-131222275.226208</v>
      </c>
      <c r="BE13" s="273" t="n">
        <f aca="false">'Cash Flow'!F8*BE6</f>
        <v>-131222275.226208</v>
      </c>
      <c r="BF13" s="273" t="n">
        <f aca="false">'Cash Flow'!F8*BF6</f>
        <v>-131222275.226208</v>
      </c>
      <c r="BG13" s="273" t="n">
        <f aca="false">'Cash Flow'!F8*BG6</f>
        <v>-145802528.02912</v>
      </c>
      <c r="BH13" s="273" t="n">
        <f aca="false">'Cash Flow'!F8*BH6</f>
        <v>-145802528.02912</v>
      </c>
      <c r="BI13" s="273" t="n">
        <f aca="false">'Cash Flow'!F8*BI6</f>
        <v>-145802528.02912</v>
      </c>
    </row>
    <row r="14" customFormat="false" ht="15" hidden="false" customHeight="true" outlineLevel="0" collapsed="false">
      <c r="A14" s="105" t="s">
        <v>445</v>
      </c>
      <c r="B14" s="273" t="n">
        <f aca="false">'Cash Flow'!B9*B6</f>
        <v>0</v>
      </c>
      <c r="C14" s="273" t="n">
        <f aca="false">'Cash Flow'!B9*C6</f>
        <v>428571.428571428</v>
      </c>
      <c r="D14" s="273" t="n">
        <f aca="false">'Cash Flow'!B9*D6</f>
        <v>428571.428571428</v>
      </c>
      <c r="E14" s="273" t="n">
        <f aca="false">'Cash Flow'!B9*E6</f>
        <v>492857.142857143</v>
      </c>
      <c r="F14" s="273" t="n">
        <f aca="false">'Cash Flow'!B9*F6</f>
        <v>492857.142857143</v>
      </c>
      <c r="G14" s="273" t="n">
        <f aca="false">'Cash Flow'!B9*G6</f>
        <v>492857.142857143</v>
      </c>
      <c r="H14" s="273" t="n">
        <f aca="false">'Cash Flow'!B9*H6</f>
        <v>578571.428571429</v>
      </c>
      <c r="I14" s="273" t="n">
        <f aca="false">'Cash Flow'!B9*I6</f>
        <v>578571.428571429</v>
      </c>
      <c r="J14" s="273" t="n">
        <f aca="false">'Cash Flow'!B9*J6</f>
        <v>578571.428571429</v>
      </c>
      <c r="K14" s="273" t="n">
        <f aca="false">'Cash Flow'!B9*K6</f>
        <v>642857.142857142</v>
      </c>
      <c r="L14" s="273" t="n">
        <f aca="false">'Cash Flow'!B9*L6</f>
        <v>642857.142857142</v>
      </c>
      <c r="M14" s="273" t="n">
        <f aca="false">'Cash Flow'!B9*M6</f>
        <v>642857.142857142</v>
      </c>
      <c r="N14" s="273" t="n">
        <f aca="false">'Cash Flow'!C9*N6</f>
        <v>100000</v>
      </c>
      <c r="O14" s="273" t="n">
        <f aca="false">'Cash Flow'!C9*O6</f>
        <v>100000</v>
      </c>
      <c r="P14" s="273" t="n">
        <f aca="false">'Cash Flow'!C9*P6</f>
        <v>100000</v>
      </c>
      <c r="Q14" s="273" t="n">
        <f aca="false">'Cash Flow'!C9*Q6</f>
        <v>115000</v>
      </c>
      <c r="R14" s="273" t="n">
        <f aca="false">'Cash Flow'!C9*R6</f>
        <v>115000</v>
      </c>
      <c r="S14" s="273" t="n">
        <f aca="false">'Cash Flow'!C9*S6</f>
        <v>115000</v>
      </c>
      <c r="T14" s="273" t="n">
        <f aca="false">'Cash Flow'!C9*T6</f>
        <v>135000</v>
      </c>
      <c r="U14" s="273" t="n">
        <f aca="false">'Cash Flow'!C9*U6</f>
        <v>135000</v>
      </c>
      <c r="V14" s="273" t="n">
        <f aca="false">'Cash Flow'!C9*V6</f>
        <v>135000</v>
      </c>
      <c r="W14" s="273" t="n">
        <f aca="false">'Cash Flow'!C9*W6</f>
        <v>150000</v>
      </c>
      <c r="X14" s="273" t="n">
        <f aca="false">'Cash Flow'!C9*X6</f>
        <v>150000</v>
      </c>
      <c r="Y14" s="273" t="n">
        <f aca="false">'Cash Flow'!C9*Y6</f>
        <v>150000</v>
      </c>
      <c r="Z14" s="273" t="n">
        <f aca="false">'Cash Flow'!D9*Z6</f>
        <v>900000</v>
      </c>
      <c r="AA14" s="273" t="n">
        <f aca="false">'Cash Flow'!D9*AA6</f>
        <v>900000</v>
      </c>
      <c r="AB14" s="273" t="n">
        <f aca="false">'Cash Flow'!D9*AB6</f>
        <v>900000</v>
      </c>
      <c r="AC14" s="273" t="n">
        <f aca="false">'Cash Flow'!D9*AC6</f>
        <v>1035000</v>
      </c>
      <c r="AD14" s="273" t="n">
        <f aca="false">'Cash Flow'!D9*AD6</f>
        <v>1035000</v>
      </c>
      <c r="AE14" s="273" t="n">
        <f aca="false">'Cash Flow'!D9*AE6</f>
        <v>1035000</v>
      </c>
      <c r="AF14" s="273" t="n">
        <f aca="false">'Cash Flow'!D9*AF6</f>
        <v>1215000</v>
      </c>
      <c r="AG14" s="273" t="n">
        <f aca="false">'Cash Flow'!D9*AG6</f>
        <v>1215000</v>
      </c>
      <c r="AH14" s="273" t="n">
        <f aca="false">'Cash Flow'!D9*AH6</f>
        <v>1215000</v>
      </c>
      <c r="AI14" s="273" t="n">
        <f aca="false">'Cash Flow'!D9*AI6</f>
        <v>1350000</v>
      </c>
      <c r="AJ14" s="273" t="n">
        <f aca="false">'Cash Flow'!D9*AJ6</f>
        <v>1350000</v>
      </c>
      <c r="AK14" s="273" t="n">
        <f aca="false">'Cash Flow'!D9*AK6</f>
        <v>1350000</v>
      </c>
      <c r="AL14" s="273" t="n">
        <f aca="false">'Cash Flow'!E9*AL6</f>
        <v>1300000</v>
      </c>
      <c r="AM14" s="273" t="n">
        <f aca="false">'Cash Flow'!E9*AM6</f>
        <v>1300000</v>
      </c>
      <c r="AN14" s="273" t="n">
        <f aca="false">'Cash Flow'!E9*AN6</f>
        <v>1300000</v>
      </c>
      <c r="AO14" s="273" t="n">
        <f aca="false">'Cash Flow'!E9*AO6</f>
        <v>1495000</v>
      </c>
      <c r="AP14" s="273" t="n">
        <f aca="false">'Cash Flow'!E9*AP6</f>
        <v>1495000</v>
      </c>
      <c r="AQ14" s="273" t="n">
        <f aca="false">'Cash Flow'!E9*AQ6</f>
        <v>1495000</v>
      </c>
      <c r="AR14" s="273" t="n">
        <f aca="false">'Cash Flow'!E9*AR6</f>
        <v>1755000</v>
      </c>
      <c r="AS14" s="273" t="n">
        <f aca="false">'Cash Flow'!E9*AS6</f>
        <v>1755000</v>
      </c>
      <c r="AT14" s="273" t="n">
        <f aca="false">'Cash Flow'!E9*AT6</f>
        <v>1755000</v>
      </c>
      <c r="AU14" s="273" t="n">
        <f aca="false">'Cash Flow'!E9*AU6</f>
        <v>1950000</v>
      </c>
      <c r="AV14" s="273" t="n">
        <f aca="false">'Cash Flow'!E9*AV6</f>
        <v>1950000</v>
      </c>
      <c r="AW14" s="273" t="n">
        <f aca="false">'Cash Flow'!E9*AW6</f>
        <v>1950000</v>
      </c>
      <c r="AX14" s="273" t="n">
        <f aca="false">'Cash Flow'!F9*AX6</f>
        <v>2300000</v>
      </c>
      <c r="AY14" s="273" t="n">
        <f aca="false">'Cash Flow'!F9*AY6</f>
        <v>2300000</v>
      </c>
      <c r="AZ14" s="273" t="n">
        <f aca="false">'Cash Flow'!F9*AZ6</f>
        <v>2300000</v>
      </c>
      <c r="BA14" s="273" t="n">
        <f aca="false">'Cash Flow'!F9*BA6</f>
        <v>2645000</v>
      </c>
      <c r="BB14" s="273" t="n">
        <f aca="false">'Cash Flow'!F9*BB6</f>
        <v>2645000</v>
      </c>
      <c r="BC14" s="273" t="n">
        <f aca="false">'Cash Flow'!F9*BC6</f>
        <v>2645000</v>
      </c>
      <c r="BD14" s="273" t="n">
        <f aca="false">'Cash Flow'!F9*BD6</f>
        <v>3105000</v>
      </c>
      <c r="BE14" s="273" t="n">
        <f aca="false">'Cash Flow'!F9*BE6</f>
        <v>3105000</v>
      </c>
      <c r="BF14" s="273" t="n">
        <f aca="false">'Cash Flow'!F9*BF6</f>
        <v>3105000</v>
      </c>
      <c r="BG14" s="273" t="n">
        <f aca="false">'Cash Flow'!F9*BG6</f>
        <v>3450000</v>
      </c>
      <c r="BH14" s="273" t="n">
        <f aca="false">'Cash Flow'!F9*BH6</f>
        <v>3450000</v>
      </c>
      <c r="BI14" s="273" t="n">
        <f aca="false">'Cash Flow'!F9*BI6</f>
        <v>3450000</v>
      </c>
    </row>
    <row r="15" customFormat="false" ht="15" hidden="false" customHeight="true" outlineLevel="0" collapsed="false">
      <c r="A15" s="105" t="s">
        <v>446</v>
      </c>
      <c r="B15" s="273" t="n">
        <f aca="false">'Cash Flow'!B10*B6</f>
        <v>0</v>
      </c>
      <c r="C15" s="273" t="n">
        <f aca="false">'Cash Flow'!B10*C6</f>
        <v>0</v>
      </c>
      <c r="D15" s="273" t="n">
        <f aca="false">'Cash Flow'!B10*D6</f>
        <v>0</v>
      </c>
      <c r="E15" s="273" t="n">
        <f aca="false">'Cash Flow'!B10*E6</f>
        <v>0</v>
      </c>
      <c r="F15" s="273" t="n">
        <f aca="false">'Cash Flow'!B10*F6</f>
        <v>0</v>
      </c>
      <c r="G15" s="273" t="n">
        <f aca="false">'Cash Flow'!B10*G6</f>
        <v>0</v>
      </c>
      <c r="H15" s="273" t="n">
        <f aca="false">'Cash Flow'!B10*H6</f>
        <v>0</v>
      </c>
      <c r="I15" s="273" t="n">
        <f aca="false">'Cash Flow'!B10*I6</f>
        <v>0</v>
      </c>
      <c r="J15" s="273" t="n">
        <f aca="false">'Cash Flow'!B10*J6</f>
        <v>0</v>
      </c>
      <c r="K15" s="273" t="n">
        <f aca="false">'Cash Flow'!B10*K6</f>
        <v>0</v>
      </c>
      <c r="L15" s="273" t="n">
        <f aca="false">'Cash Flow'!B10*L6</f>
        <v>0</v>
      </c>
      <c r="M15" s="273" t="n">
        <f aca="false">'Cash Flow'!B10*M6</f>
        <v>0</v>
      </c>
      <c r="N15" s="273" t="n">
        <f aca="false">'Cash Flow'!C10*N6</f>
        <v>-0</v>
      </c>
      <c r="O15" s="273" t="n">
        <f aca="false">'Cash Flow'!C10*O6</f>
        <v>-0</v>
      </c>
      <c r="P15" s="273" t="n">
        <f aca="false">'Cash Flow'!C10*P6</f>
        <v>-0</v>
      </c>
      <c r="Q15" s="273" t="n">
        <f aca="false">'Cash Flow'!C10*Q6</f>
        <v>-0</v>
      </c>
      <c r="R15" s="273" t="n">
        <f aca="false">'Cash Flow'!C10*R6</f>
        <v>-0</v>
      </c>
      <c r="S15" s="273" t="n">
        <f aca="false">'Cash Flow'!C10*S6</f>
        <v>-0</v>
      </c>
      <c r="T15" s="273" t="n">
        <f aca="false">'Cash Flow'!C10*T6</f>
        <v>-0</v>
      </c>
      <c r="U15" s="273" t="n">
        <f aca="false">'Cash Flow'!C10*U6</f>
        <v>-0</v>
      </c>
      <c r="V15" s="273" t="n">
        <f aca="false">'Cash Flow'!C10*V6</f>
        <v>-0</v>
      </c>
      <c r="W15" s="273" t="n">
        <f aca="false">'Cash Flow'!C10*W6</f>
        <v>-0</v>
      </c>
      <c r="X15" s="273" t="n">
        <f aca="false">'Cash Flow'!C10*X6</f>
        <v>-0</v>
      </c>
      <c r="Y15" s="273" t="n">
        <f aca="false">'Cash Flow'!C10*Y6</f>
        <v>-0</v>
      </c>
      <c r="Z15" s="273" t="n">
        <f aca="false">'Cash Flow'!D10*Z6</f>
        <v>-0</v>
      </c>
      <c r="AA15" s="273" t="n">
        <f aca="false">'Cash Flow'!D10*AA6</f>
        <v>-0</v>
      </c>
      <c r="AB15" s="273" t="n">
        <f aca="false">'Cash Flow'!D10*AB6</f>
        <v>-0</v>
      </c>
      <c r="AC15" s="273" t="n">
        <f aca="false">'Cash Flow'!D10*AC6</f>
        <v>-0</v>
      </c>
      <c r="AD15" s="273" t="n">
        <f aca="false">'Cash Flow'!D10*AD6</f>
        <v>-0</v>
      </c>
      <c r="AE15" s="273" t="n">
        <f aca="false">'Cash Flow'!D10*AE6</f>
        <v>-0</v>
      </c>
      <c r="AF15" s="273" t="n">
        <f aca="false">'Cash Flow'!D10*AF6</f>
        <v>-0</v>
      </c>
      <c r="AG15" s="273" t="n">
        <f aca="false">'Cash Flow'!D10*AG6</f>
        <v>-0</v>
      </c>
      <c r="AH15" s="273" t="n">
        <f aca="false">'Cash Flow'!D10*AH6</f>
        <v>-0</v>
      </c>
      <c r="AI15" s="273" t="n">
        <f aca="false">'Cash Flow'!D10*AI6</f>
        <v>-0</v>
      </c>
      <c r="AJ15" s="273" t="n">
        <f aca="false">'Cash Flow'!D10*AJ6</f>
        <v>-0</v>
      </c>
      <c r="AK15" s="273" t="n">
        <f aca="false">'Cash Flow'!D10*AK6</f>
        <v>-0</v>
      </c>
      <c r="AL15" s="273" t="n">
        <f aca="false">'Cash Flow'!E10*AL6</f>
        <v>-0</v>
      </c>
      <c r="AM15" s="273" t="n">
        <f aca="false">'Cash Flow'!E10*AM6</f>
        <v>-0</v>
      </c>
      <c r="AN15" s="273" t="n">
        <f aca="false">'Cash Flow'!E10*AN6</f>
        <v>-0</v>
      </c>
      <c r="AO15" s="273" t="n">
        <f aca="false">'Cash Flow'!E10*AO6</f>
        <v>-0</v>
      </c>
      <c r="AP15" s="273" t="n">
        <f aca="false">'Cash Flow'!E10*AP6</f>
        <v>-0</v>
      </c>
      <c r="AQ15" s="273" t="n">
        <f aca="false">'Cash Flow'!E10*AQ6</f>
        <v>-0</v>
      </c>
      <c r="AR15" s="273" t="n">
        <f aca="false">'Cash Flow'!E10*AR6</f>
        <v>-0</v>
      </c>
      <c r="AS15" s="273" t="n">
        <f aca="false">'Cash Flow'!E10*AS6</f>
        <v>-0</v>
      </c>
      <c r="AT15" s="273" t="n">
        <f aca="false">'Cash Flow'!E10*AT6</f>
        <v>-0</v>
      </c>
      <c r="AU15" s="273" t="n">
        <f aca="false">'Cash Flow'!E10*AU6</f>
        <v>-0</v>
      </c>
      <c r="AV15" s="273" t="n">
        <f aca="false">'Cash Flow'!E10*AV6</f>
        <v>-0</v>
      </c>
      <c r="AW15" s="273" t="n">
        <f aca="false">'Cash Flow'!E10*AW6</f>
        <v>-0</v>
      </c>
      <c r="AX15" s="273" t="n">
        <f aca="false">'Cash Flow'!F10*AX6</f>
        <v>-0</v>
      </c>
      <c r="AY15" s="273" t="n">
        <f aca="false">'Cash Flow'!F10*AY6</f>
        <v>-0</v>
      </c>
      <c r="AZ15" s="273" t="n">
        <f aca="false">'Cash Flow'!F10*AZ6</f>
        <v>-0</v>
      </c>
      <c r="BA15" s="273" t="n">
        <f aca="false">'Cash Flow'!F10*BA6</f>
        <v>-0</v>
      </c>
      <c r="BB15" s="273" t="n">
        <f aca="false">'Cash Flow'!F10*BB6</f>
        <v>-0</v>
      </c>
      <c r="BC15" s="273" t="n">
        <f aca="false">'Cash Flow'!F10*BC6</f>
        <v>-0</v>
      </c>
      <c r="BD15" s="273" t="n">
        <f aca="false">'Cash Flow'!F10*BD6</f>
        <v>-0</v>
      </c>
      <c r="BE15" s="273" t="n">
        <f aca="false">'Cash Flow'!F10*BE6</f>
        <v>-0</v>
      </c>
      <c r="BF15" s="273" t="n">
        <f aca="false">'Cash Flow'!F10*BF6</f>
        <v>-0</v>
      </c>
      <c r="BG15" s="273" t="n">
        <f aca="false">'Cash Flow'!F10*BG6</f>
        <v>-0</v>
      </c>
      <c r="BH15" s="273" t="n">
        <f aca="false">'Cash Flow'!F10*BH6</f>
        <v>-0</v>
      </c>
      <c r="BI15" s="273" t="n">
        <f aca="false">'Cash Flow'!F10*BI6</f>
        <v>-0</v>
      </c>
    </row>
    <row r="16" customFormat="false" ht="15" hidden="false" customHeight="true" outlineLevel="0" collapsed="false">
      <c r="A16" s="271" t="s">
        <v>447</v>
      </c>
      <c r="B16" s="272" t="n">
        <f aca="false">SUM(B10:B15)</f>
        <v>0</v>
      </c>
      <c r="C16" s="272" t="n">
        <f aca="false">SUM(C10:C15)</f>
        <v>-1587071.83785714</v>
      </c>
      <c r="D16" s="272" t="n">
        <f aca="false">SUM(D10:D15)</f>
        <v>-1587071.83785714</v>
      </c>
      <c r="E16" s="272" t="n">
        <f aca="false">SUM(E10:E15)</f>
        <v>-1825132.61353572</v>
      </c>
      <c r="F16" s="272" t="n">
        <f aca="false">SUM(F10:F15)</f>
        <v>-1825132.61353572</v>
      </c>
      <c r="G16" s="272" t="n">
        <f aca="false">SUM(G10:G15)</f>
        <v>-1825132.61353572</v>
      </c>
      <c r="H16" s="272" t="n">
        <f aca="false">SUM(H10:H15)</f>
        <v>-2142546.98110714</v>
      </c>
      <c r="I16" s="272" t="n">
        <f aca="false">SUM(I10:I15)</f>
        <v>-2142546.98110714</v>
      </c>
      <c r="J16" s="272" t="n">
        <f aca="false">SUM(J10:J15)</f>
        <v>-2142546.98110714</v>
      </c>
      <c r="K16" s="272" t="n">
        <f aca="false">SUM(K10:K15)</f>
        <v>-2380607.75678571</v>
      </c>
      <c r="L16" s="272" t="n">
        <f aca="false">SUM(L10:L15)</f>
        <v>-2380607.75678571</v>
      </c>
      <c r="M16" s="272" t="n">
        <f aca="false">SUM(M10:M15)</f>
        <v>-2380607.75678571</v>
      </c>
      <c r="N16" s="272" t="n">
        <f aca="false">SUM(N10:N15)</f>
        <v>-27214560.17021</v>
      </c>
      <c r="O16" s="272" t="n">
        <f aca="false">SUM(O10:O15)</f>
        <v>-27214560.17021</v>
      </c>
      <c r="P16" s="272" t="n">
        <f aca="false">SUM(P10:P15)</f>
        <v>-27214560.17021</v>
      </c>
      <c r="Q16" s="272" t="n">
        <f aca="false">SUM(Q10:Q15)</f>
        <v>-31296744.1957415</v>
      </c>
      <c r="R16" s="272" t="n">
        <f aca="false">SUM(R10:R15)</f>
        <v>-31296744.1957415</v>
      </c>
      <c r="S16" s="272" t="n">
        <f aca="false">SUM(S10:S15)</f>
        <v>-31296744.1957415</v>
      </c>
      <c r="T16" s="272" t="n">
        <f aca="false">SUM(T10:T15)</f>
        <v>-36739656.2297835</v>
      </c>
      <c r="U16" s="272" t="n">
        <f aca="false">SUM(U10:U15)</f>
        <v>-36739656.2297835</v>
      </c>
      <c r="V16" s="272" t="n">
        <f aca="false">SUM(V10:V15)</f>
        <v>-36739656.2297835</v>
      </c>
      <c r="W16" s="272" t="n">
        <f aca="false">SUM(W10:W15)</f>
        <v>-40821840.255315</v>
      </c>
      <c r="X16" s="272" t="n">
        <f aca="false">SUM(X10:X15)</f>
        <v>-40821840.255315</v>
      </c>
      <c r="Y16" s="272" t="n">
        <f aca="false">SUM(Y10:Y15)</f>
        <v>-40821840.255315</v>
      </c>
      <c r="Z16" s="272" t="n">
        <f aca="false">SUM(Z10:Z15)</f>
        <v>-20685935.1288227</v>
      </c>
      <c r="AA16" s="272" t="n">
        <f aca="false">SUM(AA10:AA15)</f>
        <v>-20685935.1288227</v>
      </c>
      <c r="AB16" s="272" t="n">
        <f aca="false">SUM(AB10:AB15)</f>
        <v>-20685935.1288227</v>
      </c>
      <c r="AC16" s="272" t="n">
        <f aca="false">SUM(AC10:AC15)</f>
        <v>-23788825.3981461</v>
      </c>
      <c r="AD16" s="272" t="n">
        <f aca="false">SUM(AD10:AD15)</f>
        <v>-23788825.3981461</v>
      </c>
      <c r="AE16" s="272" t="n">
        <f aca="false">SUM(AE10:AE15)</f>
        <v>-23788825.3981461</v>
      </c>
      <c r="AF16" s="272" t="n">
        <f aca="false">SUM(AF10:AF15)</f>
        <v>-27926012.4239106</v>
      </c>
      <c r="AG16" s="272" t="n">
        <f aca="false">SUM(AG10:AG15)</f>
        <v>-27926012.4239106</v>
      </c>
      <c r="AH16" s="272" t="n">
        <f aca="false">SUM(AH10:AH15)</f>
        <v>-27926012.4239106</v>
      </c>
      <c r="AI16" s="272" t="n">
        <f aca="false">SUM(AI10:AI15)</f>
        <v>-31028902.693234</v>
      </c>
      <c r="AJ16" s="272" t="n">
        <f aca="false">SUM(AJ10:AJ15)</f>
        <v>-31028902.693234</v>
      </c>
      <c r="AK16" s="272" t="n">
        <f aca="false">SUM(AK10:AK15)</f>
        <v>-31028902.693234</v>
      </c>
      <c r="AL16" s="272" t="n">
        <f aca="false">SUM(AL10:AL15)</f>
        <v>-39727224.5728461</v>
      </c>
      <c r="AM16" s="272" t="n">
        <f aca="false">SUM(AM10:AM15)</f>
        <v>-39727224.5728461</v>
      </c>
      <c r="AN16" s="272" t="n">
        <f aca="false">SUM(AN10:AN15)</f>
        <v>-39727224.5728461</v>
      </c>
      <c r="AO16" s="272" t="n">
        <f aca="false">SUM(AO10:AO15)</f>
        <v>-45686308.2587731</v>
      </c>
      <c r="AP16" s="272" t="n">
        <f aca="false">SUM(AP10:AP15)</f>
        <v>-45686308.2587731</v>
      </c>
      <c r="AQ16" s="272" t="n">
        <f aca="false">SUM(AQ10:AQ15)</f>
        <v>-45686308.2587731</v>
      </c>
      <c r="AR16" s="272" t="n">
        <f aca="false">SUM(AR10:AR15)</f>
        <v>-53631753.1733423</v>
      </c>
      <c r="AS16" s="272" t="n">
        <f aca="false">SUM(AS10:AS15)</f>
        <v>-53631753.1733423</v>
      </c>
      <c r="AT16" s="272" t="n">
        <f aca="false">SUM(AT10:AT15)</f>
        <v>-53631753.1733423</v>
      </c>
      <c r="AU16" s="272" t="n">
        <f aca="false">SUM(AU10:AU15)</f>
        <v>-59590836.8592692</v>
      </c>
      <c r="AV16" s="272" t="n">
        <f aca="false">SUM(AV10:AV15)</f>
        <v>-59590836.8592692</v>
      </c>
      <c r="AW16" s="272" t="n">
        <f aca="false">SUM(AW10:AW15)</f>
        <v>-59590836.8592692</v>
      </c>
      <c r="AX16" s="272" t="n">
        <f aca="false">SUM(AX10:AX15)</f>
        <v>-72534969.4961059</v>
      </c>
      <c r="AY16" s="272" t="n">
        <f aca="false">SUM(AY10:AY15)</f>
        <v>-72534969.4961059</v>
      </c>
      <c r="AZ16" s="272" t="n">
        <f aca="false">SUM(AZ10:AZ15)</f>
        <v>-72534969.4961059</v>
      </c>
      <c r="BA16" s="272" t="n">
        <f aca="false">SUM(BA10:BA15)</f>
        <v>-83415214.9205218</v>
      </c>
      <c r="BB16" s="272" t="n">
        <f aca="false">SUM(BB10:BB15)</f>
        <v>-83415214.9205218</v>
      </c>
      <c r="BC16" s="272" t="n">
        <f aca="false">SUM(BC10:BC15)</f>
        <v>-83415214.9205218</v>
      </c>
      <c r="BD16" s="272" t="n">
        <f aca="false">SUM(BD10:BD15)</f>
        <v>-97922208.819743</v>
      </c>
      <c r="BE16" s="272" t="n">
        <f aca="false">SUM(BE10:BE15)</f>
        <v>-97922208.819743</v>
      </c>
      <c r="BF16" s="272" t="n">
        <f aca="false">SUM(BF10:BF15)</f>
        <v>-97922208.819743</v>
      </c>
      <c r="BG16" s="272" t="n">
        <f aca="false">SUM(BG10:BG15)</f>
        <v>-108802454.244159</v>
      </c>
      <c r="BH16" s="272" t="n">
        <f aca="false">SUM(BH10:BH15)</f>
        <v>-108802454.244159</v>
      </c>
      <c r="BI16" s="272" t="n">
        <f aca="false">SUM(BI10:BI15)</f>
        <v>-108802454.244159</v>
      </c>
    </row>
    <row r="17" customFormat="false" ht="15" hidden="false" customHeight="true" outlineLevel="0" collapsed="false">
      <c r="B17" s="273"/>
      <c r="C17" s="273"/>
      <c r="D17" s="273"/>
      <c r="E17" s="273"/>
      <c r="F17" s="273"/>
      <c r="G17" s="273"/>
      <c r="H17" s="273"/>
      <c r="I17" s="273"/>
      <c r="J17" s="273"/>
      <c r="K17" s="273"/>
      <c r="L17" s="273"/>
      <c r="M17" s="273"/>
      <c r="N17" s="273"/>
      <c r="O17" s="273"/>
      <c r="P17" s="273"/>
      <c r="Q17" s="273"/>
      <c r="R17" s="273"/>
      <c r="S17" s="273"/>
      <c r="T17" s="273"/>
      <c r="U17" s="273"/>
      <c r="V17" s="273"/>
      <c r="W17" s="273"/>
      <c r="X17" s="273"/>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3"/>
      <c r="BD17" s="273"/>
      <c r="BE17" s="273"/>
      <c r="BF17" s="273"/>
      <c r="BG17" s="273"/>
      <c r="BH17" s="273"/>
      <c r="BI17" s="273"/>
    </row>
    <row r="18" customFormat="false" ht="15" hidden="false" customHeight="true" outlineLevel="0" collapsed="false">
      <c r="A18" s="105" t="s">
        <v>96</v>
      </c>
      <c r="B18" s="273" t="n">
        <f aca="false">'Cash Flow'!B14*B6</f>
        <v>-0</v>
      </c>
      <c r="C18" s="273" t="n">
        <f aca="false">'Cash Flow'!B14*C6</f>
        <v>-307285.714285714</v>
      </c>
      <c r="D18" s="273" t="n">
        <f aca="false">'Cash Flow'!B14*D6</f>
        <v>-307285.714285714</v>
      </c>
      <c r="E18" s="273" t="n">
        <f aca="false">'Cash Flow'!B14*E6</f>
        <v>-353378.571428572</v>
      </c>
      <c r="F18" s="273" t="n">
        <f aca="false">'Cash Flow'!B14*F6</f>
        <v>-353378.571428572</v>
      </c>
      <c r="G18" s="273" t="n">
        <f aca="false">'Cash Flow'!B14*G6</f>
        <v>-353378.571428572</v>
      </c>
      <c r="H18" s="273" t="n">
        <f aca="false">'Cash Flow'!B14*H6</f>
        <v>-414835.714285715</v>
      </c>
      <c r="I18" s="273" t="n">
        <f aca="false">'Cash Flow'!B14*I6</f>
        <v>-414835.714285715</v>
      </c>
      <c r="J18" s="273" t="n">
        <f aca="false">'Cash Flow'!B14*J6</f>
        <v>-414835.714285715</v>
      </c>
      <c r="K18" s="273" t="n">
        <f aca="false">'Cash Flow'!B14*K6</f>
        <v>-460928.571428571</v>
      </c>
      <c r="L18" s="273" t="n">
        <f aca="false">'Cash Flow'!B14*L6</f>
        <v>-460928.571428571</v>
      </c>
      <c r="M18" s="273" t="n">
        <f aca="false">'Cash Flow'!B14*M6</f>
        <v>-460928.571428571</v>
      </c>
      <c r="N18" s="273" t="n">
        <f aca="false">'Cash Flow'!C14*N6</f>
        <v>-33333.3333333334</v>
      </c>
      <c r="O18" s="273" t="n">
        <f aca="false">'Cash Flow'!C14*O6</f>
        <v>-33333.3333333334</v>
      </c>
      <c r="P18" s="273" t="n">
        <f aca="false">'Cash Flow'!C14*P6</f>
        <v>-33333.3333333334</v>
      </c>
      <c r="Q18" s="273" t="n">
        <f aca="false">'Cash Flow'!C14*Q6</f>
        <v>-38333.3333333334</v>
      </c>
      <c r="R18" s="273" t="n">
        <f aca="false">'Cash Flow'!C14*R6</f>
        <v>-38333.3333333334</v>
      </c>
      <c r="S18" s="273" t="n">
        <f aca="false">'Cash Flow'!C14*S6</f>
        <v>-38333.3333333334</v>
      </c>
      <c r="T18" s="273" t="n">
        <f aca="false">'Cash Flow'!C14*T6</f>
        <v>-45000</v>
      </c>
      <c r="U18" s="273" t="n">
        <f aca="false">'Cash Flow'!C14*U6</f>
        <v>-45000</v>
      </c>
      <c r="V18" s="273" t="n">
        <f aca="false">'Cash Flow'!C14*V6</f>
        <v>-45000</v>
      </c>
      <c r="W18" s="273" t="n">
        <f aca="false">'Cash Flow'!C14*W6</f>
        <v>-50000</v>
      </c>
      <c r="X18" s="273" t="n">
        <f aca="false">'Cash Flow'!C14*X6</f>
        <v>-50000</v>
      </c>
      <c r="Y18" s="273" t="n">
        <f aca="false">'Cash Flow'!C14*Y6</f>
        <v>-50000</v>
      </c>
      <c r="Z18" s="273" t="n">
        <f aca="false">'Cash Flow'!D14*Z6</f>
        <v>-66666.6666666667</v>
      </c>
      <c r="AA18" s="273" t="n">
        <f aca="false">'Cash Flow'!D14*AA6</f>
        <v>-66666.6666666667</v>
      </c>
      <c r="AB18" s="273" t="n">
        <f aca="false">'Cash Flow'!D14*AB6</f>
        <v>-66666.6666666667</v>
      </c>
      <c r="AC18" s="273" t="n">
        <f aca="false">'Cash Flow'!D14*AC6</f>
        <v>-76666.6666666667</v>
      </c>
      <c r="AD18" s="273" t="n">
        <f aca="false">'Cash Flow'!D14*AD6</f>
        <v>-76666.6666666667</v>
      </c>
      <c r="AE18" s="273" t="n">
        <f aca="false">'Cash Flow'!D14*AE6</f>
        <v>-76666.6666666667</v>
      </c>
      <c r="AF18" s="273" t="n">
        <f aca="false">'Cash Flow'!D14*AF6</f>
        <v>-90000</v>
      </c>
      <c r="AG18" s="273" t="n">
        <f aca="false">'Cash Flow'!D14*AG6</f>
        <v>-90000</v>
      </c>
      <c r="AH18" s="273" t="n">
        <f aca="false">'Cash Flow'!D14*AH6</f>
        <v>-90000</v>
      </c>
      <c r="AI18" s="273" t="n">
        <f aca="false">'Cash Flow'!D14*AI6</f>
        <v>-100000</v>
      </c>
      <c r="AJ18" s="273" t="n">
        <f aca="false">'Cash Flow'!D14*AJ6</f>
        <v>-100000</v>
      </c>
      <c r="AK18" s="273" t="n">
        <f aca="false">'Cash Flow'!D14*AK6</f>
        <v>-100000</v>
      </c>
      <c r="AL18" s="273" t="n">
        <f aca="false">'Cash Flow'!E14*AL6</f>
        <v>-100000</v>
      </c>
      <c r="AM18" s="273" t="n">
        <f aca="false">'Cash Flow'!E14*AM6</f>
        <v>-100000</v>
      </c>
      <c r="AN18" s="273" t="n">
        <f aca="false">'Cash Flow'!E14*AN6</f>
        <v>-100000</v>
      </c>
      <c r="AO18" s="273" t="n">
        <f aca="false">'Cash Flow'!E14*AO6</f>
        <v>-115000</v>
      </c>
      <c r="AP18" s="273" t="n">
        <f aca="false">'Cash Flow'!E14*AP6</f>
        <v>-115000</v>
      </c>
      <c r="AQ18" s="273" t="n">
        <f aca="false">'Cash Flow'!E14*AQ6</f>
        <v>-115000</v>
      </c>
      <c r="AR18" s="273" t="n">
        <f aca="false">'Cash Flow'!E14*AR6</f>
        <v>-135000</v>
      </c>
      <c r="AS18" s="273" t="n">
        <f aca="false">'Cash Flow'!E14*AS6</f>
        <v>-135000</v>
      </c>
      <c r="AT18" s="273" t="n">
        <f aca="false">'Cash Flow'!E14*AT6</f>
        <v>-135000</v>
      </c>
      <c r="AU18" s="273" t="n">
        <f aca="false">'Cash Flow'!E14*AU6</f>
        <v>-150000</v>
      </c>
      <c r="AV18" s="273" t="n">
        <f aca="false">'Cash Flow'!E14*AV6</f>
        <v>-150000</v>
      </c>
      <c r="AW18" s="273" t="n">
        <f aca="false">'Cash Flow'!E14*AW6</f>
        <v>-150000</v>
      </c>
      <c r="AX18" s="273" t="n">
        <f aca="false">'Cash Flow'!F14*AX6</f>
        <v>-133333.333333333</v>
      </c>
      <c r="AY18" s="273" t="n">
        <f aca="false">'Cash Flow'!F14*AY6</f>
        <v>-133333.333333333</v>
      </c>
      <c r="AZ18" s="273" t="n">
        <f aca="false">'Cash Flow'!F14*AZ6</f>
        <v>-133333.333333333</v>
      </c>
      <c r="BA18" s="273" t="n">
        <f aca="false">'Cash Flow'!F14*BA6</f>
        <v>-153333.333333333</v>
      </c>
      <c r="BB18" s="273" t="n">
        <f aca="false">'Cash Flow'!F14*BB6</f>
        <v>-153333.333333333</v>
      </c>
      <c r="BC18" s="273" t="n">
        <f aca="false">'Cash Flow'!F14*BC6</f>
        <v>-153333.333333333</v>
      </c>
      <c r="BD18" s="273" t="n">
        <f aca="false">'Cash Flow'!F14*BD6</f>
        <v>-180000</v>
      </c>
      <c r="BE18" s="273" t="n">
        <f aca="false">'Cash Flow'!F14*BE6</f>
        <v>-180000</v>
      </c>
      <c r="BF18" s="273" t="n">
        <f aca="false">'Cash Flow'!F14*BF6</f>
        <v>-180000</v>
      </c>
      <c r="BG18" s="273" t="n">
        <f aca="false">'Cash Flow'!F14*BG6</f>
        <v>-200000</v>
      </c>
      <c r="BH18" s="273" t="n">
        <f aca="false">'Cash Flow'!F14*BH6</f>
        <v>-200000</v>
      </c>
      <c r="BI18" s="273" t="n">
        <f aca="false">'Cash Flow'!F14*BI6</f>
        <v>-200000</v>
      </c>
    </row>
    <row r="19" customFormat="false" ht="21.75" hidden="false" customHeight="true" outlineLevel="0" collapsed="false">
      <c r="A19" s="271" t="s">
        <v>448</v>
      </c>
      <c r="B19" s="272" t="n">
        <f aca="false">B18</f>
        <v>-0</v>
      </c>
      <c r="C19" s="272" t="n">
        <f aca="false">C18</f>
        <v>-307285.714285714</v>
      </c>
      <c r="D19" s="272" t="n">
        <f aca="false">D18</f>
        <v>-307285.714285714</v>
      </c>
      <c r="E19" s="272" t="n">
        <f aca="false">E18</f>
        <v>-353378.571428572</v>
      </c>
      <c r="F19" s="272" t="n">
        <f aca="false">F18</f>
        <v>-353378.571428572</v>
      </c>
      <c r="G19" s="272" t="n">
        <f aca="false">G18</f>
        <v>-353378.571428572</v>
      </c>
      <c r="H19" s="272" t="n">
        <f aca="false">H18</f>
        <v>-414835.714285715</v>
      </c>
      <c r="I19" s="272" t="n">
        <f aca="false">I18</f>
        <v>-414835.714285715</v>
      </c>
      <c r="J19" s="272" t="n">
        <f aca="false">J18</f>
        <v>-414835.714285715</v>
      </c>
      <c r="K19" s="272" t="n">
        <f aca="false">K18</f>
        <v>-460928.571428571</v>
      </c>
      <c r="L19" s="272" t="n">
        <f aca="false">L18</f>
        <v>-460928.571428571</v>
      </c>
      <c r="M19" s="272" t="n">
        <f aca="false">M18</f>
        <v>-460928.571428571</v>
      </c>
      <c r="N19" s="272" t="n">
        <f aca="false">N18</f>
        <v>-33333.3333333334</v>
      </c>
      <c r="O19" s="272" t="n">
        <f aca="false">O18</f>
        <v>-33333.3333333334</v>
      </c>
      <c r="P19" s="272" t="n">
        <f aca="false">P18</f>
        <v>-33333.3333333334</v>
      </c>
      <c r="Q19" s="272" t="n">
        <f aca="false">Q18</f>
        <v>-38333.3333333334</v>
      </c>
      <c r="R19" s="272" t="n">
        <f aca="false">R18</f>
        <v>-38333.3333333334</v>
      </c>
      <c r="S19" s="272" t="n">
        <f aca="false">S18</f>
        <v>-38333.3333333334</v>
      </c>
      <c r="T19" s="272" t="n">
        <f aca="false">T18</f>
        <v>-45000</v>
      </c>
      <c r="U19" s="272" t="n">
        <f aca="false">U18</f>
        <v>-45000</v>
      </c>
      <c r="V19" s="272" t="n">
        <f aca="false">V18</f>
        <v>-45000</v>
      </c>
      <c r="W19" s="272" t="n">
        <f aca="false">W18</f>
        <v>-50000</v>
      </c>
      <c r="X19" s="272" t="n">
        <f aca="false">X18</f>
        <v>-50000</v>
      </c>
      <c r="Y19" s="272" t="n">
        <f aca="false">Y18</f>
        <v>-50000</v>
      </c>
      <c r="Z19" s="272" t="n">
        <f aca="false">Z18</f>
        <v>-66666.6666666667</v>
      </c>
      <c r="AA19" s="272" t="n">
        <f aca="false">AA18</f>
        <v>-66666.6666666667</v>
      </c>
      <c r="AB19" s="272" t="n">
        <f aca="false">AB18</f>
        <v>-66666.6666666667</v>
      </c>
      <c r="AC19" s="272" t="n">
        <f aca="false">AC18</f>
        <v>-76666.6666666667</v>
      </c>
      <c r="AD19" s="272" t="n">
        <f aca="false">AD18</f>
        <v>-76666.6666666667</v>
      </c>
      <c r="AE19" s="272" t="n">
        <f aca="false">AE18</f>
        <v>-76666.6666666667</v>
      </c>
      <c r="AF19" s="272" t="n">
        <f aca="false">AF18</f>
        <v>-90000</v>
      </c>
      <c r="AG19" s="272" t="n">
        <f aca="false">AG18</f>
        <v>-90000</v>
      </c>
      <c r="AH19" s="272" t="n">
        <f aca="false">AH18</f>
        <v>-90000</v>
      </c>
      <c r="AI19" s="272" t="n">
        <f aca="false">AI18</f>
        <v>-100000</v>
      </c>
      <c r="AJ19" s="272" t="n">
        <f aca="false">AJ18</f>
        <v>-100000</v>
      </c>
      <c r="AK19" s="272" t="n">
        <f aca="false">AK18</f>
        <v>-100000</v>
      </c>
      <c r="AL19" s="272" t="n">
        <f aca="false">AL18</f>
        <v>-100000</v>
      </c>
      <c r="AM19" s="272" t="n">
        <f aca="false">AM18</f>
        <v>-100000</v>
      </c>
      <c r="AN19" s="272" t="n">
        <f aca="false">AN18</f>
        <v>-100000</v>
      </c>
      <c r="AO19" s="272" t="n">
        <f aca="false">AO18</f>
        <v>-115000</v>
      </c>
      <c r="AP19" s="272" t="n">
        <f aca="false">AP18</f>
        <v>-115000</v>
      </c>
      <c r="AQ19" s="272" t="n">
        <f aca="false">AQ18</f>
        <v>-115000</v>
      </c>
      <c r="AR19" s="272" t="n">
        <f aca="false">AR18</f>
        <v>-135000</v>
      </c>
      <c r="AS19" s="272" t="n">
        <f aca="false">AS18</f>
        <v>-135000</v>
      </c>
      <c r="AT19" s="272" t="n">
        <f aca="false">AT18</f>
        <v>-135000</v>
      </c>
      <c r="AU19" s="272" t="n">
        <f aca="false">AU18</f>
        <v>-150000</v>
      </c>
      <c r="AV19" s="272" t="n">
        <f aca="false">AV18</f>
        <v>-150000</v>
      </c>
      <c r="AW19" s="272" t="n">
        <f aca="false">AW18</f>
        <v>-150000</v>
      </c>
      <c r="AX19" s="272" t="n">
        <f aca="false">AX18</f>
        <v>-133333.333333333</v>
      </c>
      <c r="AY19" s="272" t="n">
        <f aca="false">AY18</f>
        <v>-133333.333333333</v>
      </c>
      <c r="AZ19" s="272" t="n">
        <f aca="false">AZ18</f>
        <v>-133333.333333333</v>
      </c>
      <c r="BA19" s="272" t="n">
        <f aca="false">BA18</f>
        <v>-153333.333333333</v>
      </c>
      <c r="BB19" s="272" t="n">
        <f aca="false">BB18</f>
        <v>-153333.333333333</v>
      </c>
      <c r="BC19" s="272" t="n">
        <f aca="false">BC18</f>
        <v>-153333.333333333</v>
      </c>
      <c r="BD19" s="272" t="n">
        <f aca="false">BD18</f>
        <v>-180000</v>
      </c>
      <c r="BE19" s="272" t="n">
        <f aca="false">BE18</f>
        <v>-180000</v>
      </c>
      <c r="BF19" s="272" t="n">
        <f aca="false">BF18</f>
        <v>-180000</v>
      </c>
      <c r="BG19" s="272" t="n">
        <f aca="false">BG18</f>
        <v>-200000</v>
      </c>
      <c r="BH19" s="272" t="n">
        <f aca="false">BH18</f>
        <v>-200000</v>
      </c>
      <c r="BI19" s="272" t="n">
        <f aca="false">BI18</f>
        <v>-200000</v>
      </c>
    </row>
    <row r="20" customFormat="false" ht="15" hidden="false" customHeight="true" outlineLevel="0" collapsed="false">
      <c r="A20" s="274" t="s">
        <v>449</v>
      </c>
      <c r="B20" s="275" t="n">
        <f aca="false">Assumptions!B101</f>
        <v>0</v>
      </c>
      <c r="C20" s="275" t="n">
        <f aca="false">Assumptions!B101</f>
        <v>0</v>
      </c>
      <c r="D20" s="275" t="n">
        <f aca="false">Assumptions!B101</f>
        <v>0</v>
      </c>
      <c r="E20" s="275" t="n">
        <f aca="false">Assumptions!B101</f>
        <v>0</v>
      </c>
      <c r="F20" s="275" t="n">
        <f aca="false">Assumptions!B101</f>
        <v>0</v>
      </c>
      <c r="G20" s="275" t="n">
        <f aca="false">Assumptions!B101</f>
        <v>0</v>
      </c>
      <c r="H20" s="275" t="n">
        <f aca="false">Assumptions!B101</f>
        <v>0</v>
      </c>
      <c r="I20" s="275" t="n">
        <f aca="false">Assumptions!B101</f>
        <v>0</v>
      </c>
      <c r="J20" s="275" t="n">
        <f aca="false">Assumptions!B101</f>
        <v>0</v>
      </c>
      <c r="K20" s="275" t="n">
        <f aca="false">Assumptions!B101</f>
        <v>0</v>
      </c>
      <c r="L20" s="275" t="n">
        <f aca="false">Assumptions!B101</f>
        <v>0</v>
      </c>
      <c r="M20" s="275" t="n">
        <f aca="false">Assumptions!B101</f>
        <v>0</v>
      </c>
      <c r="N20" s="275" t="n">
        <f aca="false">Assumptions!C101</f>
        <v>420000000</v>
      </c>
      <c r="O20" s="275" t="n">
        <f aca="false">Assumptions!C101</f>
        <v>420000000</v>
      </c>
      <c r="P20" s="275" t="n">
        <f aca="false">Assumptions!C101</f>
        <v>420000000</v>
      </c>
      <c r="Q20" s="275" t="n">
        <f aca="false">Assumptions!C101</f>
        <v>420000000</v>
      </c>
      <c r="R20" s="275" t="n">
        <f aca="false">Assumptions!C101</f>
        <v>420000000</v>
      </c>
      <c r="S20" s="275" t="n">
        <f aca="false">Assumptions!C101</f>
        <v>420000000</v>
      </c>
      <c r="T20" s="275" t="n">
        <f aca="false">Assumptions!C101</f>
        <v>420000000</v>
      </c>
      <c r="U20" s="275" t="n">
        <f aca="false">Assumptions!C101</f>
        <v>420000000</v>
      </c>
      <c r="V20" s="275" t="n">
        <f aca="false">Assumptions!C101</f>
        <v>420000000</v>
      </c>
      <c r="W20" s="275" t="n">
        <f aca="false">Assumptions!C101</f>
        <v>420000000</v>
      </c>
      <c r="X20" s="275" t="n">
        <f aca="false">Assumptions!C101</f>
        <v>420000000</v>
      </c>
      <c r="Y20" s="275" t="n">
        <f aca="false">Assumptions!C101</f>
        <v>420000000</v>
      </c>
      <c r="Z20" s="275" t="n">
        <f aca="false">Assumptions!D101</f>
        <v>850000000</v>
      </c>
      <c r="AA20" s="275" t="n">
        <f aca="false">Assumptions!D101</f>
        <v>850000000</v>
      </c>
      <c r="AB20" s="275" t="n">
        <f aca="false">Assumptions!D101</f>
        <v>850000000</v>
      </c>
      <c r="AC20" s="275" t="n">
        <f aca="false">Assumptions!D101</f>
        <v>850000000</v>
      </c>
      <c r="AD20" s="275" t="n">
        <f aca="false">Assumptions!D101</f>
        <v>850000000</v>
      </c>
      <c r="AE20" s="275" t="n">
        <f aca="false">Assumptions!D101</f>
        <v>850000000</v>
      </c>
      <c r="AF20" s="275" t="n">
        <f aca="false">Assumptions!D101</f>
        <v>850000000</v>
      </c>
      <c r="AG20" s="275" t="n">
        <f aca="false">Assumptions!D101</f>
        <v>850000000</v>
      </c>
      <c r="AH20" s="275" t="n">
        <f aca="false">Assumptions!D101</f>
        <v>850000000</v>
      </c>
      <c r="AI20" s="275" t="n">
        <f aca="false">Assumptions!D101</f>
        <v>850000000</v>
      </c>
      <c r="AJ20" s="275" t="n">
        <f aca="false">Assumptions!D101</f>
        <v>850000000</v>
      </c>
      <c r="AK20" s="275" t="n">
        <f aca="false">Assumptions!D101</f>
        <v>850000000</v>
      </c>
      <c r="AL20" s="275" t="n">
        <f aca="false">Assumptions!E101</f>
        <v>1600000000</v>
      </c>
      <c r="AM20" s="275" t="n">
        <f aca="false">Assumptions!E101</f>
        <v>1600000000</v>
      </c>
      <c r="AN20" s="275" t="n">
        <f aca="false">Assumptions!E101</f>
        <v>1600000000</v>
      </c>
      <c r="AO20" s="275" t="n">
        <f aca="false">Assumptions!E101</f>
        <v>1600000000</v>
      </c>
      <c r="AP20" s="275" t="n">
        <f aca="false">Assumptions!E101</f>
        <v>1600000000</v>
      </c>
      <c r="AQ20" s="275" t="n">
        <f aca="false">Assumptions!E101</f>
        <v>1600000000</v>
      </c>
      <c r="AR20" s="275" t="n">
        <f aca="false">Assumptions!E101</f>
        <v>1600000000</v>
      </c>
      <c r="AS20" s="275" t="n">
        <f aca="false">Assumptions!E101</f>
        <v>1600000000</v>
      </c>
      <c r="AT20" s="275" t="n">
        <f aca="false">Assumptions!E101</f>
        <v>1600000000</v>
      </c>
      <c r="AU20" s="275" t="n">
        <f aca="false">Assumptions!E101</f>
        <v>1600000000</v>
      </c>
      <c r="AV20" s="275" t="n">
        <f aca="false">Assumptions!E101</f>
        <v>1600000000</v>
      </c>
      <c r="AW20" s="275" t="n">
        <f aca="false">Assumptions!E101</f>
        <v>1600000000</v>
      </c>
      <c r="AX20" s="275" t="n">
        <f aca="false">Assumptions!F101</f>
        <v>3000000000</v>
      </c>
      <c r="AY20" s="275" t="n">
        <f aca="false">Assumptions!F101</f>
        <v>3000000000</v>
      </c>
      <c r="AZ20" s="275" t="n">
        <f aca="false">Assumptions!F101</f>
        <v>3000000000</v>
      </c>
      <c r="BA20" s="275" t="n">
        <f aca="false">Assumptions!F101</f>
        <v>3000000000</v>
      </c>
      <c r="BB20" s="275" t="n">
        <f aca="false">Assumptions!F101</f>
        <v>3000000000</v>
      </c>
      <c r="BC20" s="275" t="n">
        <f aca="false">Assumptions!F101</f>
        <v>3000000000</v>
      </c>
      <c r="BD20" s="275" t="n">
        <f aca="false">Assumptions!F101</f>
        <v>3000000000</v>
      </c>
      <c r="BE20" s="275" t="n">
        <f aca="false">Assumptions!F101</f>
        <v>3000000000</v>
      </c>
      <c r="BF20" s="275" t="n">
        <f aca="false">Assumptions!F101</f>
        <v>3000000000</v>
      </c>
      <c r="BG20" s="275" t="n">
        <f aca="false">Assumptions!F101</f>
        <v>3000000000</v>
      </c>
      <c r="BH20" s="275" t="n">
        <f aca="false">Assumptions!F101</f>
        <v>3000000000</v>
      </c>
      <c r="BI20" s="275" t="n">
        <f aca="false">Assumptions!F101</f>
        <v>3000000000</v>
      </c>
    </row>
    <row r="21" customFormat="false" ht="31.5" hidden="false" customHeight="true" outlineLevel="0" collapsed="false">
      <c r="A21" s="75" t="s">
        <v>450</v>
      </c>
      <c r="B21" s="273" t="n">
        <f aca="false">'Cash Flow'!B18*B6</f>
        <v>0</v>
      </c>
      <c r="C21" s="273" t="n">
        <f aca="false">'Cash Flow'!B18*C6</f>
        <v>0</v>
      </c>
      <c r="D21" s="273" t="n">
        <f aca="false">'Cash Flow'!B18*D6</f>
        <v>0</v>
      </c>
      <c r="E21" s="273" t="n">
        <f aca="false">'Cash Flow'!B18*E6</f>
        <v>0</v>
      </c>
      <c r="F21" s="273" t="n">
        <f aca="false">'Cash Flow'!B18*F6</f>
        <v>0</v>
      </c>
      <c r="G21" s="273" t="n">
        <f aca="false">'Cash Flow'!B18*G6</f>
        <v>0</v>
      </c>
      <c r="H21" s="273" t="n">
        <f aca="false">'Cash Flow'!B18*H6</f>
        <v>0</v>
      </c>
      <c r="I21" s="273" t="n">
        <f aca="false">'Cash Flow'!B18*I6</f>
        <v>0</v>
      </c>
      <c r="J21" s="273" t="n">
        <f aca="false">'Cash Flow'!B18*J6</f>
        <v>0</v>
      </c>
      <c r="K21" s="273" t="n">
        <f aca="false">'Cash Flow'!B18*K6</f>
        <v>0</v>
      </c>
      <c r="L21" s="273" t="n">
        <f aca="false">'Cash Flow'!B18*L6</f>
        <v>0</v>
      </c>
      <c r="M21" s="273" t="n">
        <f aca="false">'Cash Flow'!B18*M6</f>
        <v>0</v>
      </c>
      <c r="N21" s="273" t="n">
        <f aca="false">'Cash Flow'!C18*N6</f>
        <v>24666666.6666667</v>
      </c>
      <c r="O21" s="273" t="n">
        <f aca="false">'Cash Flow'!C18*O6</f>
        <v>24666666.6666667</v>
      </c>
      <c r="P21" s="273" t="n">
        <f aca="false">'Cash Flow'!C18*P6</f>
        <v>24666666.6666667</v>
      </c>
      <c r="Q21" s="273" t="n">
        <f aca="false">'Cash Flow'!C18*Q6</f>
        <v>28366666.6666667</v>
      </c>
      <c r="R21" s="273" t="n">
        <f aca="false">'Cash Flow'!C18*R6</f>
        <v>28366666.6666667</v>
      </c>
      <c r="S21" s="273" t="n">
        <f aca="false">'Cash Flow'!C18*S6</f>
        <v>28366666.6666667</v>
      </c>
      <c r="T21" s="273" t="n">
        <f aca="false">'Cash Flow'!C18*T6</f>
        <v>33300000</v>
      </c>
      <c r="U21" s="273" t="n">
        <f aca="false">'Cash Flow'!C18*U6</f>
        <v>33300000</v>
      </c>
      <c r="V21" s="273" t="n">
        <f aca="false">'Cash Flow'!C18*V6</f>
        <v>33300000</v>
      </c>
      <c r="W21" s="273" t="n">
        <f aca="false">'Cash Flow'!C18*W6</f>
        <v>37000000</v>
      </c>
      <c r="X21" s="273" t="n">
        <f aca="false">'Cash Flow'!C18*X6</f>
        <v>37000000</v>
      </c>
      <c r="Y21" s="273" t="n">
        <f aca="false">'Cash Flow'!C18*Y6</f>
        <v>37000000</v>
      </c>
      <c r="Z21" s="273" t="n">
        <f aca="false">'Cash Flow'!D18*Z6</f>
        <v>21000000</v>
      </c>
      <c r="AA21" s="273" t="n">
        <f aca="false">'Cash Flow'!D18*AA6</f>
        <v>21000000</v>
      </c>
      <c r="AB21" s="273" t="n">
        <f aca="false">'Cash Flow'!D18*AB6</f>
        <v>21000000</v>
      </c>
      <c r="AC21" s="273" t="n">
        <f aca="false">'Cash Flow'!D18*AC6</f>
        <v>24150000</v>
      </c>
      <c r="AD21" s="273" t="n">
        <f aca="false">'Cash Flow'!D18*AD6</f>
        <v>24150000</v>
      </c>
      <c r="AE21" s="273" t="n">
        <f aca="false">'Cash Flow'!D18*AE6</f>
        <v>24150000</v>
      </c>
      <c r="AF21" s="273" t="n">
        <f aca="false">'Cash Flow'!D18*AF6</f>
        <v>28350000</v>
      </c>
      <c r="AG21" s="273" t="n">
        <f aca="false">'Cash Flow'!D18*AG6</f>
        <v>28350000</v>
      </c>
      <c r="AH21" s="273" t="n">
        <f aca="false">'Cash Flow'!D18*AH6</f>
        <v>28350000</v>
      </c>
      <c r="AI21" s="273" t="n">
        <f aca="false">'Cash Flow'!D18*AI6</f>
        <v>31500000</v>
      </c>
      <c r="AJ21" s="273" t="n">
        <f aca="false">'Cash Flow'!D18*AJ6</f>
        <v>31500000</v>
      </c>
      <c r="AK21" s="273" t="n">
        <f aca="false">'Cash Flow'!D18*AK6</f>
        <v>31500000</v>
      </c>
      <c r="AL21" s="273" t="n">
        <f aca="false">'Cash Flow'!E18*AL6</f>
        <v>43333333.3333334</v>
      </c>
      <c r="AM21" s="273" t="n">
        <f aca="false">'Cash Flow'!E18*AM6</f>
        <v>43333333.3333334</v>
      </c>
      <c r="AN21" s="273" t="n">
        <f aca="false">'Cash Flow'!E18*AN6</f>
        <v>43333333.3333334</v>
      </c>
      <c r="AO21" s="273" t="n">
        <f aca="false">'Cash Flow'!E18*AO6</f>
        <v>49833333.3333334</v>
      </c>
      <c r="AP21" s="273" t="n">
        <f aca="false">'Cash Flow'!E18*AP6</f>
        <v>49833333.3333334</v>
      </c>
      <c r="AQ21" s="273" t="n">
        <f aca="false">'Cash Flow'!E18*AQ6</f>
        <v>49833333.3333334</v>
      </c>
      <c r="AR21" s="273" t="n">
        <f aca="false">'Cash Flow'!E18*AR6</f>
        <v>58500000</v>
      </c>
      <c r="AS21" s="273" t="n">
        <f aca="false">'Cash Flow'!E18*AS6</f>
        <v>58500000</v>
      </c>
      <c r="AT21" s="273" t="n">
        <f aca="false">'Cash Flow'!E18*AT6</f>
        <v>58500000</v>
      </c>
      <c r="AU21" s="273" t="n">
        <f aca="false">'Cash Flow'!E18*AU6</f>
        <v>65000000</v>
      </c>
      <c r="AV21" s="273" t="n">
        <f aca="false">'Cash Flow'!E18*AV6</f>
        <v>65000000</v>
      </c>
      <c r="AW21" s="273" t="n">
        <f aca="false">'Cash Flow'!E18*AW6</f>
        <v>65000000</v>
      </c>
      <c r="AX21" s="273" t="n">
        <f aca="false">'Cash Flow'!F18*AX6</f>
        <v>84333333.3333334</v>
      </c>
      <c r="AY21" s="273" t="n">
        <f aca="false">'Cash Flow'!F18*AY6</f>
        <v>84333333.3333334</v>
      </c>
      <c r="AZ21" s="273" t="n">
        <f aca="false">'Cash Flow'!F18*AZ6</f>
        <v>84333333.3333334</v>
      </c>
      <c r="BA21" s="273" t="n">
        <f aca="false">'Cash Flow'!F18*BA6</f>
        <v>96983333.3333334</v>
      </c>
      <c r="BB21" s="273" t="n">
        <f aca="false">'Cash Flow'!F18*BB6</f>
        <v>96983333.3333334</v>
      </c>
      <c r="BC21" s="273" t="n">
        <f aca="false">'Cash Flow'!F18*BC6</f>
        <v>96983333.3333334</v>
      </c>
      <c r="BD21" s="273" t="n">
        <f aca="false">'Cash Flow'!F18*BD6</f>
        <v>113850000</v>
      </c>
      <c r="BE21" s="273" t="n">
        <f aca="false">'Cash Flow'!F18*BE6</f>
        <v>113850000</v>
      </c>
      <c r="BF21" s="273" t="n">
        <f aca="false">'Cash Flow'!F18*BF6</f>
        <v>113850000</v>
      </c>
      <c r="BG21" s="273" t="n">
        <f aca="false">'Cash Flow'!F18*BG6</f>
        <v>126500000</v>
      </c>
      <c r="BH21" s="273" t="n">
        <f aca="false">'Cash Flow'!F18*BH6</f>
        <v>126500000</v>
      </c>
      <c r="BI21" s="273" t="n">
        <f aca="false">'Cash Flow'!F18*BI6</f>
        <v>126500000</v>
      </c>
    </row>
    <row r="22" customFormat="false" ht="31.5" hidden="false" customHeight="true" outlineLevel="0" collapsed="false">
      <c r="A22" s="75" t="s">
        <v>451</v>
      </c>
      <c r="B22" s="273" t="n">
        <v>0</v>
      </c>
      <c r="C22" s="273" t="n">
        <v>0</v>
      </c>
      <c r="D22" s="273" t="n">
        <v>3750000</v>
      </c>
      <c r="E22" s="273" t="n">
        <v>0</v>
      </c>
      <c r="F22" s="273" t="n">
        <v>0</v>
      </c>
      <c r="G22" s="273" t="n">
        <v>3750000</v>
      </c>
      <c r="H22" s="273" t="n">
        <v>0</v>
      </c>
      <c r="I22" s="273" t="n">
        <v>0</v>
      </c>
      <c r="J22" s="273" t="n">
        <v>3750000</v>
      </c>
      <c r="K22" s="273" t="n">
        <v>0</v>
      </c>
      <c r="L22" s="273" t="n">
        <v>0</v>
      </c>
      <c r="M22" s="273" t="n">
        <v>3750000</v>
      </c>
      <c r="N22" s="273" t="n">
        <v>15000000</v>
      </c>
      <c r="O22" s="273" t="n">
        <v>0</v>
      </c>
      <c r="P22" s="273" t="n">
        <v>0</v>
      </c>
      <c r="Q22" s="273" t="n">
        <v>0</v>
      </c>
      <c r="R22" s="273" t="n">
        <v>15000000</v>
      </c>
      <c r="S22" s="273" t="n">
        <v>0</v>
      </c>
      <c r="T22" s="273" t="n">
        <v>0</v>
      </c>
      <c r="U22" s="273" t="n">
        <v>0</v>
      </c>
      <c r="V22" s="273" t="n">
        <v>15000000</v>
      </c>
      <c r="W22" s="273" t="n">
        <v>0</v>
      </c>
      <c r="X22" s="273" t="n">
        <v>0</v>
      </c>
      <c r="Y22" s="273" t="n">
        <v>0</v>
      </c>
      <c r="Z22" s="273" t="n">
        <v>0</v>
      </c>
      <c r="AA22" s="273" t="n">
        <v>0</v>
      </c>
      <c r="AB22" s="273" t="n">
        <v>0</v>
      </c>
      <c r="AC22" s="273" t="n">
        <v>0</v>
      </c>
      <c r="AD22" s="273" t="n">
        <v>0</v>
      </c>
      <c r="AE22" s="273" t="n">
        <v>0</v>
      </c>
      <c r="AF22" s="273" t="n">
        <v>0</v>
      </c>
      <c r="AG22" s="273" t="n">
        <v>0</v>
      </c>
      <c r="AH22" s="273" t="n">
        <v>0</v>
      </c>
      <c r="AI22" s="273" t="n">
        <v>0</v>
      </c>
      <c r="AJ22" s="273" t="n">
        <v>0</v>
      </c>
      <c r="AK22" s="273" t="n">
        <v>0</v>
      </c>
      <c r="AL22" s="273" t="n">
        <v>0</v>
      </c>
      <c r="AM22" s="273" t="n">
        <v>0</v>
      </c>
      <c r="AN22" s="273" t="n">
        <v>0</v>
      </c>
      <c r="AO22" s="273" t="n">
        <v>0</v>
      </c>
      <c r="AP22" s="273" t="n">
        <v>0</v>
      </c>
      <c r="AQ22" s="273" t="n">
        <v>0</v>
      </c>
      <c r="AR22" s="273" t="n">
        <v>0</v>
      </c>
      <c r="AS22" s="273" t="n">
        <v>0</v>
      </c>
      <c r="AT22" s="273" t="n">
        <v>0</v>
      </c>
      <c r="AU22" s="273" t="n">
        <v>0</v>
      </c>
      <c r="AV22" s="273" t="n">
        <v>0</v>
      </c>
      <c r="AW22" s="273" t="n">
        <v>0</v>
      </c>
      <c r="AX22" s="273" t="n">
        <v>0</v>
      </c>
      <c r="AY22" s="273" t="n">
        <v>0</v>
      </c>
      <c r="AZ22" s="273" t="n">
        <v>0</v>
      </c>
      <c r="BA22" s="273" t="n">
        <v>0</v>
      </c>
      <c r="BB22" s="273" t="n">
        <v>0</v>
      </c>
      <c r="BC22" s="273" t="n">
        <v>0</v>
      </c>
      <c r="BD22" s="273" t="n">
        <v>0</v>
      </c>
      <c r="BE22" s="273" t="n">
        <v>0</v>
      </c>
      <c r="BF22" s="273" t="n">
        <v>0</v>
      </c>
      <c r="BG22" s="273" t="n">
        <v>0</v>
      </c>
      <c r="BH22" s="273" t="n">
        <v>0</v>
      </c>
      <c r="BI22" s="273" t="n">
        <v>0</v>
      </c>
    </row>
    <row r="23" customFormat="false" ht="31.5" hidden="false" customHeight="true" outlineLevel="0" collapsed="false">
      <c r="A23" s="276" t="s">
        <v>452</v>
      </c>
      <c r="B23" s="272" t="n">
        <f aca="false">SUM(B21:B22)</f>
        <v>0</v>
      </c>
      <c r="C23" s="272" t="n">
        <f aca="false">SUM(C21:C22)</f>
        <v>0</v>
      </c>
      <c r="D23" s="272" t="n">
        <f aca="false">SUM(D21:D22)</f>
        <v>3750000</v>
      </c>
      <c r="E23" s="272" t="n">
        <f aca="false">SUM(E21:E22)</f>
        <v>0</v>
      </c>
      <c r="F23" s="272" t="n">
        <f aca="false">SUM(F21:F22)</f>
        <v>0</v>
      </c>
      <c r="G23" s="272" t="n">
        <f aca="false">SUM(G21:G22)</f>
        <v>3750000</v>
      </c>
      <c r="H23" s="272" t="n">
        <f aca="false">SUM(H21:H22)</f>
        <v>0</v>
      </c>
      <c r="I23" s="272" t="n">
        <f aca="false">SUM(I21:I22)</f>
        <v>0</v>
      </c>
      <c r="J23" s="272" t="n">
        <f aca="false">SUM(J21:J22)</f>
        <v>3750000</v>
      </c>
      <c r="K23" s="272" t="n">
        <f aca="false">SUM(K21:K22)</f>
        <v>0</v>
      </c>
      <c r="L23" s="272" t="n">
        <f aca="false">SUM(L21:L22)</f>
        <v>0</v>
      </c>
      <c r="M23" s="272" t="n">
        <f aca="false">SUM(M21:M22)</f>
        <v>3750000</v>
      </c>
      <c r="N23" s="272" t="n">
        <f aca="false">SUM(N21:N22)</f>
        <v>39666666.6666667</v>
      </c>
      <c r="O23" s="272" t="n">
        <f aca="false">SUM(O21:O22)</f>
        <v>24666666.6666667</v>
      </c>
      <c r="P23" s="272" t="n">
        <f aca="false">SUM(P21:P22)</f>
        <v>24666666.6666667</v>
      </c>
      <c r="Q23" s="272" t="n">
        <f aca="false">SUM(Q21:Q22)</f>
        <v>28366666.6666667</v>
      </c>
      <c r="R23" s="272" t="n">
        <f aca="false">SUM(R21:R22)</f>
        <v>43366666.6666667</v>
      </c>
      <c r="S23" s="272" t="n">
        <f aca="false">SUM(S21:S22)</f>
        <v>28366666.6666667</v>
      </c>
      <c r="T23" s="272" t="n">
        <f aca="false">SUM(T21:T22)</f>
        <v>33300000</v>
      </c>
      <c r="U23" s="272" t="n">
        <f aca="false">SUM(U21:U22)</f>
        <v>33300000</v>
      </c>
      <c r="V23" s="272" t="n">
        <f aca="false">SUM(V21:V22)</f>
        <v>48300000</v>
      </c>
      <c r="W23" s="272" t="n">
        <f aca="false">SUM(W21:W22)</f>
        <v>37000000</v>
      </c>
      <c r="X23" s="272" t="n">
        <f aca="false">SUM(X21:X22)</f>
        <v>37000000</v>
      </c>
      <c r="Y23" s="272" t="n">
        <f aca="false">SUM(Y21:Y22)</f>
        <v>37000000</v>
      </c>
      <c r="Z23" s="272" t="n">
        <f aca="false">SUM(Z21:Z22)</f>
        <v>21000000</v>
      </c>
      <c r="AA23" s="272" t="n">
        <f aca="false">SUM(AA21:AA22)</f>
        <v>21000000</v>
      </c>
      <c r="AB23" s="272" t="n">
        <f aca="false">SUM(AB21:AB22)</f>
        <v>21000000</v>
      </c>
      <c r="AC23" s="272" t="n">
        <f aca="false">SUM(AC21:AC22)</f>
        <v>24150000</v>
      </c>
      <c r="AD23" s="272" t="n">
        <f aca="false">SUM(AD21:AD22)</f>
        <v>24150000</v>
      </c>
      <c r="AE23" s="272" t="n">
        <f aca="false">SUM(AE21:AE22)</f>
        <v>24150000</v>
      </c>
      <c r="AF23" s="272" t="n">
        <f aca="false">SUM(AF21:AF22)</f>
        <v>28350000</v>
      </c>
      <c r="AG23" s="272" t="n">
        <f aca="false">SUM(AG21:AG22)</f>
        <v>28350000</v>
      </c>
      <c r="AH23" s="272" t="n">
        <f aca="false">SUM(AH21:AH22)</f>
        <v>28350000</v>
      </c>
      <c r="AI23" s="272" t="n">
        <f aca="false">SUM(AI21:AI22)</f>
        <v>31500000</v>
      </c>
      <c r="AJ23" s="272" t="n">
        <f aca="false">SUM(AJ21:AJ22)</f>
        <v>31500000</v>
      </c>
      <c r="AK23" s="272" t="n">
        <f aca="false">SUM(AK21:AK22)</f>
        <v>31500000</v>
      </c>
      <c r="AL23" s="272" t="n">
        <f aca="false">SUM(AL21:AL22)</f>
        <v>43333333.3333334</v>
      </c>
      <c r="AM23" s="272" t="n">
        <f aca="false">SUM(AM21:AM22)</f>
        <v>43333333.3333334</v>
      </c>
      <c r="AN23" s="272" t="n">
        <f aca="false">SUM(AN21:AN22)</f>
        <v>43333333.3333334</v>
      </c>
      <c r="AO23" s="272" t="n">
        <f aca="false">SUM(AO21:AO22)</f>
        <v>49833333.3333334</v>
      </c>
      <c r="AP23" s="272" t="n">
        <f aca="false">SUM(AP21:AP22)</f>
        <v>49833333.3333334</v>
      </c>
      <c r="AQ23" s="272" t="n">
        <f aca="false">SUM(AQ21:AQ22)</f>
        <v>49833333.3333334</v>
      </c>
      <c r="AR23" s="272" t="n">
        <f aca="false">SUM(AR21:AR22)</f>
        <v>58500000</v>
      </c>
      <c r="AS23" s="272" t="n">
        <f aca="false">SUM(AS21:AS22)</f>
        <v>58500000</v>
      </c>
      <c r="AT23" s="272" t="n">
        <f aca="false">SUM(AT21:AT22)</f>
        <v>58500000</v>
      </c>
      <c r="AU23" s="272" t="n">
        <f aca="false">SUM(AU21:AU22)</f>
        <v>65000000</v>
      </c>
      <c r="AV23" s="272" t="n">
        <f aca="false">SUM(AV21:AV22)</f>
        <v>65000000</v>
      </c>
      <c r="AW23" s="272" t="n">
        <f aca="false">SUM(AW21:AW22)</f>
        <v>65000000</v>
      </c>
      <c r="AX23" s="272" t="n">
        <f aca="false">SUM(AX21:AX22)</f>
        <v>84333333.3333334</v>
      </c>
      <c r="AY23" s="272" t="n">
        <f aca="false">SUM(AY21:AY22)</f>
        <v>84333333.3333334</v>
      </c>
      <c r="AZ23" s="272" t="n">
        <f aca="false">SUM(AZ21:AZ22)</f>
        <v>84333333.3333334</v>
      </c>
      <c r="BA23" s="272" t="n">
        <f aca="false">SUM(BA21:BA22)</f>
        <v>96983333.3333334</v>
      </c>
      <c r="BB23" s="272" t="n">
        <f aca="false">SUM(BB21:BB22)</f>
        <v>96983333.3333334</v>
      </c>
      <c r="BC23" s="272" t="n">
        <f aca="false">SUM(BC21:BC22)</f>
        <v>96983333.3333334</v>
      </c>
      <c r="BD23" s="272" t="n">
        <f aca="false">SUM(BD21:BD22)</f>
        <v>113850000</v>
      </c>
      <c r="BE23" s="272" t="n">
        <f aca="false">SUM(BE21:BE22)</f>
        <v>113850000</v>
      </c>
      <c r="BF23" s="272" t="n">
        <f aca="false">SUM(BF21:BF22)</f>
        <v>113850000</v>
      </c>
      <c r="BG23" s="272" t="n">
        <f aca="false">SUM(BG21:BG22)</f>
        <v>126500000</v>
      </c>
      <c r="BH23" s="272" t="n">
        <f aca="false">SUM(BH21:BH22)</f>
        <v>126500000</v>
      </c>
      <c r="BI23" s="272" t="n">
        <f aca="false">SUM(BI21:BI22)</f>
        <v>126500000</v>
      </c>
    </row>
    <row r="24" customFormat="false" ht="31.5" hidden="false" customHeight="true" outlineLevel="0" collapsed="false">
      <c r="A24" s="277" t="s">
        <v>453</v>
      </c>
      <c r="B24" s="275" t="n">
        <f aca="false">IF(B$4=2027,'Funding &amp; Liquidity'!$B$12*B$6,IF(B$4=2028,'Funding &amp; Liquidity'!$C$12*B$6,IF(B$4=2029,'Funding &amp; Liquidity'!$D$12*B$6,IF(B$4=2030,'Funding &amp; Liquidity'!$E$12*B$6,'Funding &amp; Liquidity'!$F$12*B$6))))</f>
        <v>0</v>
      </c>
      <c r="C24" s="275" t="n">
        <f aca="false">IF(C$4=2027,'Funding &amp; Liquidity'!$B$12*C$6,IF(C$4=2028,'Funding &amp; Liquidity'!$C$12*C$6,IF(C$4=2029,'Funding &amp; Liquidity'!$D$12*C$6,IF(C$4=2030,'Funding &amp; Liquidity'!$E$12*C$6,'Funding &amp; Liquidity'!$F$12*C$6))))</f>
        <v>0</v>
      </c>
      <c r="D24" s="275" t="n">
        <f aca="false">IF(D$4=2027,'Funding &amp; Liquidity'!$B$12*D$6,IF(D$4=2028,'Funding &amp; Liquidity'!$C$12*D$6,IF(D$4=2029,'Funding &amp; Liquidity'!$D$12*D$6,IF(D$4=2030,'Funding &amp; Liquidity'!$E$12*D$6,'Funding &amp; Liquidity'!$F$12*D$6))))</f>
        <v>0</v>
      </c>
      <c r="E24" s="275" t="n">
        <f aca="false">IF(E$4=2027,'Funding &amp; Liquidity'!$B$12*E$6,IF(E$4=2028,'Funding &amp; Liquidity'!$C$12*E$6,IF(E$4=2029,'Funding &amp; Liquidity'!$D$12*E$6,IF(E$4=2030,'Funding &amp; Liquidity'!$E$12*E$6,'Funding &amp; Liquidity'!$F$12*E$6))))</f>
        <v>0</v>
      </c>
      <c r="F24" s="275" t="n">
        <f aca="false">IF(F$4=2027,'Funding &amp; Liquidity'!$B$12*F$6,IF(F$4=2028,'Funding &amp; Liquidity'!$C$12*F$6,IF(F$4=2029,'Funding &amp; Liquidity'!$D$12*F$6,IF(F$4=2030,'Funding &amp; Liquidity'!$E$12*F$6,'Funding &amp; Liquidity'!$F$12*F$6))))</f>
        <v>0</v>
      </c>
      <c r="G24" s="275" t="n">
        <f aca="false">IF(G$4=2027,'Funding &amp; Liquidity'!$B$12*G$6,IF(G$4=2028,'Funding &amp; Liquidity'!$C$12*G$6,IF(G$4=2029,'Funding &amp; Liquidity'!$D$12*G$6,IF(G$4=2030,'Funding &amp; Liquidity'!$E$12*G$6,'Funding &amp; Liquidity'!$F$12*G$6))))</f>
        <v>0</v>
      </c>
      <c r="H24" s="275" t="n">
        <f aca="false">IF(H$4=2027,'Funding &amp; Liquidity'!$B$12*H$6,IF(H$4=2028,'Funding &amp; Liquidity'!$C$12*H$6,IF(H$4=2029,'Funding &amp; Liquidity'!$D$12*H$6,IF(H$4=2030,'Funding &amp; Liquidity'!$E$12*H$6,'Funding &amp; Liquidity'!$F$12*H$6))))</f>
        <v>0</v>
      </c>
      <c r="I24" s="275" t="n">
        <f aca="false">IF(I$4=2027,'Funding &amp; Liquidity'!$B$12*I$6,IF(I$4=2028,'Funding &amp; Liquidity'!$C$12*I$6,IF(I$4=2029,'Funding &amp; Liquidity'!$D$12*I$6,IF(I$4=2030,'Funding &amp; Liquidity'!$E$12*I$6,'Funding &amp; Liquidity'!$F$12*I$6))))</f>
        <v>0</v>
      </c>
      <c r="J24" s="275" t="n">
        <f aca="false">IF(J$4=2027,'Funding &amp; Liquidity'!$B$12*J$6,IF(J$4=2028,'Funding &amp; Liquidity'!$C$12*J$6,IF(J$4=2029,'Funding &amp; Liquidity'!$D$12*J$6,IF(J$4=2030,'Funding &amp; Liquidity'!$E$12*J$6,'Funding &amp; Liquidity'!$F$12*J$6))))</f>
        <v>0</v>
      </c>
      <c r="K24" s="275" t="n">
        <f aca="false">IF(K$4=2027,'Funding &amp; Liquidity'!$B$12*K$6,IF(K$4=2028,'Funding &amp; Liquidity'!$C$12*K$6,IF(K$4=2029,'Funding &amp; Liquidity'!$D$12*K$6,IF(K$4=2030,'Funding &amp; Liquidity'!$E$12*K$6,'Funding &amp; Liquidity'!$F$12*K$6))))</f>
        <v>0</v>
      </c>
      <c r="L24" s="275" t="n">
        <f aca="false">IF(L$4=2027,'Funding &amp; Liquidity'!$B$12*L$6,IF(L$4=2028,'Funding &amp; Liquidity'!$C$12*L$6,IF(L$4=2029,'Funding &amp; Liquidity'!$D$12*L$6,IF(L$4=2030,'Funding &amp; Liquidity'!$E$12*L$6,'Funding &amp; Liquidity'!$F$12*L$6))))</f>
        <v>0</v>
      </c>
      <c r="M24" s="275" t="n">
        <f aca="false">IF(M$4=2027,'Funding &amp; Liquidity'!$B$12*M$6,IF(M$4=2028,'Funding &amp; Liquidity'!$C$12*M$6,IF(M$4=2029,'Funding &amp; Liquidity'!$D$12*M$6,IF(M$4=2030,'Funding &amp; Liquidity'!$E$12*M$6,'Funding &amp; Liquidity'!$F$12*M$6))))</f>
        <v>0</v>
      </c>
      <c r="N24" s="275" t="n">
        <f aca="false">IF(N$4=2027,'Funding &amp; Liquidity'!$B$12*N$6,IF(N$4=2028,'Funding &amp; Liquidity'!$C$12*N$6,IF(N$4=2029,'Funding &amp; Liquidity'!$D$12*N$6,IF(N$4=2030,'Funding &amp; Liquidity'!$E$12*N$6,'Funding &amp; Liquidity'!$F$12*N$6))))</f>
        <v>4778504.194</v>
      </c>
      <c r="O24" s="275" t="n">
        <f aca="false">IF(O$4=2027,'Funding &amp; Liquidity'!$B$12*O$6,IF(O$4=2028,'Funding &amp; Liquidity'!$C$12*O$6,IF(O$4=2029,'Funding &amp; Liquidity'!$D$12*O$6,IF(O$4=2030,'Funding &amp; Liquidity'!$E$12*O$6,'Funding &amp; Liquidity'!$F$12*O$6))))</f>
        <v>4778504.194</v>
      </c>
      <c r="P24" s="275" t="n">
        <f aca="false">IF(P$4=2027,'Funding &amp; Liquidity'!$B$12*P$6,IF(P$4=2028,'Funding &amp; Liquidity'!$C$12*P$6,IF(P$4=2029,'Funding &amp; Liquidity'!$D$12*P$6,IF(P$4=2030,'Funding &amp; Liquidity'!$E$12*P$6,'Funding &amp; Liquidity'!$F$12*P$6))))</f>
        <v>4778504.194</v>
      </c>
      <c r="Q24" s="275" t="n">
        <f aca="false">IF(Q$4=2027,'Funding &amp; Liquidity'!$B$12*Q$6,IF(Q$4=2028,'Funding &amp; Liquidity'!$C$12*Q$6,IF(Q$4=2029,'Funding &amp; Liquidity'!$D$12*Q$6,IF(Q$4=2030,'Funding &amp; Liquidity'!$E$12*Q$6,'Funding &amp; Liquidity'!$F$12*Q$6))))</f>
        <v>5495279.8231</v>
      </c>
      <c r="R24" s="275" t="n">
        <f aca="false">IF(R$4=2027,'Funding &amp; Liquidity'!$B$12*R$6,IF(R$4=2028,'Funding &amp; Liquidity'!$C$12*R$6,IF(R$4=2029,'Funding &amp; Liquidity'!$D$12*R$6,IF(R$4=2030,'Funding &amp; Liquidity'!$E$12*R$6,'Funding &amp; Liquidity'!$F$12*R$6))))</f>
        <v>5495279.8231</v>
      </c>
      <c r="S24" s="275" t="n">
        <f aca="false">IF(S$4=2027,'Funding &amp; Liquidity'!$B$12*S$6,IF(S$4=2028,'Funding &amp; Liquidity'!$C$12*S$6,IF(S$4=2029,'Funding &amp; Liquidity'!$D$12*S$6,IF(S$4=2030,'Funding &amp; Liquidity'!$E$12*S$6,'Funding &amp; Liquidity'!$F$12*S$6))))</f>
        <v>5495279.8231</v>
      </c>
      <c r="T24" s="275" t="n">
        <f aca="false">IF(T$4=2027,'Funding &amp; Liquidity'!$B$12*T$6,IF(T$4=2028,'Funding &amp; Liquidity'!$C$12*T$6,IF(T$4=2029,'Funding &amp; Liquidity'!$D$12*T$6,IF(T$4=2030,'Funding &amp; Liquidity'!$E$12*T$6,'Funding &amp; Liquidity'!$F$12*T$6))))</f>
        <v>6450980.6619</v>
      </c>
      <c r="U24" s="275" t="n">
        <f aca="false">IF(U$4=2027,'Funding &amp; Liquidity'!$B$12*U$6,IF(U$4=2028,'Funding &amp; Liquidity'!$C$12*U$6,IF(U$4=2029,'Funding &amp; Liquidity'!$D$12*U$6,IF(U$4=2030,'Funding &amp; Liquidity'!$E$12*U$6,'Funding &amp; Liquidity'!$F$12*U$6))))</f>
        <v>6450980.6619</v>
      </c>
      <c r="V24" s="275" t="n">
        <f aca="false">IF(V$4=2027,'Funding &amp; Liquidity'!$B$12*V$6,IF(V$4=2028,'Funding &amp; Liquidity'!$C$12*V$6,IF(V$4=2029,'Funding &amp; Liquidity'!$D$12*V$6,IF(V$4=2030,'Funding &amp; Liquidity'!$E$12*V$6,'Funding &amp; Liquidity'!$F$12*V$6))))</f>
        <v>6450980.6619</v>
      </c>
      <c r="W24" s="275" t="n">
        <f aca="false">IF(W$4=2027,'Funding &amp; Liquidity'!$B$12*W$6,IF(W$4=2028,'Funding &amp; Liquidity'!$C$12*W$6,IF(W$4=2029,'Funding &amp; Liquidity'!$D$12*W$6,IF(W$4=2030,'Funding &amp; Liquidity'!$E$12*W$6,'Funding &amp; Liquidity'!$F$12*W$6))))</f>
        <v>7167756.291</v>
      </c>
      <c r="X24" s="275" t="n">
        <f aca="false">IF(X$4=2027,'Funding &amp; Liquidity'!$B$12*X$6,IF(X$4=2028,'Funding &amp; Liquidity'!$C$12*X$6,IF(X$4=2029,'Funding &amp; Liquidity'!$D$12*X$6,IF(X$4=2030,'Funding &amp; Liquidity'!$E$12*X$6,'Funding &amp; Liquidity'!$F$12*X$6))))</f>
        <v>7167756.291</v>
      </c>
      <c r="Y24" s="275" t="n">
        <f aca="false">IF(Y$4=2027,'Funding &amp; Liquidity'!$B$12*Y$6,IF(Y$4=2028,'Funding &amp; Liquidity'!$C$12*Y$6,IF(Y$4=2029,'Funding &amp; Liquidity'!$D$12*Y$6,IF(Y$4=2030,'Funding &amp; Liquidity'!$E$12*Y$6,'Funding &amp; Liquidity'!$F$12*Y$6))))</f>
        <v>7167756.291</v>
      </c>
      <c r="Z24" s="275" t="n">
        <f aca="false">IF(Z$4=2027,'Funding &amp; Liquidity'!$B$12*Z$6,IF(Z$4=2028,'Funding &amp; Liquidity'!$C$12*Z$6,IF(Z$4=2029,'Funding &amp; Liquidity'!$D$12*Z$6,IF(Z$4=2030,'Funding &amp; Liquidity'!$E$12*Z$6,'Funding &amp; Liquidity'!$F$12*Z$6))))</f>
        <v>19500000</v>
      </c>
      <c r="AA24" s="275" t="n">
        <f aca="false">IF(AA$4=2027,'Funding &amp; Liquidity'!$B$12*AA$6,IF(AA$4=2028,'Funding &amp; Liquidity'!$C$12*AA$6,IF(AA$4=2029,'Funding &amp; Liquidity'!$D$12*AA$6,IF(AA$4=2030,'Funding &amp; Liquidity'!$E$12*AA$6,'Funding &amp; Liquidity'!$F$12*AA$6))))</f>
        <v>19500000</v>
      </c>
      <c r="AB24" s="275" t="n">
        <f aca="false">IF(AB$4=2027,'Funding &amp; Liquidity'!$B$12*AB$6,IF(AB$4=2028,'Funding &amp; Liquidity'!$C$12*AB$6,IF(AB$4=2029,'Funding &amp; Liquidity'!$D$12*AB$6,IF(AB$4=2030,'Funding &amp; Liquidity'!$E$12*AB$6,'Funding &amp; Liquidity'!$F$12*AB$6))))</f>
        <v>19500000</v>
      </c>
      <c r="AC24" s="275" t="n">
        <f aca="false">IF(AC$4=2027,'Funding &amp; Liquidity'!$B$12*AC$6,IF(AC$4=2028,'Funding &amp; Liquidity'!$C$12*AC$6,IF(AC$4=2029,'Funding &amp; Liquidity'!$D$12*AC$6,IF(AC$4=2030,'Funding &amp; Liquidity'!$E$12*AC$6,'Funding &amp; Liquidity'!$F$12*AC$6))))</f>
        <v>22425000</v>
      </c>
      <c r="AD24" s="275" t="n">
        <f aca="false">IF(AD$4=2027,'Funding &amp; Liquidity'!$B$12*AD$6,IF(AD$4=2028,'Funding &amp; Liquidity'!$C$12*AD$6,IF(AD$4=2029,'Funding &amp; Liquidity'!$D$12*AD$6,IF(AD$4=2030,'Funding &amp; Liquidity'!$E$12*AD$6,'Funding &amp; Liquidity'!$F$12*AD$6))))</f>
        <v>22425000</v>
      </c>
      <c r="AE24" s="275" t="n">
        <f aca="false">IF(AE$4=2027,'Funding &amp; Liquidity'!$B$12*AE$6,IF(AE$4=2028,'Funding &amp; Liquidity'!$C$12*AE$6,IF(AE$4=2029,'Funding &amp; Liquidity'!$D$12*AE$6,IF(AE$4=2030,'Funding &amp; Liquidity'!$E$12*AE$6,'Funding &amp; Liquidity'!$F$12*AE$6))))</f>
        <v>22425000</v>
      </c>
      <c r="AF24" s="275" t="n">
        <f aca="false">IF(AF$4=2027,'Funding &amp; Liquidity'!$B$12*AF$6,IF(AF$4=2028,'Funding &amp; Liquidity'!$C$12*AF$6,IF(AF$4=2029,'Funding &amp; Liquidity'!$D$12*AF$6,IF(AF$4=2030,'Funding &amp; Liquidity'!$E$12*AF$6,'Funding &amp; Liquidity'!$F$12*AF$6))))</f>
        <v>26325000</v>
      </c>
      <c r="AG24" s="275" t="n">
        <f aca="false">IF(AG$4=2027,'Funding &amp; Liquidity'!$B$12*AG$6,IF(AG$4=2028,'Funding &amp; Liquidity'!$C$12*AG$6,IF(AG$4=2029,'Funding &amp; Liquidity'!$D$12*AG$6,IF(AG$4=2030,'Funding &amp; Liquidity'!$E$12*AG$6,'Funding &amp; Liquidity'!$F$12*AG$6))))</f>
        <v>26325000</v>
      </c>
      <c r="AH24" s="275" t="n">
        <f aca="false">IF(AH$4=2027,'Funding &amp; Liquidity'!$B$12*AH$6,IF(AH$4=2028,'Funding &amp; Liquidity'!$C$12*AH$6,IF(AH$4=2029,'Funding &amp; Liquidity'!$D$12*AH$6,IF(AH$4=2030,'Funding &amp; Liquidity'!$E$12*AH$6,'Funding &amp; Liquidity'!$F$12*AH$6))))</f>
        <v>26325000</v>
      </c>
      <c r="AI24" s="275" t="n">
        <f aca="false">IF(AI$4=2027,'Funding &amp; Liquidity'!$B$12*AI$6,IF(AI$4=2028,'Funding &amp; Liquidity'!$C$12*AI$6,IF(AI$4=2029,'Funding &amp; Liquidity'!$D$12*AI$6,IF(AI$4=2030,'Funding &amp; Liquidity'!$E$12*AI$6,'Funding &amp; Liquidity'!$F$12*AI$6))))</f>
        <v>29250000</v>
      </c>
      <c r="AJ24" s="275" t="n">
        <f aca="false">IF(AJ$4=2027,'Funding &amp; Liquidity'!$B$12*AJ$6,IF(AJ$4=2028,'Funding &amp; Liquidity'!$C$12*AJ$6,IF(AJ$4=2029,'Funding &amp; Liquidity'!$D$12*AJ$6,IF(AJ$4=2030,'Funding &amp; Liquidity'!$E$12*AJ$6,'Funding &amp; Liquidity'!$F$12*AJ$6))))</f>
        <v>29250000</v>
      </c>
      <c r="AK24" s="275" t="n">
        <f aca="false">IF(AK$4=2027,'Funding &amp; Liquidity'!$B$12*AK$6,IF(AK$4=2028,'Funding &amp; Liquidity'!$C$12*AK$6,IF(AK$4=2029,'Funding &amp; Liquidity'!$D$12*AK$6,IF(AK$4=2030,'Funding &amp; Liquidity'!$E$12*AK$6,'Funding &amp; Liquidity'!$F$12*AK$6))))</f>
        <v>29250000</v>
      </c>
      <c r="AL24" s="275" t="n">
        <f aca="false">IF(AL$4=2027,'Funding &amp; Liquidity'!$B$12*AL$6,IF(AL$4=2028,'Funding &amp; Liquidity'!$C$12*AL$6,IF(AL$4=2029,'Funding &amp; Liquidity'!$D$12*AL$6,IF(AL$4=2030,'Funding &amp; Liquidity'!$E$12*AL$6,'Funding &amp; Liquidity'!$F$12*AL$6))))</f>
        <v>41000000</v>
      </c>
      <c r="AM24" s="275" t="n">
        <f aca="false">IF(AM$4=2027,'Funding &amp; Liquidity'!$B$12*AM$6,IF(AM$4=2028,'Funding &amp; Liquidity'!$C$12*AM$6,IF(AM$4=2029,'Funding &amp; Liquidity'!$D$12*AM$6,IF(AM$4=2030,'Funding &amp; Liquidity'!$E$12*AM$6,'Funding &amp; Liquidity'!$F$12*AM$6))))</f>
        <v>41000000</v>
      </c>
      <c r="AN24" s="275" t="n">
        <f aca="false">IF(AN$4=2027,'Funding &amp; Liquidity'!$B$12*AN$6,IF(AN$4=2028,'Funding &amp; Liquidity'!$C$12*AN$6,IF(AN$4=2029,'Funding &amp; Liquidity'!$D$12*AN$6,IF(AN$4=2030,'Funding &amp; Liquidity'!$E$12*AN$6,'Funding &amp; Liquidity'!$F$12*AN$6))))</f>
        <v>41000000</v>
      </c>
      <c r="AO24" s="275" t="n">
        <f aca="false">IF(AO$4=2027,'Funding &amp; Liquidity'!$B$12*AO$6,IF(AO$4=2028,'Funding &amp; Liquidity'!$C$12*AO$6,IF(AO$4=2029,'Funding &amp; Liquidity'!$D$12*AO$6,IF(AO$4=2030,'Funding &amp; Liquidity'!$E$12*AO$6,'Funding &amp; Liquidity'!$F$12*AO$6))))</f>
        <v>47150000</v>
      </c>
      <c r="AP24" s="275" t="n">
        <f aca="false">IF(AP$4=2027,'Funding &amp; Liquidity'!$B$12*AP$6,IF(AP$4=2028,'Funding &amp; Liquidity'!$C$12*AP$6,IF(AP$4=2029,'Funding &amp; Liquidity'!$D$12*AP$6,IF(AP$4=2030,'Funding &amp; Liquidity'!$E$12*AP$6,'Funding &amp; Liquidity'!$F$12*AP$6))))</f>
        <v>47150000</v>
      </c>
      <c r="AQ24" s="275" t="n">
        <f aca="false">IF(AQ$4=2027,'Funding &amp; Liquidity'!$B$12*AQ$6,IF(AQ$4=2028,'Funding &amp; Liquidity'!$C$12*AQ$6,IF(AQ$4=2029,'Funding &amp; Liquidity'!$D$12*AQ$6,IF(AQ$4=2030,'Funding &amp; Liquidity'!$E$12*AQ$6,'Funding &amp; Liquidity'!$F$12*AQ$6))))</f>
        <v>47150000</v>
      </c>
      <c r="AR24" s="275" t="n">
        <f aca="false">IF(AR$4=2027,'Funding &amp; Liquidity'!$B$12*AR$6,IF(AR$4=2028,'Funding &amp; Liquidity'!$C$12*AR$6,IF(AR$4=2029,'Funding &amp; Liquidity'!$D$12*AR$6,IF(AR$4=2030,'Funding &amp; Liquidity'!$E$12*AR$6,'Funding &amp; Liquidity'!$F$12*AR$6))))</f>
        <v>55350000</v>
      </c>
      <c r="AS24" s="275" t="n">
        <f aca="false">IF(AS$4=2027,'Funding &amp; Liquidity'!$B$12*AS$6,IF(AS$4=2028,'Funding &amp; Liquidity'!$C$12*AS$6,IF(AS$4=2029,'Funding &amp; Liquidity'!$D$12*AS$6,IF(AS$4=2030,'Funding &amp; Liquidity'!$E$12*AS$6,'Funding &amp; Liquidity'!$F$12*AS$6))))</f>
        <v>55350000</v>
      </c>
      <c r="AT24" s="275" t="n">
        <f aca="false">IF(AT$4=2027,'Funding &amp; Liquidity'!$B$12*AT$6,IF(AT$4=2028,'Funding &amp; Liquidity'!$C$12*AT$6,IF(AT$4=2029,'Funding &amp; Liquidity'!$D$12*AT$6,IF(AT$4=2030,'Funding &amp; Liquidity'!$E$12*AT$6,'Funding &amp; Liquidity'!$F$12*AT$6))))</f>
        <v>55350000</v>
      </c>
      <c r="AU24" s="275" t="n">
        <f aca="false">IF(AU$4=2027,'Funding &amp; Liquidity'!$B$12*AU$6,IF(AU$4=2028,'Funding &amp; Liquidity'!$C$12*AU$6,IF(AU$4=2029,'Funding &amp; Liquidity'!$D$12*AU$6,IF(AU$4=2030,'Funding &amp; Liquidity'!$E$12*AU$6,'Funding &amp; Liquidity'!$F$12*AU$6))))</f>
        <v>61500000</v>
      </c>
      <c r="AV24" s="275" t="n">
        <f aca="false">IF(AV$4=2027,'Funding &amp; Liquidity'!$B$12*AV$6,IF(AV$4=2028,'Funding &amp; Liquidity'!$C$12*AV$6,IF(AV$4=2029,'Funding &amp; Liquidity'!$D$12*AV$6,IF(AV$4=2030,'Funding &amp; Liquidity'!$E$12*AV$6,'Funding &amp; Liquidity'!$F$12*AV$6))))</f>
        <v>61500000</v>
      </c>
      <c r="AW24" s="275" t="n">
        <f aca="false">IF(AW$4=2027,'Funding &amp; Liquidity'!$B$12*AW$6,IF(AW$4=2028,'Funding &amp; Liquidity'!$C$12*AW$6,IF(AW$4=2029,'Funding &amp; Liquidity'!$D$12*AW$6,IF(AW$4=2030,'Funding &amp; Liquidity'!$E$12*AW$6,'Funding &amp; Liquidity'!$F$12*AW$6))))</f>
        <v>61500000</v>
      </c>
      <c r="AX24" s="275" t="n">
        <f aca="false">IF(AX$4=2027,'Funding &amp; Liquidity'!$B$12*AX$6,IF(AX$4=2028,'Funding &amp; Liquidity'!$C$12*AX$6,IF(AX$4=2029,'Funding &amp; Liquidity'!$D$12*AX$6,IF(AX$4=2030,'Funding &amp; Liquidity'!$E$12*AX$6,'Funding &amp; Liquidity'!$F$12*AX$6))))</f>
        <v>77500000</v>
      </c>
      <c r="AY24" s="275" t="n">
        <f aca="false">IF(AY$4=2027,'Funding &amp; Liquidity'!$B$12*AY$6,IF(AY$4=2028,'Funding &amp; Liquidity'!$C$12*AY$6,IF(AY$4=2029,'Funding &amp; Liquidity'!$D$12*AY$6,IF(AY$4=2030,'Funding &amp; Liquidity'!$E$12*AY$6,'Funding &amp; Liquidity'!$F$12*AY$6))))</f>
        <v>77500000</v>
      </c>
      <c r="AZ24" s="275" t="n">
        <f aca="false">IF(AZ$4=2027,'Funding &amp; Liquidity'!$B$12*AZ$6,IF(AZ$4=2028,'Funding &amp; Liquidity'!$C$12*AZ$6,IF(AZ$4=2029,'Funding &amp; Liquidity'!$D$12*AZ$6,IF(AZ$4=2030,'Funding &amp; Liquidity'!$E$12*AZ$6,'Funding &amp; Liquidity'!$F$12*AZ$6))))</f>
        <v>77500000</v>
      </c>
      <c r="BA24" s="275" t="n">
        <f aca="false">IF(BA$4=2027,'Funding &amp; Liquidity'!$B$12*BA$6,IF(BA$4=2028,'Funding &amp; Liquidity'!$C$12*BA$6,IF(BA$4=2029,'Funding &amp; Liquidity'!$D$12*BA$6,IF(BA$4=2030,'Funding &amp; Liquidity'!$E$12*BA$6,'Funding &amp; Liquidity'!$F$12*BA$6))))</f>
        <v>89125000</v>
      </c>
      <c r="BB24" s="275" t="n">
        <f aca="false">IF(BB$4=2027,'Funding &amp; Liquidity'!$B$12*BB$6,IF(BB$4=2028,'Funding &amp; Liquidity'!$C$12*BB$6,IF(BB$4=2029,'Funding &amp; Liquidity'!$D$12*BB$6,IF(BB$4=2030,'Funding &amp; Liquidity'!$E$12*BB$6,'Funding &amp; Liquidity'!$F$12*BB$6))))</f>
        <v>89125000</v>
      </c>
      <c r="BC24" s="275" t="n">
        <f aca="false">IF(BC$4=2027,'Funding &amp; Liquidity'!$B$12*BC$6,IF(BC$4=2028,'Funding &amp; Liquidity'!$C$12*BC$6,IF(BC$4=2029,'Funding &amp; Liquidity'!$D$12*BC$6,IF(BC$4=2030,'Funding &amp; Liquidity'!$E$12*BC$6,'Funding &amp; Liquidity'!$F$12*BC$6))))</f>
        <v>89125000</v>
      </c>
      <c r="BD24" s="275" t="n">
        <f aca="false">IF(BD$4=2027,'Funding &amp; Liquidity'!$B$12*BD$6,IF(BD$4=2028,'Funding &amp; Liquidity'!$C$12*BD$6,IF(BD$4=2029,'Funding &amp; Liquidity'!$D$12*BD$6,IF(BD$4=2030,'Funding &amp; Liquidity'!$E$12*BD$6,'Funding &amp; Liquidity'!$F$12*BD$6))))</f>
        <v>104625000</v>
      </c>
      <c r="BE24" s="275" t="n">
        <f aca="false">IF(BE$4=2027,'Funding &amp; Liquidity'!$B$12*BE$6,IF(BE$4=2028,'Funding &amp; Liquidity'!$C$12*BE$6,IF(BE$4=2029,'Funding &amp; Liquidity'!$D$12*BE$6,IF(BE$4=2030,'Funding &amp; Liquidity'!$E$12*BE$6,'Funding &amp; Liquidity'!$F$12*BE$6))))</f>
        <v>104625000</v>
      </c>
      <c r="BF24" s="275" t="n">
        <f aca="false">IF(BF$4=2027,'Funding &amp; Liquidity'!$B$12*BF$6,IF(BF$4=2028,'Funding &amp; Liquidity'!$C$12*BF$6,IF(BF$4=2029,'Funding &amp; Liquidity'!$D$12*BF$6,IF(BF$4=2030,'Funding &amp; Liquidity'!$E$12*BF$6,'Funding &amp; Liquidity'!$F$12*BF$6))))</f>
        <v>104625000</v>
      </c>
      <c r="BG24" s="275" t="n">
        <f aca="false">IF(BG$4=2027,'Funding &amp; Liquidity'!$B$12*BG$6,IF(BG$4=2028,'Funding &amp; Liquidity'!$C$12*BG$6,IF(BG$4=2029,'Funding &amp; Liquidity'!$D$12*BG$6,IF(BG$4=2030,'Funding &amp; Liquidity'!$E$12*BG$6,'Funding &amp; Liquidity'!$F$12*BG$6))))</f>
        <v>116250000</v>
      </c>
      <c r="BH24" s="275" t="n">
        <f aca="false">IF(BH$4=2027,'Funding &amp; Liquidity'!$B$12*BH$6,IF(BH$4=2028,'Funding &amp; Liquidity'!$C$12*BH$6,IF(BH$4=2029,'Funding &amp; Liquidity'!$D$12*BH$6,IF(BH$4=2030,'Funding &amp; Liquidity'!$E$12*BH$6,'Funding &amp; Liquidity'!$F$12*BH$6))))</f>
        <v>116250000</v>
      </c>
      <c r="BI24" s="275" t="n">
        <f aca="false">IF(BI$4=2027,'Funding &amp; Liquidity'!$B$12*BI$6,IF(BI$4=2028,'Funding &amp; Liquidity'!$C$12*BI$6,IF(BI$4=2029,'Funding &amp; Liquidity'!$D$12*BI$6,IF(BI$4=2030,'Funding &amp; Liquidity'!$E$12*BI$6,'Funding &amp; Liquidity'!$F$12*BI$6))))</f>
        <v>116250000</v>
      </c>
    </row>
    <row r="25" customFormat="false" ht="15" hidden="false" customHeight="true" outlineLevel="0" collapsed="false">
      <c r="A25" s="271" t="s">
        <v>454</v>
      </c>
      <c r="B25" s="272" t="n">
        <f aca="false">B16+B19+B23</f>
        <v>0</v>
      </c>
      <c r="C25" s="272" t="n">
        <f aca="false">C16+C19+C23</f>
        <v>-1894357.55214286</v>
      </c>
      <c r="D25" s="272" t="n">
        <f aca="false">D16+D19+D23</f>
        <v>1855642.44785714</v>
      </c>
      <c r="E25" s="272" t="n">
        <f aca="false">E16+E19+E23</f>
        <v>-2178511.18496429</v>
      </c>
      <c r="F25" s="272" t="n">
        <f aca="false">F16+F19+F23</f>
        <v>-2178511.18496429</v>
      </c>
      <c r="G25" s="272" t="n">
        <f aca="false">G16+G19+G23</f>
        <v>1571488.81503571</v>
      </c>
      <c r="H25" s="272" t="n">
        <f aca="false">H16+H19+H23</f>
        <v>-2557382.69539286</v>
      </c>
      <c r="I25" s="272" t="n">
        <f aca="false">I16+I19+I23</f>
        <v>-2557382.69539286</v>
      </c>
      <c r="J25" s="272" t="n">
        <f aca="false">J16+J19+J23</f>
        <v>1192617.30460714</v>
      </c>
      <c r="K25" s="272" t="n">
        <f aca="false">K16+K19+K23</f>
        <v>-2841536.32821428</v>
      </c>
      <c r="L25" s="272" t="n">
        <f aca="false">L16+L19+L23</f>
        <v>-2841536.32821428</v>
      </c>
      <c r="M25" s="272" t="n">
        <f aca="false">M16+M19+M23</f>
        <v>908463.671785718</v>
      </c>
      <c r="N25" s="272" t="n">
        <f aca="false">N16+N19+N23</f>
        <v>12418773.1631233</v>
      </c>
      <c r="O25" s="272" t="n">
        <f aca="false">O16+O19+O23</f>
        <v>-2581226.83687667</v>
      </c>
      <c r="P25" s="272" t="n">
        <f aca="false">P16+P19+P23</f>
        <v>-2581226.83687667</v>
      </c>
      <c r="Q25" s="272" t="n">
        <f aca="false">Q16+Q19+Q23</f>
        <v>-2968410.86240817</v>
      </c>
      <c r="R25" s="272" t="n">
        <f aca="false">R16+R19+R23</f>
        <v>12031589.1375918</v>
      </c>
      <c r="S25" s="272" t="n">
        <f aca="false">S16+S19+S23</f>
        <v>-2968410.86240817</v>
      </c>
      <c r="T25" s="272" t="n">
        <f aca="false">T16+T19+T23</f>
        <v>-3484656.22978351</v>
      </c>
      <c r="U25" s="272" t="n">
        <f aca="false">U16+U19+U23</f>
        <v>-3484656.22978351</v>
      </c>
      <c r="V25" s="272" t="n">
        <f aca="false">V16+V19+V23</f>
        <v>11515343.7702165</v>
      </c>
      <c r="W25" s="272" t="n">
        <f aca="false">W16+W19+W23</f>
        <v>-3871840.25531501</v>
      </c>
      <c r="X25" s="272" t="n">
        <f aca="false">X16+X19+X23</f>
        <v>-3871840.25531501</v>
      </c>
      <c r="Y25" s="272" t="n">
        <f aca="false">Y16+Y19+Y23</f>
        <v>-3871840.25531501</v>
      </c>
      <c r="Z25" s="272" t="n">
        <f aca="false">Z16+Z19+Z23</f>
        <v>247398.204510659</v>
      </c>
      <c r="AA25" s="272" t="n">
        <f aca="false">AA16+AA19+AA23</f>
        <v>247398.204510659</v>
      </c>
      <c r="AB25" s="272" t="n">
        <f aca="false">AB16+AB19+AB23</f>
        <v>247398.204510659</v>
      </c>
      <c r="AC25" s="272" t="n">
        <f aca="false">AC16+AC19+AC23</f>
        <v>284507.935187262</v>
      </c>
      <c r="AD25" s="272" t="n">
        <f aca="false">AD16+AD19+AD23</f>
        <v>284507.935187262</v>
      </c>
      <c r="AE25" s="272" t="n">
        <f aca="false">AE16+AE19+AE23</f>
        <v>284507.935187262</v>
      </c>
      <c r="AF25" s="272" t="n">
        <f aca="false">AF16+AF19+AF23</f>
        <v>333987.576089393</v>
      </c>
      <c r="AG25" s="272" t="n">
        <f aca="false">AG16+AG19+AG23</f>
        <v>333987.576089393</v>
      </c>
      <c r="AH25" s="272" t="n">
        <f aca="false">AH16+AH19+AH23</f>
        <v>333987.576089393</v>
      </c>
      <c r="AI25" s="272" t="n">
        <f aca="false">AI16+AI19+AI23</f>
        <v>371097.306765996</v>
      </c>
      <c r="AJ25" s="272" t="n">
        <f aca="false">AJ16+AJ19+AJ23</f>
        <v>371097.306765996</v>
      </c>
      <c r="AK25" s="272" t="n">
        <f aca="false">AK16+AK19+AK23</f>
        <v>371097.306765996</v>
      </c>
      <c r="AL25" s="272" t="n">
        <f aca="false">AL16+AL19+AL23</f>
        <v>3506108.76048721</v>
      </c>
      <c r="AM25" s="272" t="n">
        <f aca="false">AM16+AM19+AM23</f>
        <v>3506108.76048721</v>
      </c>
      <c r="AN25" s="272" t="n">
        <f aca="false">AN16+AN19+AN23</f>
        <v>3506108.76048721</v>
      </c>
      <c r="AO25" s="272" t="n">
        <f aca="false">AO16+AO19+AO23</f>
        <v>4032025.07456029</v>
      </c>
      <c r="AP25" s="272" t="n">
        <f aca="false">AP16+AP19+AP23</f>
        <v>4032025.07456029</v>
      </c>
      <c r="AQ25" s="272" t="n">
        <f aca="false">AQ16+AQ19+AQ23</f>
        <v>4032025.07456029</v>
      </c>
      <c r="AR25" s="272" t="n">
        <f aca="false">AR16+AR19+AR23</f>
        <v>4733246.82665774</v>
      </c>
      <c r="AS25" s="272" t="n">
        <f aca="false">AS16+AS19+AS23</f>
        <v>4733246.82665774</v>
      </c>
      <c r="AT25" s="272" t="n">
        <f aca="false">AT16+AT19+AT23</f>
        <v>4733246.82665774</v>
      </c>
      <c r="AU25" s="272" t="n">
        <f aca="false">AU16+AU19+AU23</f>
        <v>5259163.14073081</v>
      </c>
      <c r="AV25" s="272" t="n">
        <f aca="false">AV16+AV19+AV23</f>
        <v>5259163.14073081</v>
      </c>
      <c r="AW25" s="272" t="n">
        <f aca="false">AW16+AW19+AW23</f>
        <v>5259163.14073081</v>
      </c>
      <c r="AX25" s="272" t="n">
        <f aca="false">AX16+AX19+AX23</f>
        <v>11665030.5038941</v>
      </c>
      <c r="AY25" s="272" t="n">
        <f aca="false">AY16+AY19+AY23</f>
        <v>11665030.5038941</v>
      </c>
      <c r="AZ25" s="272" t="n">
        <f aca="false">AZ16+AZ19+AZ23</f>
        <v>11665030.5038941</v>
      </c>
      <c r="BA25" s="272" t="n">
        <f aca="false">BA16+BA19+BA23</f>
        <v>13414785.0794782</v>
      </c>
      <c r="BB25" s="272" t="n">
        <f aca="false">BB16+BB19+BB23</f>
        <v>13414785.0794782</v>
      </c>
      <c r="BC25" s="272" t="n">
        <f aca="false">BC16+BC19+BC23</f>
        <v>13414785.0794782</v>
      </c>
      <c r="BD25" s="272" t="n">
        <f aca="false">BD16+BD19+BD23</f>
        <v>15747791.180257</v>
      </c>
      <c r="BE25" s="272" t="n">
        <f aca="false">BE16+BE19+BE23</f>
        <v>15747791.180257</v>
      </c>
      <c r="BF25" s="272" t="n">
        <f aca="false">BF16+BF19+BF23</f>
        <v>15747791.180257</v>
      </c>
      <c r="BG25" s="272" t="n">
        <f aca="false">BG16+BG19+BG23</f>
        <v>17497545.7558412</v>
      </c>
      <c r="BH25" s="272" t="n">
        <f aca="false">BH16+BH19+BH23</f>
        <v>17497545.7558412</v>
      </c>
      <c r="BI25" s="272" t="n">
        <f aca="false">BI16+BI19+BI23</f>
        <v>17497545.7558412</v>
      </c>
    </row>
    <row r="26" customFormat="false" ht="15" hidden="false" customHeight="true" outlineLevel="0" collapsed="false">
      <c r="A26" s="105" t="s">
        <v>455</v>
      </c>
      <c r="B26" s="273" t="n">
        <f aca="false">14741923.72</f>
        <v>14741923.72</v>
      </c>
      <c r="C26" s="273" t="n">
        <f aca="false">B27</f>
        <v>14741923.72</v>
      </c>
      <c r="D26" s="273" t="n">
        <f aca="false">C27</f>
        <v>12847566.1678571</v>
      </c>
      <c r="E26" s="273" t="n">
        <f aca="false">D27</f>
        <v>14703208.6157143</v>
      </c>
      <c r="F26" s="273" t="n">
        <f aca="false">E27</f>
        <v>12524697.43075</v>
      </c>
      <c r="G26" s="273" t="n">
        <f aca="false">F27</f>
        <v>10346186.2457857</v>
      </c>
      <c r="H26" s="273" t="n">
        <f aca="false">G27</f>
        <v>11917675.0608214</v>
      </c>
      <c r="I26" s="273" t="n">
        <f aca="false">H27</f>
        <v>9360292.36542856</v>
      </c>
      <c r="J26" s="273" t="n">
        <f aca="false">I27</f>
        <v>6802909.6700357</v>
      </c>
      <c r="K26" s="273" t="n">
        <f aca="false">J27</f>
        <v>7995526.97464285</v>
      </c>
      <c r="L26" s="273" t="n">
        <f aca="false">K27</f>
        <v>5153990.64642856</v>
      </c>
      <c r="M26" s="273" t="n">
        <f aca="false">L27</f>
        <v>2312454.31821428</v>
      </c>
      <c r="N26" s="273" t="n">
        <f aca="false">M27</f>
        <v>3220917.99</v>
      </c>
      <c r="O26" s="273" t="n">
        <f aca="false">N27</f>
        <v>15639691.1531233</v>
      </c>
      <c r="P26" s="273" t="n">
        <f aca="false">O27</f>
        <v>13058464.3162467</v>
      </c>
      <c r="Q26" s="273" t="n">
        <f aca="false">P27</f>
        <v>10477237.47937</v>
      </c>
      <c r="R26" s="273" t="n">
        <f aca="false">Q27</f>
        <v>7508826.61696181</v>
      </c>
      <c r="S26" s="273" t="n">
        <f aca="false">R27</f>
        <v>19540415.7545536</v>
      </c>
      <c r="T26" s="273" t="n">
        <f aca="false">S27</f>
        <v>16572004.8921455</v>
      </c>
      <c r="U26" s="273" t="n">
        <f aca="false">T27</f>
        <v>13087348.662362</v>
      </c>
      <c r="V26" s="273" t="n">
        <f aca="false">U27</f>
        <v>9602692.43257845</v>
      </c>
      <c r="W26" s="273" t="n">
        <f aca="false">V27</f>
        <v>21118036.2027949</v>
      </c>
      <c r="X26" s="273" t="n">
        <f aca="false">W27</f>
        <v>17246195.9474799</v>
      </c>
      <c r="Y26" s="273" t="n">
        <f aca="false">X27</f>
        <v>13374355.6921649</v>
      </c>
      <c r="Z26" s="273" t="n">
        <f aca="false">Y27</f>
        <v>9502515.43684993</v>
      </c>
      <c r="AA26" s="273" t="n">
        <f aca="false">Z27</f>
        <v>9749913.64136059</v>
      </c>
      <c r="AB26" s="273" t="n">
        <f aca="false">AA27</f>
        <v>9997311.84587125</v>
      </c>
      <c r="AC26" s="273" t="n">
        <f aca="false">AB27</f>
        <v>10244710.0503819</v>
      </c>
      <c r="AD26" s="273" t="n">
        <f aca="false">AC27</f>
        <v>10529217.9855692</v>
      </c>
      <c r="AE26" s="273" t="n">
        <f aca="false">AD27</f>
        <v>10813725.9207564</v>
      </c>
      <c r="AF26" s="273" t="n">
        <f aca="false">AE27</f>
        <v>11098233.8559437</v>
      </c>
      <c r="AG26" s="273" t="n">
        <f aca="false">AF27</f>
        <v>11432221.4320331</v>
      </c>
      <c r="AH26" s="273" t="n">
        <f aca="false">AG27</f>
        <v>11766209.0081225</v>
      </c>
      <c r="AI26" s="273" t="n">
        <f aca="false">AH27</f>
        <v>12100196.5842119</v>
      </c>
      <c r="AJ26" s="273" t="n">
        <f aca="false">AI27</f>
        <v>12471293.8909779</v>
      </c>
      <c r="AK26" s="273" t="n">
        <f aca="false">AJ27</f>
        <v>12842391.1977439</v>
      </c>
      <c r="AL26" s="273" t="n">
        <f aca="false">AK27</f>
        <v>13213488.5045099</v>
      </c>
      <c r="AM26" s="273" t="n">
        <f aca="false">AL27</f>
        <v>16719597.2649971</v>
      </c>
      <c r="AN26" s="273" t="n">
        <f aca="false">AM27</f>
        <v>20225706.0254843</v>
      </c>
      <c r="AO26" s="273" t="n">
        <f aca="false">AN27</f>
        <v>23731814.7859715</v>
      </c>
      <c r="AP26" s="273" t="n">
        <f aca="false">AO27</f>
        <v>27763839.8605318</v>
      </c>
      <c r="AQ26" s="273" t="n">
        <f aca="false">AP27</f>
        <v>31795864.9350921</v>
      </c>
      <c r="AR26" s="273" t="n">
        <f aca="false">AQ27</f>
        <v>35827890.0096524</v>
      </c>
      <c r="AS26" s="273" t="n">
        <f aca="false">AR27</f>
        <v>40561136.8363101</v>
      </c>
      <c r="AT26" s="273" t="n">
        <f aca="false">AS27</f>
        <v>45294383.6629678</v>
      </c>
      <c r="AU26" s="273" t="n">
        <f aca="false">AT27</f>
        <v>50027630.4896256</v>
      </c>
      <c r="AV26" s="273" t="n">
        <f aca="false">AU27</f>
        <v>55286793.6303564</v>
      </c>
      <c r="AW26" s="273" t="n">
        <f aca="false">AV27</f>
        <v>60545956.7710872</v>
      </c>
      <c r="AX26" s="273" t="n">
        <f aca="false">AW27</f>
        <v>65805119.911818</v>
      </c>
      <c r="AY26" s="273" t="n">
        <f aca="false">AX27</f>
        <v>77470150.4157121</v>
      </c>
      <c r="AZ26" s="273" t="n">
        <f aca="false">AY27</f>
        <v>89135180.9196062</v>
      </c>
      <c r="BA26" s="273" t="n">
        <f aca="false">AZ27</f>
        <v>100800211.4235</v>
      </c>
      <c r="BB26" s="273" t="n">
        <f aca="false">BA27</f>
        <v>114214996.502979</v>
      </c>
      <c r="BC26" s="273" t="n">
        <f aca="false">BB27</f>
        <v>127629781.582457</v>
      </c>
      <c r="BD26" s="273" t="n">
        <f aca="false">BC27</f>
        <v>141044566.661935</v>
      </c>
      <c r="BE26" s="273" t="n">
        <f aca="false">BD27</f>
        <v>156792357.842192</v>
      </c>
      <c r="BF26" s="273" t="n">
        <f aca="false">BE27</f>
        <v>172540149.022449</v>
      </c>
      <c r="BG26" s="273" t="n">
        <f aca="false">BF27</f>
        <v>188287940.202706</v>
      </c>
      <c r="BH26" s="273" t="n">
        <f aca="false">BG27</f>
        <v>205785485.958547</v>
      </c>
      <c r="BI26" s="273" t="n">
        <f aca="false">BH27</f>
        <v>223283031.714388</v>
      </c>
    </row>
    <row r="27" customFormat="false" ht="15" hidden="false" customHeight="true" outlineLevel="0" collapsed="false">
      <c r="A27" s="271" t="s">
        <v>456</v>
      </c>
      <c r="B27" s="272" t="n">
        <f aca="false">B26+B25</f>
        <v>14741923.72</v>
      </c>
      <c r="C27" s="272" t="n">
        <f aca="false">C26+C25</f>
        <v>12847566.1678571</v>
      </c>
      <c r="D27" s="272" t="n">
        <f aca="false">D26+D25</f>
        <v>14703208.6157143</v>
      </c>
      <c r="E27" s="272" t="n">
        <f aca="false">E26+E25</f>
        <v>12524697.43075</v>
      </c>
      <c r="F27" s="272" t="n">
        <f aca="false">F26+F25</f>
        <v>10346186.2457857</v>
      </c>
      <c r="G27" s="272" t="n">
        <f aca="false">G26+G25</f>
        <v>11917675.0608214</v>
      </c>
      <c r="H27" s="272" t="n">
        <f aca="false">H26+H25</f>
        <v>9360292.36542856</v>
      </c>
      <c r="I27" s="272" t="n">
        <f aca="false">I26+I25</f>
        <v>6802909.6700357</v>
      </c>
      <c r="J27" s="272" t="n">
        <f aca="false">J26+J25</f>
        <v>7995526.97464285</v>
      </c>
      <c r="K27" s="272" t="n">
        <f aca="false">K26+K25</f>
        <v>5153990.64642856</v>
      </c>
      <c r="L27" s="272" t="n">
        <f aca="false">L26+L25</f>
        <v>2312454.31821428</v>
      </c>
      <c r="M27" s="272" t="n">
        <f aca="false">M26+M25</f>
        <v>3220917.99</v>
      </c>
      <c r="N27" s="272" t="n">
        <f aca="false">N26+N25</f>
        <v>15639691.1531233</v>
      </c>
      <c r="O27" s="272" t="n">
        <f aca="false">O26+O25</f>
        <v>13058464.3162467</v>
      </c>
      <c r="P27" s="272" t="n">
        <f aca="false">P26+P25</f>
        <v>10477237.47937</v>
      </c>
      <c r="Q27" s="272" t="n">
        <f aca="false">Q26+Q25</f>
        <v>7508826.61696181</v>
      </c>
      <c r="R27" s="272" t="n">
        <f aca="false">R26+R25</f>
        <v>19540415.7545536</v>
      </c>
      <c r="S27" s="272" t="n">
        <f aca="false">S26+S25</f>
        <v>16572004.8921455</v>
      </c>
      <c r="T27" s="272" t="n">
        <f aca="false">T26+T25</f>
        <v>13087348.662362</v>
      </c>
      <c r="U27" s="272" t="n">
        <f aca="false">U26+U25</f>
        <v>9602692.43257845</v>
      </c>
      <c r="V27" s="272" t="n">
        <f aca="false">V26+V25</f>
        <v>21118036.2027949</v>
      </c>
      <c r="W27" s="272" t="n">
        <f aca="false">W26+W25</f>
        <v>17246195.9474799</v>
      </c>
      <c r="X27" s="272" t="n">
        <f aca="false">X26+X25</f>
        <v>13374355.6921649</v>
      </c>
      <c r="Y27" s="272" t="n">
        <f aca="false">Y26+Y25</f>
        <v>9502515.43684993</v>
      </c>
      <c r="Z27" s="272" t="n">
        <f aca="false">Z26+Z25</f>
        <v>9749913.64136059</v>
      </c>
      <c r="AA27" s="272" t="n">
        <f aca="false">AA26+AA25</f>
        <v>9997311.84587125</v>
      </c>
      <c r="AB27" s="272" t="n">
        <f aca="false">AB26+AB25</f>
        <v>10244710.0503819</v>
      </c>
      <c r="AC27" s="272" t="n">
        <f aca="false">AC26+AC25</f>
        <v>10529217.9855692</v>
      </c>
      <c r="AD27" s="272" t="n">
        <f aca="false">AD26+AD25</f>
        <v>10813725.9207564</v>
      </c>
      <c r="AE27" s="272" t="n">
        <f aca="false">AE26+AE25</f>
        <v>11098233.8559437</v>
      </c>
      <c r="AF27" s="272" t="n">
        <f aca="false">AF26+AF25</f>
        <v>11432221.4320331</v>
      </c>
      <c r="AG27" s="272" t="n">
        <f aca="false">AG26+AG25</f>
        <v>11766209.0081225</v>
      </c>
      <c r="AH27" s="272" t="n">
        <f aca="false">AH26+AH25</f>
        <v>12100196.5842119</v>
      </c>
      <c r="AI27" s="272" t="n">
        <f aca="false">AI26+AI25</f>
        <v>12471293.8909779</v>
      </c>
      <c r="AJ27" s="272" t="n">
        <f aca="false">AJ26+AJ25</f>
        <v>12842391.1977439</v>
      </c>
      <c r="AK27" s="272" t="n">
        <f aca="false">AK26+AK25</f>
        <v>13213488.5045099</v>
      </c>
      <c r="AL27" s="272" t="n">
        <f aca="false">AL26+AL25</f>
        <v>16719597.2649971</v>
      </c>
      <c r="AM27" s="272" t="n">
        <f aca="false">AM26+AM25</f>
        <v>20225706.0254843</v>
      </c>
      <c r="AN27" s="272" t="n">
        <f aca="false">AN26+AN25</f>
        <v>23731814.7859715</v>
      </c>
      <c r="AO27" s="272" t="n">
        <f aca="false">AO26+AO25</f>
        <v>27763839.8605318</v>
      </c>
      <c r="AP27" s="272" t="n">
        <f aca="false">AP26+AP25</f>
        <v>31795864.9350921</v>
      </c>
      <c r="AQ27" s="272" t="n">
        <f aca="false">AQ26+AQ25</f>
        <v>35827890.0096524</v>
      </c>
      <c r="AR27" s="272" t="n">
        <f aca="false">AR26+AR25</f>
        <v>40561136.8363101</v>
      </c>
      <c r="AS27" s="272" t="n">
        <f aca="false">AS26+AS25</f>
        <v>45294383.6629678</v>
      </c>
      <c r="AT27" s="272" t="n">
        <f aca="false">AT26+AT25</f>
        <v>50027630.4896256</v>
      </c>
      <c r="AU27" s="272" t="n">
        <f aca="false">AU26+AU25</f>
        <v>55286793.6303564</v>
      </c>
      <c r="AV27" s="272" t="n">
        <f aca="false">AV26+AV25</f>
        <v>60545956.7710872</v>
      </c>
      <c r="AW27" s="272" t="n">
        <f aca="false">AW26+AW25</f>
        <v>65805119.911818</v>
      </c>
      <c r="AX27" s="272" t="n">
        <f aca="false">AX26+AX25</f>
        <v>77470150.4157121</v>
      </c>
      <c r="AY27" s="272" t="n">
        <f aca="false">AY26+AY25</f>
        <v>89135180.9196062</v>
      </c>
      <c r="AZ27" s="272" t="n">
        <f aca="false">AZ26+AZ25</f>
        <v>100800211.4235</v>
      </c>
      <c r="BA27" s="272" t="n">
        <f aca="false">BA26+BA25</f>
        <v>114214996.502979</v>
      </c>
      <c r="BB27" s="272" t="n">
        <f aca="false">BB26+BB25</f>
        <v>127629781.582457</v>
      </c>
      <c r="BC27" s="272" t="n">
        <f aca="false">BC26+BC25</f>
        <v>141044566.661935</v>
      </c>
      <c r="BD27" s="272" t="n">
        <f aca="false">BD26+BD25</f>
        <v>156792357.842192</v>
      </c>
      <c r="BE27" s="272" t="n">
        <f aca="false">BE26+BE25</f>
        <v>172540149.022449</v>
      </c>
      <c r="BF27" s="272" t="n">
        <f aca="false">BF26+BF25</f>
        <v>188287940.202706</v>
      </c>
      <c r="BG27" s="272" t="n">
        <f aca="false">BG26+BG25</f>
        <v>205785485.958547</v>
      </c>
      <c r="BH27" s="272" t="n">
        <f aca="false">BH26+BH25</f>
        <v>223283031.714388</v>
      </c>
      <c r="BI27" s="272" t="n">
        <f aca="false">BI26+BI25</f>
        <v>240780577.470229</v>
      </c>
    </row>
    <row r="28" customFormat="false" ht="21.75" hidden="false" customHeight="true" outlineLevel="0" collapsed="false">
      <c r="A28" s="105" t="s">
        <v>457</v>
      </c>
      <c r="B28" s="273" t="n">
        <f aca="false">B21+B24</f>
        <v>0</v>
      </c>
      <c r="C28" s="273" t="n">
        <f aca="false">C21+C24</f>
        <v>0</v>
      </c>
      <c r="D28" s="273" t="n">
        <f aca="false">D21+D24</f>
        <v>0</v>
      </c>
      <c r="E28" s="273" t="n">
        <f aca="false">E21+E24</f>
        <v>0</v>
      </c>
      <c r="F28" s="273" t="n">
        <f aca="false">F21+F24</f>
        <v>0</v>
      </c>
      <c r="G28" s="273" t="n">
        <f aca="false">G21+G24</f>
        <v>0</v>
      </c>
      <c r="H28" s="273" t="n">
        <f aca="false">H21+H24</f>
        <v>0</v>
      </c>
      <c r="I28" s="273" t="n">
        <f aca="false">I21+I24</f>
        <v>0</v>
      </c>
      <c r="J28" s="273" t="n">
        <f aca="false">J21+J24</f>
        <v>0</v>
      </c>
      <c r="K28" s="273" t="n">
        <f aca="false">K21+K24</f>
        <v>0</v>
      </c>
      <c r="L28" s="273" t="n">
        <f aca="false">L21+L24</f>
        <v>0</v>
      </c>
      <c r="M28" s="273" t="n">
        <f aca="false">M21+M24</f>
        <v>0</v>
      </c>
      <c r="N28" s="273" t="n">
        <f aca="false">N21+N24</f>
        <v>29445170.8606667</v>
      </c>
      <c r="O28" s="273" t="n">
        <f aca="false">O21+O24</f>
        <v>29445170.8606667</v>
      </c>
      <c r="P28" s="273" t="n">
        <f aca="false">P21+P24</f>
        <v>29445170.8606667</v>
      </c>
      <c r="Q28" s="273" t="n">
        <f aca="false">Q21+Q24</f>
        <v>33861946.4897667</v>
      </c>
      <c r="R28" s="273" t="n">
        <f aca="false">R21+R24</f>
        <v>33861946.4897667</v>
      </c>
      <c r="S28" s="273" t="n">
        <f aca="false">S21+S24</f>
        <v>33861946.4897667</v>
      </c>
      <c r="T28" s="273" t="n">
        <f aca="false">T21+T24</f>
        <v>39750980.6619</v>
      </c>
      <c r="U28" s="273" t="n">
        <f aca="false">U21+U24</f>
        <v>39750980.6619</v>
      </c>
      <c r="V28" s="273" t="n">
        <f aca="false">V21+V24</f>
        <v>39750980.6619</v>
      </c>
      <c r="W28" s="273" t="n">
        <f aca="false">W21+W24</f>
        <v>44167756.291</v>
      </c>
      <c r="X28" s="273" t="n">
        <f aca="false">X21+X24</f>
        <v>44167756.291</v>
      </c>
      <c r="Y28" s="273" t="n">
        <f aca="false">Y21+Y24</f>
        <v>44167756.291</v>
      </c>
      <c r="Z28" s="273" t="n">
        <f aca="false">Z21+Z24</f>
        <v>40500000</v>
      </c>
      <c r="AA28" s="273" t="n">
        <f aca="false">AA21+AA24</f>
        <v>40500000</v>
      </c>
      <c r="AB28" s="273" t="n">
        <f aca="false">AB21+AB24</f>
        <v>40500000</v>
      </c>
      <c r="AC28" s="273" t="n">
        <f aca="false">AC21+AC24</f>
        <v>46575000</v>
      </c>
      <c r="AD28" s="273" t="n">
        <f aca="false">AD21+AD24</f>
        <v>46575000</v>
      </c>
      <c r="AE28" s="273" t="n">
        <f aca="false">AE21+AE24</f>
        <v>46575000</v>
      </c>
      <c r="AF28" s="273" t="n">
        <f aca="false">AF21+AF24</f>
        <v>54675000</v>
      </c>
      <c r="AG28" s="273" t="n">
        <f aca="false">AG21+AG24</f>
        <v>54675000</v>
      </c>
      <c r="AH28" s="273" t="n">
        <f aca="false">AH21+AH24</f>
        <v>54675000</v>
      </c>
      <c r="AI28" s="273" t="n">
        <f aca="false">AI21+AI24</f>
        <v>60750000</v>
      </c>
      <c r="AJ28" s="273" t="n">
        <f aca="false">AJ21+AJ24</f>
        <v>60750000</v>
      </c>
      <c r="AK28" s="273" t="n">
        <f aca="false">AK21+AK24</f>
        <v>60750000</v>
      </c>
      <c r="AL28" s="273" t="n">
        <f aca="false">AL21+AL24</f>
        <v>84333333.3333334</v>
      </c>
      <c r="AM28" s="273" t="n">
        <f aca="false">AM21+AM24</f>
        <v>84333333.3333334</v>
      </c>
      <c r="AN28" s="273" t="n">
        <f aca="false">AN21+AN24</f>
        <v>84333333.3333334</v>
      </c>
      <c r="AO28" s="273" t="n">
        <f aca="false">AO21+AO24</f>
        <v>96983333.3333334</v>
      </c>
      <c r="AP28" s="273" t="n">
        <f aca="false">AP21+AP24</f>
        <v>96983333.3333334</v>
      </c>
      <c r="AQ28" s="273" t="n">
        <f aca="false">AQ21+AQ24</f>
        <v>96983333.3333334</v>
      </c>
      <c r="AR28" s="273" t="n">
        <f aca="false">AR21+AR24</f>
        <v>113850000</v>
      </c>
      <c r="AS28" s="273" t="n">
        <f aca="false">AS21+AS24</f>
        <v>113850000</v>
      </c>
      <c r="AT28" s="273" t="n">
        <f aca="false">AT21+AT24</f>
        <v>113850000</v>
      </c>
      <c r="AU28" s="273" t="n">
        <f aca="false">AU21+AU24</f>
        <v>126500000</v>
      </c>
      <c r="AV28" s="273" t="n">
        <f aca="false">AV21+AV24</f>
        <v>126500000</v>
      </c>
      <c r="AW28" s="273" t="n">
        <f aca="false">AW21+AW24</f>
        <v>126500000</v>
      </c>
      <c r="AX28" s="273" t="n">
        <f aca="false">AX21+AX24</f>
        <v>161833333.333333</v>
      </c>
      <c r="AY28" s="273" t="n">
        <f aca="false">AY21+AY24</f>
        <v>161833333.333333</v>
      </c>
      <c r="AZ28" s="273" t="n">
        <f aca="false">AZ21+AZ24</f>
        <v>161833333.333333</v>
      </c>
      <c r="BA28" s="273" t="n">
        <f aca="false">BA21+BA24</f>
        <v>186108333.333333</v>
      </c>
      <c r="BB28" s="273" t="n">
        <f aca="false">BB21+BB24</f>
        <v>186108333.333333</v>
      </c>
      <c r="BC28" s="273" t="n">
        <f aca="false">BC21+BC24</f>
        <v>186108333.333333</v>
      </c>
      <c r="BD28" s="273" t="n">
        <f aca="false">BD21+BD24</f>
        <v>218475000</v>
      </c>
      <c r="BE28" s="273" t="n">
        <f aca="false">BE21+BE24</f>
        <v>218475000</v>
      </c>
      <c r="BF28" s="273" t="n">
        <f aca="false">BF21+BF24</f>
        <v>218475000</v>
      </c>
      <c r="BG28" s="273" t="n">
        <f aca="false">BG21+BG24</f>
        <v>242750000</v>
      </c>
      <c r="BH28" s="273" t="n">
        <f aca="false">BH21+BH24</f>
        <v>242750000</v>
      </c>
      <c r="BI28" s="273" t="n">
        <f aca="false">BI21+BI24</f>
        <v>242750000</v>
      </c>
    </row>
    <row r="29" customFormat="false" ht="15" hidden="false" customHeight="true" outlineLevel="0" collapsed="false">
      <c r="A29" s="105" t="s">
        <v>458</v>
      </c>
      <c r="B29" s="273" t="n">
        <f aca="false">15000000</f>
        <v>15000000</v>
      </c>
      <c r="C29" s="273" t="n">
        <f aca="false">B32</f>
        <v>15000000</v>
      </c>
      <c r="D29" s="273" t="n">
        <f aca="false">C32</f>
        <v>14416652.0883786</v>
      </c>
      <c r="E29" s="273" t="n">
        <f aca="false">D32</f>
        <v>17583304.1767571</v>
      </c>
      <c r="F29" s="273" t="n">
        <f aca="false">E32</f>
        <v>16912454.0783925</v>
      </c>
      <c r="G29" s="273" t="n">
        <f aca="false">F32</f>
        <v>16241603.9800279</v>
      </c>
      <c r="H29" s="273" t="n">
        <f aca="false">G32</f>
        <v>19320753.8816632</v>
      </c>
      <c r="I29" s="273" t="n">
        <f aca="false">H32</f>
        <v>18533234.2009743</v>
      </c>
      <c r="J29" s="273" t="n">
        <f aca="false">I32</f>
        <v>17745714.5202854</v>
      </c>
      <c r="K29" s="273" t="n">
        <f aca="false">J32</f>
        <v>20708194.8395964</v>
      </c>
      <c r="L29" s="273" t="n">
        <f aca="false">K32</f>
        <v>19833172.9721643</v>
      </c>
      <c r="M29" s="273" t="n">
        <f aca="false">L32</f>
        <v>18958151.1047321</v>
      </c>
      <c r="N29" s="273" t="n">
        <f aca="false">M32</f>
        <v>21833129.2373</v>
      </c>
      <c r="O29" s="273" t="n">
        <f aca="false">N32</f>
        <v>37450036.9755367</v>
      </c>
      <c r="P29" s="273" t="n">
        <f aca="false">O32</f>
        <v>38066944.7137733</v>
      </c>
      <c r="Q29" s="273" t="n">
        <f aca="false">P32</f>
        <v>38683852.45201</v>
      </c>
      <c r="R29" s="273" t="n">
        <f aca="false">Q32</f>
        <v>39393296.3509822</v>
      </c>
      <c r="S29" s="273" t="n">
        <f aca="false">R32</f>
        <v>55102740.2499543</v>
      </c>
      <c r="T29" s="273" t="n">
        <f aca="false">S32</f>
        <v>55812184.1489265</v>
      </c>
      <c r="U29" s="273" t="n">
        <f aca="false">T32</f>
        <v>56645009.595546</v>
      </c>
      <c r="V29" s="273" t="n">
        <f aca="false">U32</f>
        <v>57477835.0421655</v>
      </c>
      <c r="W29" s="273" t="n">
        <f aca="false">V32</f>
        <v>73310660.488785</v>
      </c>
      <c r="X29" s="273" t="n">
        <f aca="false">W32</f>
        <v>74236022.09614</v>
      </c>
      <c r="Y29" s="273" t="n">
        <f aca="false">X32</f>
        <v>75161383.703495</v>
      </c>
      <c r="Z29" s="273" t="n">
        <f aca="false">Y32</f>
        <v>76086745.31085</v>
      </c>
      <c r="AA29" s="273" t="n">
        <f aca="false">Z32</f>
        <v>81203499.4195207</v>
      </c>
      <c r="AB29" s="273" t="n">
        <f aca="false">AA32</f>
        <v>86320253.5281913</v>
      </c>
      <c r="AC29" s="273" t="n">
        <f aca="false">AB32</f>
        <v>91437007.636862</v>
      </c>
      <c r="AD29" s="273" t="n">
        <f aca="false">AC32</f>
        <v>97321274.8618332</v>
      </c>
      <c r="AE29" s="273" t="n">
        <f aca="false">AD32</f>
        <v>103205542.086805</v>
      </c>
      <c r="AF29" s="273" t="n">
        <f aca="false">AE32</f>
        <v>109089809.311776</v>
      </c>
      <c r="AG29" s="273" t="n">
        <f aca="false">AF32</f>
        <v>115997427.358481</v>
      </c>
      <c r="AH29" s="273" t="n">
        <f aca="false">AG32</f>
        <v>122905045.405187</v>
      </c>
      <c r="AI29" s="273" t="n">
        <f aca="false">AH32</f>
        <v>129812663.451892</v>
      </c>
      <c r="AJ29" s="273" t="n">
        <f aca="false">AI32</f>
        <v>137487794.614898</v>
      </c>
      <c r="AK29" s="273" t="n">
        <f aca="false">AJ32</f>
        <v>145162925.777904</v>
      </c>
      <c r="AL29" s="273" t="n">
        <f aca="false">AK32</f>
        <v>152838056.94091</v>
      </c>
      <c r="AM29" s="273" t="n">
        <f aca="false">AL32</f>
        <v>163500779.243893</v>
      </c>
      <c r="AN29" s="273" t="n">
        <f aca="false">AM32</f>
        <v>174163501.546876</v>
      </c>
      <c r="AO29" s="273" t="n">
        <f aca="false">AN32</f>
        <v>184826223.84986</v>
      </c>
      <c r="AP29" s="273" t="n">
        <f aca="false">AO32</f>
        <v>197088354.49829</v>
      </c>
      <c r="AQ29" s="273" t="n">
        <f aca="false">AP32</f>
        <v>209350485.146721</v>
      </c>
      <c r="AR29" s="273" t="n">
        <f aca="false">AQ32</f>
        <v>221612615.795152</v>
      </c>
      <c r="AS29" s="273" t="n">
        <f aca="false">AR32</f>
        <v>236007290.904179</v>
      </c>
      <c r="AT29" s="273" t="n">
        <f aca="false">AS32</f>
        <v>250401966.013206</v>
      </c>
      <c r="AU29" s="273" t="n">
        <f aca="false">AT32</f>
        <v>264796641.122234</v>
      </c>
      <c r="AV29" s="273" t="n">
        <f aca="false">AU32</f>
        <v>280790724.576708</v>
      </c>
      <c r="AW29" s="273" t="n">
        <f aca="false">AV32</f>
        <v>296784808.031183</v>
      </c>
      <c r="AX29" s="273" t="n">
        <f aca="false">AW32</f>
        <v>312778891.485658</v>
      </c>
      <c r="AY29" s="273" t="n">
        <f aca="false">AX32</f>
        <v>332096223.448383</v>
      </c>
      <c r="AZ29" s="273" t="n">
        <f aca="false">AY32</f>
        <v>351413555.411108</v>
      </c>
      <c r="BA29" s="273" t="n">
        <f aca="false">AZ32</f>
        <v>370730887.373833</v>
      </c>
      <c r="BB29" s="273" t="n">
        <f aca="false">BA32</f>
        <v>392945819.130967</v>
      </c>
      <c r="BC29" s="273" t="n">
        <f aca="false">BB32</f>
        <v>415160750.888101</v>
      </c>
      <c r="BD29" s="273" t="n">
        <f aca="false">BC32</f>
        <v>437375682.645235</v>
      </c>
      <c r="BE29" s="273" t="n">
        <f aca="false">BD32</f>
        <v>463454080.794914</v>
      </c>
      <c r="BF29" s="273" t="n">
        <f aca="false">BE32</f>
        <v>489532478.944592</v>
      </c>
      <c r="BG29" s="273" t="n">
        <f aca="false">BF32</f>
        <v>515610877.094271</v>
      </c>
      <c r="BH29" s="273" t="n">
        <f aca="false">BG32</f>
        <v>544586875.038359</v>
      </c>
      <c r="BI29" s="273" t="n">
        <f aca="false">BH32</f>
        <v>573562872.982446</v>
      </c>
    </row>
    <row r="30" customFormat="false" ht="15" hidden="false" customHeight="true" outlineLevel="0" collapsed="false">
      <c r="A30" s="105" t="s">
        <v>459</v>
      </c>
      <c r="B30" s="273" t="n">
        <f aca="false">B10</f>
        <v>-0</v>
      </c>
      <c r="C30" s="273" t="n">
        <f aca="false">C10</f>
        <v>-583347.911621428</v>
      </c>
      <c r="D30" s="273" t="n">
        <f aca="false">D10</f>
        <v>-583347.911621428</v>
      </c>
      <c r="E30" s="273" t="n">
        <f aca="false">E10</f>
        <v>-670850.098364643</v>
      </c>
      <c r="F30" s="273" t="n">
        <f aca="false">F10</f>
        <v>-670850.098364643</v>
      </c>
      <c r="G30" s="273" t="n">
        <f aca="false">G10</f>
        <v>-670850.098364643</v>
      </c>
      <c r="H30" s="273" t="n">
        <f aca="false">H10</f>
        <v>-787519.680688929</v>
      </c>
      <c r="I30" s="273" t="n">
        <f aca="false">I10</f>
        <v>-787519.680688929</v>
      </c>
      <c r="J30" s="273" t="n">
        <f aca="false">J10</f>
        <v>-787519.680688929</v>
      </c>
      <c r="K30" s="273" t="n">
        <f aca="false">K10</f>
        <v>-875021.867432142</v>
      </c>
      <c r="L30" s="273" t="n">
        <f aca="false">L10</f>
        <v>-875021.867432142</v>
      </c>
      <c r="M30" s="273" t="n">
        <f aca="false">M10</f>
        <v>-875021.867432142</v>
      </c>
      <c r="N30" s="273" t="n">
        <f aca="false">N10</f>
        <v>616907.738236666</v>
      </c>
      <c r="O30" s="273" t="n">
        <f aca="false">O10</f>
        <v>616907.738236666</v>
      </c>
      <c r="P30" s="273" t="n">
        <f aca="false">P10</f>
        <v>616907.738236666</v>
      </c>
      <c r="Q30" s="273" t="n">
        <f aca="false">Q10</f>
        <v>709443.898972166</v>
      </c>
      <c r="R30" s="273" t="n">
        <f aca="false">R10</f>
        <v>709443.898972166</v>
      </c>
      <c r="S30" s="273" t="n">
        <f aca="false">S10</f>
        <v>709443.898972166</v>
      </c>
      <c r="T30" s="273" t="n">
        <f aca="false">T10</f>
        <v>832825.446619498</v>
      </c>
      <c r="U30" s="273" t="n">
        <f aca="false">U10</f>
        <v>832825.446619498</v>
      </c>
      <c r="V30" s="273" t="n">
        <f aca="false">V10</f>
        <v>832825.446619498</v>
      </c>
      <c r="W30" s="273" t="n">
        <f aca="false">W10</f>
        <v>925361.607354998</v>
      </c>
      <c r="X30" s="273" t="n">
        <f aca="false">X10</f>
        <v>925361.607354998</v>
      </c>
      <c r="Y30" s="273" t="n">
        <f aca="false">Y10</f>
        <v>925361.607354998</v>
      </c>
      <c r="Z30" s="273" t="n">
        <f aca="false">Z10</f>
        <v>5116754.10867067</v>
      </c>
      <c r="AA30" s="273" t="n">
        <f aca="false">AA10</f>
        <v>5116754.10867067</v>
      </c>
      <c r="AB30" s="273" t="n">
        <f aca="false">AB10</f>
        <v>5116754.10867067</v>
      </c>
      <c r="AC30" s="273" t="n">
        <f aca="false">AC10</f>
        <v>5884267.22497127</v>
      </c>
      <c r="AD30" s="273" t="n">
        <f aca="false">AD10</f>
        <v>5884267.22497127</v>
      </c>
      <c r="AE30" s="273" t="n">
        <f aca="false">AE10</f>
        <v>5884267.22497127</v>
      </c>
      <c r="AF30" s="273" t="n">
        <f aca="false">AF10</f>
        <v>6907618.0467054</v>
      </c>
      <c r="AG30" s="273" t="n">
        <f aca="false">AG10</f>
        <v>6907618.0467054</v>
      </c>
      <c r="AH30" s="273" t="n">
        <f aca="false">AH10</f>
        <v>6907618.0467054</v>
      </c>
      <c r="AI30" s="273" t="n">
        <f aca="false">AI10</f>
        <v>7675131.163006</v>
      </c>
      <c r="AJ30" s="273" t="n">
        <f aca="false">AJ10</f>
        <v>7675131.163006</v>
      </c>
      <c r="AK30" s="273" t="n">
        <f aca="false">AK10</f>
        <v>7675131.163006</v>
      </c>
      <c r="AL30" s="273" t="n">
        <f aca="false">AL10</f>
        <v>10662722.3029832</v>
      </c>
      <c r="AM30" s="273" t="n">
        <f aca="false">AM10</f>
        <v>10662722.3029832</v>
      </c>
      <c r="AN30" s="273" t="n">
        <f aca="false">AN10</f>
        <v>10662722.3029832</v>
      </c>
      <c r="AO30" s="273" t="n">
        <f aca="false">AO10</f>
        <v>12262130.6484307</v>
      </c>
      <c r="AP30" s="273" t="n">
        <f aca="false">AP10</f>
        <v>12262130.6484307</v>
      </c>
      <c r="AQ30" s="273" t="n">
        <f aca="false">AQ10</f>
        <v>12262130.6484307</v>
      </c>
      <c r="AR30" s="273" t="n">
        <f aca="false">AR10</f>
        <v>14394675.1090273</v>
      </c>
      <c r="AS30" s="273" t="n">
        <f aca="false">AS10</f>
        <v>14394675.1090273</v>
      </c>
      <c r="AT30" s="273" t="n">
        <f aca="false">AT10</f>
        <v>14394675.1090273</v>
      </c>
      <c r="AU30" s="273" t="n">
        <f aca="false">AU10</f>
        <v>15994083.4544748</v>
      </c>
      <c r="AV30" s="273" t="n">
        <f aca="false">AV10</f>
        <v>15994083.4544748</v>
      </c>
      <c r="AW30" s="273" t="n">
        <f aca="false">AW10</f>
        <v>15994083.4544748</v>
      </c>
      <c r="AX30" s="273" t="n">
        <f aca="false">AX10</f>
        <v>19317331.9627251</v>
      </c>
      <c r="AY30" s="273" t="n">
        <f aca="false">AY10</f>
        <v>19317331.9627251</v>
      </c>
      <c r="AZ30" s="273" t="n">
        <f aca="false">AZ10</f>
        <v>19317331.9627251</v>
      </c>
      <c r="BA30" s="273" t="n">
        <f aca="false">BA10</f>
        <v>22214931.7571338</v>
      </c>
      <c r="BB30" s="273" t="n">
        <f aca="false">BB10</f>
        <v>22214931.7571338</v>
      </c>
      <c r="BC30" s="273" t="n">
        <f aca="false">BC10</f>
        <v>22214931.7571338</v>
      </c>
      <c r="BD30" s="273" t="n">
        <f aca="false">BD10</f>
        <v>26078398.1496788</v>
      </c>
      <c r="BE30" s="273" t="n">
        <f aca="false">BE10</f>
        <v>26078398.1496788</v>
      </c>
      <c r="BF30" s="273" t="n">
        <f aca="false">BF10</f>
        <v>26078398.1496788</v>
      </c>
      <c r="BG30" s="273" t="n">
        <f aca="false">BG10</f>
        <v>28975997.9440876</v>
      </c>
      <c r="BH30" s="273" t="n">
        <f aca="false">BH10</f>
        <v>28975997.9440876</v>
      </c>
      <c r="BI30" s="273" t="n">
        <f aca="false">BI10</f>
        <v>28975997.9440876</v>
      </c>
    </row>
    <row r="31" customFormat="false" ht="15" hidden="false" customHeight="true" outlineLevel="0" collapsed="false">
      <c r="A31" s="105" t="s">
        <v>460</v>
      </c>
      <c r="B31" s="273" t="n">
        <f aca="false">B22</f>
        <v>0</v>
      </c>
      <c r="C31" s="273" t="n">
        <f aca="false">C22</f>
        <v>0</v>
      </c>
      <c r="D31" s="273" t="n">
        <f aca="false">D22</f>
        <v>3750000</v>
      </c>
      <c r="E31" s="273" t="n">
        <f aca="false">E22</f>
        <v>0</v>
      </c>
      <c r="F31" s="273" t="n">
        <f aca="false">F22</f>
        <v>0</v>
      </c>
      <c r="G31" s="273" t="n">
        <f aca="false">G22</f>
        <v>3750000</v>
      </c>
      <c r="H31" s="273" t="n">
        <f aca="false">H22</f>
        <v>0</v>
      </c>
      <c r="I31" s="273" t="n">
        <f aca="false">I22</f>
        <v>0</v>
      </c>
      <c r="J31" s="273" t="n">
        <f aca="false">J22</f>
        <v>3750000</v>
      </c>
      <c r="K31" s="273" t="n">
        <f aca="false">K22</f>
        <v>0</v>
      </c>
      <c r="L31" s="273" t="n">
        <f aca="false">L22</f>
        <v>0</v>
      </c>
      <c r="M31" s="273" t="n">
        <f aca="false">M22</f>
        <v>3750000</v>
      </c>
      <c r="N31" s="273" t="n">
        <f aca="false">N22</f>
        <v>15000000</v>
      </c>
      <c r="O31" s="273" t="n">
        <f aca="false">O22</f>
        <v>0</v>
      </c>
      <c r="P31" s="273" t="n">
        <f aca="false">P22</f>
        <v>0</v>
      </c>
      <c r="Q31" s="273" t="n">
        <f aca="false">Q22</f>
        <v>0</v>
      </c>
      <c r="R31" s="273" t="n">
        <f aca="false">R22</f>
        <v>15000000</v>
      </c>
      <c r="S31" s="273" t="n">
        <f aca="false">S22</f>
        <v>0</v>
      </c>
      <c r="T31" s="273" t="n">
        <f aca="false">T22</f>
        <v>0</v>
      </c>
      <c r="U31" s="273" t="n">
        <f aca="false">U22</f>
        <v>0</v>
      </c>
      <c r="V31" s="273" t="n">
        <f aca="false">V22</f>
        <v>15000000</v>
      </c>
      <c r="W31" s="273" t="n">
        <f aca="false">W22</f>
        <v>0</v>
      </c>
      <c r="X31" s="273" t="n">
        <f aca="false">X22</f>
        <v>0</v>
      </c>
      <c r="Y31" s="273" t="n">
        <f aca="false">Y22</f>
        <v>0</v>
      </c>
      <c r="Z31" s="273" t="n">
        <f aca="false">Z22</f>
        <v>0</v>
      </c>
      <c r="AA31" s="273" t="n">
        <f aca="false">AA22</f>
        <v>0</v>
      </c>
      <c r="AB31" s="273" t="n">
        <f aca="false">AB22</f>
        <v>0</v>
      </c>
      <c r="AC31" s="273" t="n">
        <f aca="false">AC22</f>
        <v>0</v>
      </c>
      <c r="AD31" s="273" t="n">
        <f aca="false">AD22</f>
        <v>0</v>
      </c>
      <c r="AE31" s="273" t="n">
        <f aca="false">AE22</f>
        <v>0</v>
      </c>
      <c r="AF31" s="273" t="n">
        <f aca="false">AF22</f>
        <v>0</v>
      </c>
      <c r="AG31" s="273" t="n">
        <f aca="false">AG22</f>
        <v>0</v>
      </c>
      <c r="AH31" s="273" t="n">
        <f aca="false">AH22</f>
        <v>0</v>
      </c>
      <c r="AI31" s="273" t="n">
        <f aca="false">AI22</f>
        <v>0</v>
      </c>
      <c r="AJ31" s="273" t="n">
        <f aca="false">AJ22</f>
        <v>0</v>
      </c>
      <c r="AK31" s="273" t="n">
        <f aca="false">AK22</f>
        <v>0</v>
      </c>
      <c r="AL31" s="273" t="n">
        <f aca="false">AL22</f>
        <v>0</v>
      </c>
      <c r="AM31" s="273" t="n">
        <f aca="false">AM22</f>
        <v>0</v>
      </c>
      <c r="AN31" s="273" t="n">
        <f aca="false">AN22</f>
        <v>0</v>
      </c>
      <c r="AO31" s="273" t="n">
        <f aca="false">AO22</f>
        <v>0</v>
      </c>
      <c r="AP31" s="273" t="n">
        <f aca="false">AP22</f>
        <v>0</v>
      </c>
      <c r="AQ31" s="273" t="n">
        <f aca="false">AQ22</f>
        <v>0</v>
      </c>
      <c r="AR31" s="273" t="n">
        <f aca="false">AR22</f>
        <v>0</v>
      </c>
      <c r="AS31" s="273" t="n">
        <f aca="false">AS22</f>
        <v>0</v>
      </c>
      <c r="AT31" s="273" t="n">
        <f aca="false">AT22</f>
        <v>0</v>
      </c>
      <c r="AU31" s="273" t="n">
        <f aca="false">AU22</f>
        <v>0</v>
      </c>
      <c r="AV31" s="273" t="n">
        <f aca="false">AV22</f>
        <v>0</v>
      </c>
      <c r="AW31" s="273" t="n">
        <f aca="false">AW22</f>
        <v>0</v>
      </c>
      <c r="AX31" s="273" t="n">
        <f aca="false">AX22</f>
        <v>0</v>
      </c>
      <c r="AY31" s="273" t="n">
        <f aca="false">AY22</f>
        <v>0</v>
      </c>
      <c r="AZ31" s="273" t="n">
        <f aca="false">AZ22</f>
        <v>0</v>
      </c>
      <c r="BA31" s="273" t="n">
        <f aca="false">BA22</f>
        <v>0</v>
      </c>
      <c r="BB31" s="273" t="n">
        <f aca="false">BB22</f>
        <v>0</v>
      </c>
      <c r="BC31" s="273" t="n">
        <f aca="false">BC22</f>
        <v>0</v>
      </c>
      <c r="BD31" s="273" t="n">
        <f aca="false">BD22</f>
        <v>0</v>
      </c>
      <c r="BE31" s="273" t="n">
        <f aca="false">BE22</f>
        <v>0</v>
      </c>
      <c r="BF31" s="273" t="n">
        <f aca="false">BF22</f>
        <v>0</v>
      </c>
      <c r="BG31" s="273" t="n">
        <f aca="false">BG22</f>
        <v>0</v>
      </c>
      <c r="BH31" s="273" t="n">
        <f aca="false">BH22</f>
        <v>0</v>
      </c>
      <c r="BI31" s="273" t="n">
        <f aca="false">BI22</f>
        <v>0</v>
      </c>
    </row>
    <row r="32" customFormat="false" ht="15" hidden="false" customHeight="true" outlineLevel="0" collapsed="false">
      <c r="A32" s="271" t="s">
        <v>461</v>
      </c>
      <c r="B32" s="272" t="n">
        <f aca="false">B29+B30+B31</f>
        <v>15000000</v>
      </c>
      <c r="C32" s="272" t="n">
        <f aca="false">C29+C30+C31</f>
        <v>14416652.0883786</v>
      </c>
      <c r="D32" s="272" t="n">
        <f aca="false">D29+D30+D31</f>
        <v>17583304.1767571</v>
      </c>
      <c r="E32" s="272" t="n">
        <f aca="false">E29+E30+E31</f>
        <v>16912454.0783925</v>
      </c>
      <c r="F32" s="272" t="n">
        <f aca="false">F29+F30+F31</f>
        <v>16241603.9800279</v>
      </c>
      <c r="G32" s="272" t="n">
        <f aca="false">G29+G30+G31</f>
        <v>19320753.8816632</v>
      </c>
      <c r="H32" s="272" t="n">
        <f aca="false">H29+H30+H31</f>
        <v>18533234.2009743</v>
      </c>
      <c r="I32" s="272" t="n">
        <f aca="false">I29+I30+I31</f>
        <v>17745714.5202854</v>
      </c>
      <c r="J32" s="272" t="n">
        <f aca="false">J29+J30+J31</f>
        <v>20708194.8395964</v>
      </c>
      <c r="K32" s="272" t="n">
        <f aca="false">K29+K30+K31</f>
        <v>19833172.9721643</v>
      </c>
      <c r="L32" s="272" t="n">
        <f aca="false">L29+L30+L31</f>
        <v>18958151.1047321</v>
      </c>
      <c r="M32" s="272" t="n">
        <f aca="false">M29+M30+M31</f>
        <v>21833129.2373</v>
      </c>
      <c r="N32" s="272" t="n">
        <f aca="false">N29+N30+N31</f>
        <v>37450036.9755367</v>
      </c>
      <c r="O32" s="272" t="n">
        <f aca="false">O29+O30+O31</f>
        <v>38066944.7137733</v>
      </c>
      <c r="P32" s="272" t="n">
        <f aca="false">P29+P30+P31</f>
        <v>38683852.45201</v>
      </c>
      <c r="Q32" s="272" t="n">
        <f aca="false">Q29+Q30+Q31</f>
        <v>39393296.3509822</v>
      </c>
      <c r="R32" s="272" t="n">
        <f aca="false">R29+R30+R31</f>
        <v>55102740.2499543</v>
      </c>
      <c r="S32" s="272" t="n">
        <f aca="false">S29+S30+S31</f>
        <v>55812184.1489265</v>
      </c>
      <c r="T32" s="272" t="n">
        <f aca="false">T29+T30+T31</f>
        <v>56645009.595546</v>
      </c>
      <c r="U32" s="272" t="n">
        <f aca="false">U29+U30+U31</f>
        <v>57477835.0421655</v>
      </c>
      <c r="V32" s="272" t="n">
        <f aca="false">V29+V30+V31</f>
        <v>73310660.488785</v>
      </c>
      <c r="W32" s="272" t="n">
        <f aca="false">W29+W30+W31</f>
        <v>74236022.09614</v>
      </c>
      <c r="X32" s="272" t="n">
        <f aca="false">X29+X30+X31</f>
        <v>75161383.703495</v>
      </c>
      <c r="Y32" s="272" t="n">
        <f aca="false">Y29+Y30+Y31</f>
        <v>76086745.31085</v>
      </c>
      <c r="Z32" s="272" t="n">
        <f aca="false">Z29+Z30+Z31</f>
        <v>81203499.4195207</v>
      </c>
      <c r="AA32" s="272" t="n">
        <f aca="false">AA29+AA30+AA31</f>
        <v>86320253.5281913</v>
      </c>
      <c r="AB32" s="272" t="n">
        <f aca="false">AB29+AB30+AB31</f>
        <v>91437007.636862</v>
      </c>
      <c r="AC32" s="272" t="n">
        <f aca="false">AC29+AC30+AC31</f>
        <v>97321274.8618332</v>
      </c>
      <c r="AD32" s="272" t="n">
        <f aca="false">AD29+AD30+AD31</f>
        <v>103205542.086805</v>
      </c>
      <c r="AE32" s="272" t="n">
        <f aca="false">AE29+AE30+AE31</f>
        <v>109089809.311776</v>
      </c>
      <c r="AF32" s="272" t="n">
        <f aca="false">AF29+AF30+AF31</f>
        <v>115997427.358481</v>
      </c>
      <c r="AG32" s="272" t="n">
        <f aca="false">AG29+AG30+AG31</f>
        <v>122905045.405187</v>
      </c>
      <c r="AH32" s="272" t="n">
        <f aca="false">AH29+AH30+AH31</f>
        <v>129812663.451892</v>
      </c>
      <c r="AI32" s="272" t="n">
        <f aca="false">AI29+AI30+AI31</f>
        <v>137487794.614898</v>
      </c>
      <c r="AJ32" s="272" t="n">
        <f aca="false">AJ29+AJ30+AJ31</f>
        <v>145162925.777904</v>
      </c>
      <c r="AK32" s="272" t="n">
        <f aca="false">AK29+AK30+AK31</f>
        <v>152838056.94091</v>
      </c>
      <c r="AL32" s="272" t="n">
        <f aca="false">AL29+AL30+AL31</f>
        <v>163500779.243893</v>
      </c>
      <c r="AM32" s="272" t="n">
        <f aca="false">AM29+AM30+AM31</f>
        <v>174163501.546876</v>
      </c>
      <c r="AN32" s="272" t="n">
        <f aca="false">AN29+AN30+AN31</f>
        <v>184826223.84986</v>
      </c>
      <c r="AO32" s="272" t="n">
        <f aca="false">AO29+AO30+AO31</f>
        <v>197088354.49829</v>
      </c>
      <c r="AP32" s="272" t="n">
        <f aca="false">AP29+AP30+AP31</f>
        <v>209350485.146721</v>
      </c>
      <c r="AQ32" s="272" t="n">
        <f aca="false">AQ29+AQ30+AQ31</f>
        <v>221612615.795152</v>
      </c>
      <c r="AR32" s="272" t="n">
        <f aca="false">AR29+AR30+AR31</f>
        <v>236007290.904179</v>
      </c>
      <c r="AS32" s="272" t="n">
        <f aca="false">AS29+AS30+AS31</f>
        <v>250401966.013206</v>
      </c>
      <c r="AT32" s="272" t="n">
        <f aca="false">AT29+AT30+AT31</f>
        <v>264796641.122234</v>
      </c>
      <c r="AU32" s="272" t="n">
        <f aca="false">AU29+AU30+AU31</f>
        <v>280790724.576708</v>
      </c>
      <c r="AV32" s="272" t="n">
        <f aca="false">AV29+AV30+AV31</f>
        <v>296784808.031183</v>
      </c>
      <c r="AW32" s="272" t="n">
        <f aca="false">AW29+AW30+AW31</f>
        <v>312778891.485658</v>
      </c>
      <c r="AX32" s="272" t="n">
        <f aca="false">AX29+AX30+AX31</f>
        <v>332096223.448383</v>
      </c>
      <c r="AY32" s="272" t="n">
        <f aca="false">AY29+AY30+AY31</f>
        <v>351413555.411108</v>
      </c>
      <c r="AZ32" s="272" t="n">
        <f aca="false">AZ29+AZ30+AZ31</f>
        <v>370730887.373833</v>
      </c>
      <c r="BA32" s="272" t="n">
        <f aca="false">BA29+BA30+BA31</f>
        <v>392945819.130967</v>
      </c>
      <c r="BB32" s="272" t="n">
        <f aca="false">BB29+BB30+BB31</f>
        <v>415160750.888101</v>
      </c>
      <c r="BC32" s="272" t="n">
        <f aca="false">BC29+BC30+BC31</f>
        <v>437375682.645235</v>
      </c>
      <c r="BD32" s="272" t="n">
        <f aca="false">BD29+BD30+BD31</f>
        <v>463454080.794914</v>
      </c>
      <c r="BE32" s="272" t="n">
        <f aca="false">BE29+BE30+BE31</f>
        <v>489532478.944592</v>
      </c>
      <c r="BF32" s="272" t="n">
        <f aca="false">BF29+BF30+BF31</f>
        <v>515610877.094271</v>
      </c>
      <c r="BG32" s="272" t="n">
        <f aca="false">BG29+BG30+BG31</f>
        <v>544586875.038359</v>
      </c>
      <c r="BH32" s="272" t="n">
        <f aca="false">BH29+BH30+BH31</f>
        <v>573562872.982446</v>
      </c>
      <c r="BI32" s="272" t="n">
        <f aca="false">BI29+BI30+BI31</f>
        <v>602538870.926534</v>
      </c>
    </row>
    <row r="33" customFormat="false" ht="15" hidden="false" customHeight="true" outlineLevel="0" collapsed="false">
      <c r="A33" s="271" t="s">
        <v>462</v>
      </c>
      <c r="B33" s="272" t="n">
        <f aca="false">B21</f>
        <v>0</v>
      </c>
      <c r="C33" s="272" t="n">
        <f aca="false">B33+C21</f>
        <v>0</v>
      </c>
      <c r="D33" s="272" t="n">
        <f aca="false">C33+D21</f>
        <v>0</v>
      </c>
      <c r="E33" s="272" t="n">
        <f aca="false">D33+E21</f>
        <v>0</v>
      </c>
      <c r="F33" s="272" t="n">
        <f aca="false">E33+F21</f>
        <v>0</v>
      </c>
      <c r="G33" s="272" t="n">
        <f aca="false">F33+G21</f>
        <v>0</v>
      </c>
      <c r="H33" s="272" t="n">
        <f aca="false">G33+H21</f>
        <v>0</v>
      </c>
      <c r="I33" s="272" t="n">
        <f aca="false">H33+I21</f>
        <v>0</v>
      </c>
      <c r="J33" s="272" t="n">
        <f aca="false">I33+J21</f>
        <v>0</v>
      </c>
      <c r="K33" s="272" t="n">
        <f aca="false">J33+K21</f>
        <v>0</v>
      </c>
      <c r="L33" s="272" t="n">
        <f aca="false">K33+L21</f>
        <v>0</v>
      </c>
      <c r="M33" s="272" t="n">
        <f aca="false">L33+M21</f>
        <v>0</v>
      </c>
      <c r="N33" s="272" t="n">
        <f aca="false">M33+N21</f>
        <v>24666666.6666667</v>
      </c>
      <c r="O33" s="272" t="n">
        <f aca="false">N33+O21</f>
        <v>49333333.3333334</v>
      </c>
      <c r="P33" s="272" t="n">
        <f aca="false">O33+P21</f>
        <v>74000000</v>
      </c>
      <c r="Q33" s="272" t="n">
        <f aca="false">P33+Q21</f>
        <v>102366666.666667</v>
      </c>
      <c r="R33" s="272" t="n">
        <f aca="false">Q33+R21</f>
        <v>130733333.333333</v>
      </c>
      <c r="S33" s="272" t="n">
        <f aca="false">R33+S21</f>
        <v>159100000</v>
      </c>
      <c r="T33" s="272" t="n">
        <f aca="false">S33+T21</f>
        <v>192400000</v>
      </c>
      <c r="U33" s="272" t="n">
        <f aca="false">T33+U21</f>
        <v>225700000</v>
      </c>
      <c r="V33" s="272" t="n">
        <f aca="false">U33+V21</f>
        <v>259000000</v>
      </c>
      <c r="W33" s="272" t="n">
        <f aca="false">V33+W21</f>
        <v>296000000</v>
      </c>
      <c r="X33" s="272" t="n">
        <f aca="false">W33+X21</f>
        <v>333000000</v>
      </c>
      <c r="Y33" s="272" t="n">
        <f aca="false">X33+Y21</f>
        <v>370000000</v>
      </c>
      <c r="Z33" s="272" t="n">
        <f aca="false">Y33+Z21</f>
        <v>391000000</v>
      </c>
      <c r="AA33" s="272" t="n">
        <f aca="false">Z33+AA21</f>
        <v>412000000</v>
      </c>
      <c r="AB33" s="272" t="n">
        <f aca="false">AA33+AB21</f>
        <v>433000000</v>
      </c>
      <c r="AC33" s="272" t="n">
        <f aca="false">AB33+AC21</f>
        <v>457150000</v>
      </c>
      <c r="AD33" s="272" t="n">
        <f aca="false">AC33+AD21</f>
        <v>481300000</v>
      </c>
      <c r="AE33" s="272" t="n">
        <f aca="false">AD33+AE21</f>
        <v>505450000</v>
      </c>
      <c r="AF33" s="272" t="n">
        <f aca="false">AE33+AF21</f>
        <v>533800000</v>
      </c>
      <c r="AG33" s="272" t="n">
        <f aca="false">AF33+AG21</f>
        <v>562150000</v>
      </c>
      <c r="AH33" s="272" t="n">
        <f aca="false">AG33+AH21</f>
        <v>590500000</v>
      </c>
      <c r="AI33" s="272" t="n">
        <f aca="false">AH33+AI21</f>
        <v>622000000</v>
      </c>
      <c r="AJ33" s="272" t="n">
        <f aca="false">AI33+AJ21</f>
        <v>653500000</v>
      </c>
      <c r="AK33" s="272" t="n">
        <f aca="false">AJ33+AK21</f>
        <v>685000000</v>
      </c>
      <c r="AL33" s="272" t="n">
        <f aca="false">AK33+AL21</f>
        <v>728333333.333334</v>
      </c>
      <c r="AM33" s="272" t="n">
        <f aca="false">AL33+AM21</f>
        <v>771666666.666667</v>
      </c>
      <c r="AN33" s="272" t="n">
        <f aca="false">AM33+AN21</f>
        <v>815000000</v>
      </c>
      <c r="AO33" s="272" t="n">
        <f aca="false">AN33+AO21</f>
        <v>864833333.333334</v>
      </c>
      <c r="AP33" s="272" t="n">
        <f aca="false">AO33+AP21</f>
        <v>914666666.666667</v>
      </c>
      <c r="AQ33" s="272" t="n">
        <f aca="false">AP33+AQ21</f>
        <v>964500000</v>
      </c>
      <c r="AR33" s="272" t="n">
        <f aca="false">AQ33+AR21</f>
        <v>1023000000</v>
      </c>
      <c r="AS33" s="272" t="n">
        <f aca="false">AR33+AS21</f>
        <v>1081500000</v>
      </c>
      <c r="AT33" s="272" t="n">
        <f aca="false">AS33+AT21</f>
        <v>1140000000</v>
      </c>
      <c r="AU33" s="272" t="n">
        <f aca="false">AT33+AU21</f>
        <v>1205000000</v>
      </c>
      <c r="AV33" s="272" t="n">
        <f aca="false">AU33+AV21</f>
        <v>1270000000</v>
      </c>
      <c r="AW33" s="272" t="n">
        <f aca="false">AV33+AW21</f>
        <v>1335000000</v>
      </c>
      <c r="AX33" s="272" t="n">
        <f aca="false">AW33+AX21</f>
        <v>1419333333.33333</v>
      </c>
      <c r="AY33" s="272" t="n">
        <f aca="false">AX33+AY21</f>
        <v>1503666666.66667</v>
      </c>
      <c r="AZ33" s="272" t="n">
        <f aca="false">AY33+AZ21</f>
        <v>1588000000</v>
      </c>
      <c r="BA33" s="272" t="n">
        <f aca="false">AZ33+BA21</f>
        <v>1684983333.33333</v>
      </c>
      <c r="BB33" s="272" t="n">
        <f aca="false">BA33+BB21</f>
        <v>1781966666.66667</v>
      </c>
      <c r="BC33" s="272" t="n">
        <f aca="false">BB33+BC21</f>
        <v>1878950000</v>
      </c>
      <c r="BD33" s="272" t="n">
        <f aca="false">BC33+BD21</f>
        <v>1992800000</v>
      </c>
      <c r="BE33" s="272" t="n">
        <f aca="false">BD33+BE21</f>
        <v>2106650000</v>
      </c>
      <c r="BF33" s="272" t="n">
        <f aca="false">BE33+BF21</f>
        <v>2220500000</v>
      </c>
      <c r="BG33" s="272" t="n">
        <f aca="false">BF33+BG21</f>
        <v>2347000000</v>
      </c>
      <c r="BH33" s="272" t="n">
        <f aca="false">BG33+BH21</f>
        <v>2473500000</v>
      </c>
      <c r="BI33" s="272" t="n">
        <f aca="false">BH33+BI21</f>
        <v>2600000000</v>
      </c>
    </row>
    <row r="34" customFormat="false" ht="15" hidden="false" customHeight="true" outlineLevel="0" collapsed="false">
      <c r="A34" s="105" t="s">
        <v>463</v>
      </c>
      <c r="B34" s="278" t="n">
        <f aca="false">IF(B$4&lt;=2028,4,9)</f>
        <v>4</v>
      </c>
      <c r="C34" s="278" t="n">
        <f aca="false">IF(C$4&lt;=2028,4,9)</f>
        <v>4</v>
      </c>
      <c r="D34" s="278" t="n">
        <f aca="false">IF(D$4&lt;=2028,4,9)</f>
        <v>4</v>
      </c>
      <c r="E34" s="278" t="n">
        <f aca="false">IF(E$4&lt;=2028,4,9)</f>
        <v>4</v>
      </c>
      <c r="F34" s="278" t="n">
        <f aca="false">IF(F$4&lt;=2028,4,9)</f>
        <v>4</v>
      </c>
      <c r="G34" s="278" t="n">
        <f aca="false">IF(G$4&lt;=2028,4,9)</f>
        <v>4</v>
      </c>
      <c r="H34" s="278" t="n">
        <f aca="false">IF(H$4&lt;=2028,4,9)</f>
        <v>4</v>
      </c>
      <c r="I34" s="278" t="n">
        <f aca="false">IF(I$4&lt;=2028,4,9)</f>
        <v>4</v>
      </c>
      <c r="J34" s="278" t="n">
        <f aca="false">IF(J$4&lt;=2028,4,9)</f>
        <v>4</v>
      </c>
      <c r="K34" s="278" t="n">
        <f aca="false">IF(K$4&lt;=2028,4,9)</f>
        <v>4</v>
      </c>
      <c r="L34" s="278" t="n">
        <f aca="false">IF(L$4&lt;=2028,4,9)</f>
        <v>4</v>
      </c>
      <c r="M34" s="278" t="n">
        <f aca="false">IF(M$4&lt;=2028,4,9)</f>
        <v>4</v>
      </c>
      <c r="N34" s="278" t="n">
        <f aca="false">IF(N$4&lt;=2028,4,9)</f>
        <v>4</v>
      </c>
      <c r="O34" s="278" t="n">
        <f aca="false">IF(O$4&lt;=2028,4,9)</f>
        <v>4</v>
      </c>
      <c r="P34" s="278" t="n">
        <f aca="false">IF(P$4&lt;=2028,4,9)</f>
        <v>4</v>
      </c>
      <c r="Q34" s="278" t="n">
        <f aca="false">IF(Q$4&lt;=2028,4,9)</f>
        <v>4</v>
      </c>
      <c r="R34" s="278" t="n">
        <f aca="false">IF(R$4&lt;=2028,4,9)</f>
        <v>4</v>
      </c>
      <c r="S34" s="278" t="n">
        <f aca="false">IF(S$4&lt;=2028,4,9)</f>
        <v>4</v>
      </c>
      <c r="T34" s="278" t="n">
        <f aca="false">IF(T$4&lt;=2028,4,9)</f>
        <v>4</v>
      </c>
      <c r="U34" s="278" t="n">
        <f aca="false">IF(U$4&lt;=2028,4,9)</f>
        <v>4</v>
      </c>
      <c r="V34" s="278" t="n">
        <f aca="false">IF(V$4&lt;=2028,4,9)</f>
        <v>4</v>
      </c>
      <c r="W34" s="278" t="n">
        <f aca="false">IF(W$4&lt;=2028,4,9)</f>
        <v>4</v>
      </c>
      <c r="X34" s="278" t="n">
        <f aca="false">IF(X$4&lt;=2028,4,9)</f>
        <v>4</v>
      </c>
      <c r="Y34" s="278" t="n">
        <f aca="false">IF(Y$4&lt;=2028,4,9)</f>
        <v>4</v>
      </c>
      <c r="Z34" s="278" t="n">
        <f aca="false">IF(Z$4&lt;=2028,4,9)</f>
        <v>9</v>
      </c>
      <c r="AA34" s="278" t="n">
        <f aca="false">IF(AA$4&lt;=2028,4,9)</f>
        <v>9</v>
      </c>
      <c r="AB34" s="278" t="n">
        <f aca="false">IF(AB$4&lt;=2028,4,9)</f>
        <v>9</v>
      </c>
      <c r="AC34" s="278" t="n">
        <f aca="false">IF(AC$4&lt;=2028,4,9)</f>
        <v>9</v>
      </c>
      <c r="AD34" s="278" t="n">
        <f aca="false">IF(AD$4&lt;=2028,4,9)</f>
        <v>9</v>
      </c>
      <c r="AE34" s="278" t="n">
        <f aca="false">IF(AE$4&lt;=2028,4,9)</f>
        <v>9</v>
      </c>
      <c r="AF34" s="278" t="n">
        <f aca="false">IF(AF$4&lt;=2028,4,9)</f>
        <v>9</v>
      </c>
      <c r="AG34" s="278" t="n">
        <f aca="false">IF(AG$4&lt;=2028,4,9)</f>
        <v>9</v>
      </c>
      <c r="AH34" s="278" t="n">
        <f aca="false">IF(AH$4&lt;=2028,4,9)</f>
        <v>9</v>
      </c>
      <c r="AI34" s="278" t="n">
        <f aca="false">IF(AI$4&lt;=2028,4,9)</f>
        <v>9</v>
      </c>
      <c r="AJ34" s="278" t="n">
        <f aca="false">IF(AJ$4&lt;=2028,4,9)</f>
        <v>9</v>
      </c>
      <c r="AK34" s="278" t="n">
        <f aca="false">IF(AK$4&lt;=2028,4,9)</f>
        <v>9</v>
      </c>
      <c r="AL34" s="278" t="n">
        <f aca="false">IF(AL$4&lt;=2028,4,9)</f>
        <v>9</v>
      </c>
      <c r="AM34" s="278" t="n">
        <f aca="false">IF(AM$4&lt;=2028,4,9)</f>
        <v>9</v>
      </c>
      <c r="AN34" s="278" t="n">
        <f aca="false">IF(AN$4&lt;=2028,4,9)</f>
        <v>9</v>
      </c>
      <c r="AO34" s="278" t="n">
        <f aca="false">IF(AO$4&lt;=2028,4,9)</f>
        <v>9</v>
      </c>
      <c r="AP34" s="278" t="n">
        <f aca="false">IF(AP$4&lt;=2028,4,9)</f>
        <v>9</v>
      </c>
      <c r="AQ34" s="278" t="n">
        <f aca="false">IF(AQ$4&lt;=2028,4,9)</f>
        <v>9</v>
      </c>
      <c r="AR34" s="278" t="n">
        <f aca="false">IF(AR$4&lt;=2028,4,9)</f>
        <v>9</v>
      </c>
      <c r="AS34" s="278" t="n">
        <f aca="false">IF(AS$4&lt;=2028,4,9)</f>
        <v>9</v>
      </c>
      <c r="AT34" s="278" t="n">
        <f aca="false">IF(AT$4&lt;=2028,4,9)</f>
        <v>9</v>
      </c>
      <c r="AU34" s="278" t="n">
        <f aca="false">IF(AU$4&lt;=2028,4,9)</f>
        <v>9</v>
      </c>
      <c r="AV34" s="278" t="n">
        <f aca="false">IF(AV$4&lt;=2028,4,9)</f>
        <v>9</v>
      </c>
      <c r="AW34" s="278" t="n">
        <f aca="false">IF(AW$4&lt;=2028,4,9)</f>
        <v>9</v>
      </c>
      <c r="AX34" s="278" t="n">
        <f aca="false">IF(AX$4&lt;=2028,4,9)</f>
        <v>9</v>
      </c>
      <c r="AY34" s="278" t="n">
        <f aca="false">IF(AY$4&lt;=2028,4,9)</f>
        <v>9</v>
      </c>
      <c r="AZ34" s="278" t="n">
        <f aca="false">IF(AZ$4&lt;=2028,4,9)</f>
        <v>9</v>
      </c>
      <c r="BA34" s="278" t="n">
        <f aca="false">IF(BA$4&lt;=2028,4,9)</f>
        <v>9</v>
      </c>
      <c r="BB34" s="278" t="n">
        <f aca="false">IF(BB$4&lt;=2028,4,9)</f>
        <v>9</v>
      </c>
      <c r="BC34" s="278" t="n">
        <f aca="false">IF(BC$4&lt;=2028,4,9)</f>
        <v>9</v>
      </c>
      <c r="BD34" s="278" t="n">
        <f aca="false">IF(BD$4&lt;=2028,4,9)</f>
        <v>9</v>
      </c>
      <c r="BE34" s="278" t="n">
        <f aca="false">IF(BE$4&lt;=2028,4,9)</f>
        <v>9</v>
      </c>
      <c r="BF34" s="278" t="n">
        <f aca="false">IF(BF$4&lt;=2028,4,9)</f>
        <v>9</v>
      </c>
      <c r="BG34" s="278" t="n">
        <f aca="false">IF(BG$4&lt;=2028,4,9)</f>
        <v>9</v>
      </c>
      <c r="BH34" s="278" t="n">
        <f aca="false">IF(BH$4&lt;=2028,4,9)</f>
        <v>9</v>
      </c>
      <c r="BI34" s="278" t="n">
        <f aca="false">IF(BI$4&lt;=2028,4,9)</f>
        <v>9</v>
      </c>
    </row>
    <row r="35" customFormat="false" ht="15" hidden="false" customHeight="true" outlineLevel="0" collapsed="false">
      <c r="A35" s="271" t="s">
        <v>464</v>
      </c>
      <c r="B35" s="279" t="n">
        <f aca="false">IFERROR(B33/MAX(1,B32-IF(B34=9,INDEX('Regulatory Capital Plan'!$B$9:$F$9,1,B$4-2026),0)),0)</f>
        <v>0</v>
      </c>
      <c r="C35" s="279" t="n">
        <f aca="false">IFERROR(C33/MAX(1,C32-IF(C34=9,INDEX('Regulatory Capital Plan'!$B$9:$F$9,1,C$4-2026),0)),0)</f>
        <v>0</v>
      </c>
      <c r="D35" s="279" t="n">
        <f aca="false">IFERROR(D33/MAX(1,D32-IF(D34=9,INDEX('Regulatory Capital Plan'!$B$9:$F$9,1,D$4-2026),0)),0)</f>
        <v>0</v>
      </c>
      <c r="E35" s="279" t="n">
        <f aca="false">IFERROR(E33/MAX(1,E32-IF(E34=9,INDEX('Regulatory Capital Plan'!$B$9:$F$9,1,E$4-2026),0)),0)</f>
        <v>0</v>
      </c>
      <c r="F35" s="279" t="n">
        <f aca="false">IFERROR(F33/MAX(1,F32-IF(F34=9,INDEX('Regulatory Capital Plan'!$B$9:$F$9,1,F$4-2026),0)),0)</f>
        <v>0</v>
      </c>
      <c r="G35" s="279" t="n">
        <f aca="false">IFERROR(G33/MAX(1,G32-IF(G34=9,INDEX('Regulatory Capital Plan'!$B$9:$F$9,1,G$4-2026),0)),0)</f>
        <v>0</v>
      </c>
      <c r="H35" s="279" t="n">
        <f aca="false">IFERROR(H33/MAX(1,H32-IF(H34=9,INDEX('Regulatory Capital Plan'!$B$9:$F$9,1,H$4-2026),0)),0)</f>
        <v>0</v>
      </c>
      <c r="I35" s="279" t="n">
        <f aca="false">IFERROR(I33/MAX(1,I32-IF(I34=9,INDEX('Regulatory Capital Plan'!$B$9:$F$9,1,I$4-2026),0)),0)</f>
        <v>0</v>
      </c>
      <c r="J35" s="279" t="n">
        <f aca="false">IFERROR(J33/MAX(1,J32-IF(J34=9,INDEX('Regulatory Capital Plan'!$B$9:$F$9,1,J$4-2026),0)),0)</f>
        <v>0</v>
      </c>
      <c r="K35" s="279" t="n">
        <f aca="false">IFERROR(K33/MAX(1,K32-IF(K34=9,INDEX('Regulatory Capital Plan'!$B$9:$F$9,1,K$4-2026),0)),0)</f>
        <v>0</v>
      </c>
      <c r="L35" s="279" t="n">
        <f aca="false">IFERROR(L33/MAX(1,L32-IF(L34=9,INDEX('Regulatory Capital Plan'!$B$9:$F$9,1,L$4-2026),0)),0)</f>
        <v>0</v>
      </c>
      <c r="M35" s="279" t="n">
        <f aca="false">IFERROR(M33/MAX(1,M32-IF(M34=9,INDEX('Regulatory Capital Plan'!$B$9:$F$9,1,M$4-2026),0)),0)</f>
        <v>0</v>
      </c>
      <c r="N35" s="279" t="n">
        <f aca="false">IFERROR(N33/MAX(1,N32-IF(N34=9,INDEX('Regulatory Capital Plan'!$B$9:$F$9,1,N$4-2026),0)),0)</f>
        <v>0.658655335448122</v>
      </c>
      <c r="O35" s="279" t="n">
        <f aca="false">IFERROR(O33/MAX(1,O32-IF(O34=9,INDEX('Regulatory Capital Plan'!$B$9:$F$9,1,O$4-2026),0)),0)</f>
        <v>1.29596251299579</v>
      </c>
      <c r="P35" s="279" t="n">
        <f aca="false">IFERROR(P33/MAX(1,P32-IF(P34=9,INDEX('Regulatory Capital Plan'!$B$9:$F$9,1,P$4-2026),0)),0)</f>
        <v>1.91294287692267</v>
      </c>
      <c r="Q35" s="279" t="n">
        <f aca="false">IFERROR(Q33/MAX(1,Q32-IF(Q34=9,INDEX('Regulatory Capital Plan'!$B$9:$F$9,1,Q$4-2026),0)),0)</f>
        <v>2.59858087920877</v>
      </c>
      <c r="R35" s="279" t="n">
        <f aca="false">IFERROR(R33/MAX(1,R32-IF(R34=9,INDEX('Regulatory Capital Plan'!$B$9:$F$9,1,R$4-2026),0)),0)</f>
        <v>2.3725377856039</v>
      </c>
      <c r="S35" s="279" t="n">
        <f aca="false">IFERROR(S33/MAX(1,S32-IF(S34=9,INDEX('Regulatory Capital Plan'!$B$9:$F$9,1,S$4-2026),0)),0)</f>
        <v>2.85063203359799</v>
      </c>
      <c r="T35" s="279" t="n">
        <f aca="false">IFERROR(T33/MAX(1,T32-IF(T34=9,INDEX('Regulatory Capital Plan'!$B$9:$F$9,1,T$4-2026),0)),0)</f>
        <v>3.39659223952411</v>
      </c>
      <c r="U35" s="279" t="n">
        <f aca="false">IFERROR(U33/MAX(1,U32-IF(U34=9,INDEX('Regulatory Capital Plan'!$B$9:$F$9,1,U$4-2026),0)),0)</f>
        <v>3.92673105788392</v>
      </c>
      <c r="V35" s="279" t="n">
        <f aca="false">IFERROR(V33/MAX(1,V32-IF(V34=9,INDEX('Regulatory Capital Plan'!$B$9:$F$9,1,V$4-2026),0)),0)</f>
        <v>3.53291046995303</v>
      </c>
      <c r="W35" s="279" t="n">
        <f aca="false">IFERROR(W33/MAX(1,W32-IF(W34=9,INDEX('Regulatory Capital Plan'!$B$9:$F$9,1,W$4-2026),0)),0)</f>
        <v>3.98728261081477</v>
      </c>
      <c r="X35" s="279" t="n">
        <f aca="false">IFERROR(X33/MAX(1,X32-IF(X34=9,INDEX('Regulatory Capital Plan'!$B$9:$F$9,1,X$4-2026),0)),0)</f>
        <v>4.43046659856151</v>
      </c>
      <c r="Y35" s="279" t="n">
        <f aca="false">IFERROR(Y33/MAX(1,Y32-IF(Y34=9,INDEX('Regulatory Capital Plan'!$B$9:$F$9,1,Y$4-2026),0)),0)</f>
        <v>4.86287064177048</v>
      </c>
      <c r="Z35" s="279" t="n">
        <f aca="false">IFERROR(Z33/MAX(1,Z32-IF(Z34=9,INDEX('Regulatory Capital Plan'!$B$9:$F$9,1,Z$4-2026),0)),0)</f>
        <v>4.99219255432827</v>
      </c>
      <c r="AA35" s="279" t="n">
        <f aca="false">IFERROR(AA33/MAX(1,AA32-IF(AA34=9,INDEX('Regulatory Capital Plan'!$B$9:$F$9,1,AA$4-2026),0)),0)</f>
        <v>4.93773577933502</v>
      </c>
      <c r="AB35" s="279" t="n">
        <f aca="false">IFERROR(AB33/MAX(1,AB32-IF(AB34=9,INDEX('Regulatory Capital Plan'!$B$9:$F$9,1,AB$4-2026),0)),0)</f>
        <v>4.88957202869844</v>
      </c>
      <c r="AC35" s="279" t="n">
        <f aca="false">IFERROR(AC33/MAX(1,AC32-IF(AC34=9,INDEX('Regulatory Capital Plan'!$B$9:$F$9,1,AC$4-2026),0)),0)</f>
        <v>4.84063572237543</v>
      </c>
      <c r="AD35" s="279" t="n">
        <f aca="false">IFERROR(AD33/MAX(1,AD32-IF(AD34=9,INDEX('Regulatory Capital Plan'!$B$9:$F$9,1,AD$4-2026),0)),0)</f>
        <v>4.79743988336909</v>
      </c>
      <c r="AE35" s="279" t="n">
        <f aca="false">IFERROR(AE33/MAX(1,AE32-IF(AE34=9,INDEX('Regulatory Capital Plan'!$B$9:$F$9,1,AE$4-2026),0)),0)</f>
        <v>4.7590303957022</v>
      </c>
      <c r="AF35" s="279" t="n">
        <f aca="false">IFERROR(AF33/MAX(1,AF32-IF(AF34=9,INDEX('Regulatory Capital Plan'!$B$9:$F$9,1,AF$4-2026),0)),0)</f>
        <v>4.71903998626398</v>
      </c>
      <c r="AG35" s="279" t="n">
        <f aca="false">IFERROR(AG33/MAX(1,AG32-IF(AG34=9,INDEX('Regulatory Capital Plan'!$B$9:$F$9,1,AG$4-2026),0)),0)</f>
        <v>4.68365263670937</v>
      </c>
      <c r="AH35" s="279" t="n">
        <f aca="false">IFERROR(AH33/MAX(1,AH32-IF(AH34=9,INDEX('Regulatory Capital Plan'!$B$9:$F$9,1,AH$4-2026),0)),0)</f>
        <v>4.65211685063258</v>
      </c>
      <c r="AI35" s="279" t="n">
        <f aca="false">IFERROR(AI33/MAX(1,AI32-IF(AI34=9,INDEX('Regulatory Capital Plan'!$B$9:$F$9,1,AI$4-2026),0)),0)</f>
        <v>4.62087315840288</v>
      </c>
      <c r="AJ35" s="279" t="n">
        <f aca="false">IFERROR(AJ33/MAX(1,AJ32-IF(AJ34=9,INDEX('Regulatory Capital Plan'!$B$9:$F$9,1,AJ$4-2026),0)),0)</f>
        <v>4.59300023546304</v>
      </c>
      <c r="AK35" s="279" t="n">
        <f aca="false">IFERROR(AK33/MAX(1,AK32-IF(AK34=9,INDEX('Regulatory Capital Plan'!$B$9:$F$9,1,AK$4-2026),0)),0)</f>
        <v>4.56798051102073</v>
      </c>
      <c r="AL35" s="279" t="n">
        <f aca="false">IFERROR(AL33/MAX(1,AL32-IF(AL34=9,INDEX('Regulatory Capital Plan'!$B$9:$F$9,1,AL$4-2026),0)),0)</f>
        <v>4.53452397747471</v>
      </c>
      <c r="AM35" s="279" t="n">
        <f aca="false">IFERROR(AM33/MAX(1,AM32-IF(AM34=9,INDEX('Regulatory Capital Plan'!$B$9:$F$9,1,AM$4-2026),0)),0)</f>
        <v>4.50523293824072</v>
      </c>
      <c r="AN35" s="279" t="n">
        <f aca="false">IFERROR(AN33/MAX(1,AN32-IF(AN34=9,INDEX('Regulatory Capital Plan'!$B$9:$F$9,1,AN$4-2026),0)),0)</f>
        <v>4.47937504832523</v>
      </c>
      <c r="AO35" s="279" t="n">
        <f aca="false">IFERROR(AO33/MAX(1,AO32-IF(AO34=9,INDEX('Regulatory Capital Plan'!$B$9:$F$9,1,AO$4-2026),0)),0)</f>
        <v>4.45314867810881</v>
      </c>
      <c r="AP35" s="279" t="n">
        <f aca="false">IFERROR(AP33/MAX(1,AP32-IF(AP34=9,INDEX('Regulatory Capital Plan'!$B$9:$F$9,1,AP$4-2026),0)),0)</f>
        <v>4.43003745577309</v>
      </c>
      <c r="AQ35" s="279" t="n">
        <f aca="false">IFERROR(AQ33/MAX(1,AQ32-IF(AQ34=9,INDEX('Regulatory Capital Plan'!$B$9:$F$9,1,AQ$4-2026),0)),0)</f>
        <v>4.40951747371892</v>
      </c>
      <c r="AR35" s="279" t="n">
        <f aca="false">IFERROR(AR33/MAX(1,AR32-IF(AR34=9,INDEX('Regulatory Capital Plan'!$B$9:$F$9,1,AR$4-2026),0)),0)</f>
        <v>4.388183218928</v>
      </c>
      <c r="AS35" s="279" t="n">
        <f aca="false">IFERROR(AS33/MAX(1,AS32-IF(AS34=9,INDEX('Regulatory Capital Plan'!$B$9:$F$9,1,AS$4-2026),0)),0)</f>
        <v>4.36933036940544</v>
      </c>
      <c r="AT35" s="279" t="n">
        <f aca="false">IFERROR(AT33/MAX(1,AT32-IF(AT34=9,INDEX('Regulatory Capital Plan'!$B$9:$F$9,1,AT$4-2026),0)),0)</f>
        <v>4.352549796665</v>
      </c>
      <c r="AU35" s="279" t="n">
        <f aca="false">IFERROR(AU33/MAX(1,AU32-IF(AU34=9,INDEX('Regulatory Capital Plan'!$B$9:$F$9,1,AU$4-2026),0)),0)</f>
        <v>4.33594351195904</v>
      </c>
      <c r="AV35" s="279" t="n">
        <f aca="false">IFERROR(AV33/MAX(1,AV32-IF(AV34=9,INDEX('Regulatory Capital Plan'!$B$9:$F$9,1,AV$4-2026),0)),0)</f>
        <v>4.32114463822864</v>
      </c>
      <c r="AW35" s="279" t="n">
        <f aca="false">IFERROR(AW33/MAX(1,AW32-IF(AW34=9,INDEX('Regulatory Capital Plan'!$B$9:$F$9,1,AW$4-2026),0)),0)</f>
        <v>4.30787332942035</v>
      </c>
      <c r="AX35" s="279" t="n">
        <f aca="false">IFERROR(AX33/MAX(1,AX32-IF(AX34=9,INDEX('Regulatory Capital Plan'!$B$9:$F$9,1,AX$4-2026),0)),0)</f>
        <v>4.31126538049947</v>
      </c>
      <c r="AY35" s="279" t="n">
        <f aca="false">IFERROR(AY33/MAX(1,AY32-IF(AY34=9,INDEX('Regulatory Capital Plan'!$B$9:$F$9,1,AY$4-2026),0)),0)</f>
        <v>4.31428142415367</v>
      </c>
      <c r="AZ35" s="279" t="n">
        <f aca="false">IFERROR(AZ33/MAX(1,AZ32-IF(AZ34=9,INDEX('Regulatory Capital Plan'!$B$9:$F$9,1,AZ$4-2026),0)),0)</f>
        <v>4.31698069757001</v>
      </c>
      <c r="BA35" s="279" t="n">
        <f aca="false">IFERROR(BA33/MAX(1,BA32-IF(BA34=9,INDEX('Regulatory Capital Plan'!$B$9:$F$9,1,BA$4-2026),0)),0)</f>
        <v>4.31975434502966</v>
      </c>
      <c r="BB35" s="279" t="n">
        <f aca="false">IFERROR(BB33/MAX(1,BB32-IF(BB34=9,INDEX('Regulatory Capital Plan'!$B$9:$F$9,1,BB$4-2026),0)),0)</f>
        <v>4.32222908661876</v>
      </c>
      <c r="BC35" s="279" t="n">
        <f aca="false">IFERROR(BC33/MAX(1,BC32-IF(BC34=9,INDEX('Regulatory Capital Plan'!$B$9:$F$9,1,BC$4-2026),0)),0)</f>
        <v>4.32445076991729</v>
      </c>
      <c r="BD35" s="279" t="n">
        <f aca="false">IFERROR(BD33/MAX(1,BD32-IF(BD34=9,INDEX('Regulatory Capital Plan'!$B$9:$F$9,1,BD$4-2026),0)),0)</f>
        <v>4.32678536469751</v>
      </c>
      <c r="BE35" s="279" t="n">
        <f aca="false">IFERROR(BE33/MAX(1,BE32-IF(BE34=9,INDEX('Regulatory Capital Plan'!$B$9:$F$9,1,BE$4-2026),0)),0)</f>
        <v>4.32886974954371</v>
      </c>
      <c r="BF35" s="279" t="n">
        <f aca="false">IFERROR(BF33/MAX(1,BF32-IF(BF34=9,INDEX('Regulatory Capital Plan'!$B$9:$F$9,1,BF$4-2026),0)),0)</f>
        <v>4.33074210290296</v>
      </c>
      <c r="BG35" s="279" t="n">
        <f aca="false">IFERROR(BG33/MAX(1,BG32-IF(BG34=9,INDEX('Regulatory Capital Plan'!$B$9:$F$9,1,BG$4-2026),0)),0)</f>
        <v>4.33261106196425</v>
      </c>
      <c r="BH35" s="279" t="n">
        <f aca="false">IFERROR(BH33/MAX(1,BH32-IF(BH34=9,INDEX('Regulatory Capital Plan'!$B$9:$F$9,1,BH$4-2026),0)),0)</f>
        <v>4.33429023061703</v>
      </c>
      <c r="BI35" s="279" t="n">
        <f aca="false">IFERROR(BI33/MAX(1,BI32-IF(BI34=9,INDEX('Regulatory Capital Plan'!$B$9:$F$9,1,BI$4-2026),0)),0)</f>
        <v>4.33580712139099</v>
      </c>
    </row>
    <row r="36" customFormat="false" ht="14.25" hidden="false" customHeight="true" outlineLevel="0" collapsed="false">
      <c r="A36" s="105" t="s">
        <v>465</v>
      </c>
      <c r="B36" s="1" t="str">
        <f aca="false">IF(B35&lt;=B34,"متوافق","فجوة")</f>
        <v>متوافق</v>
      </c>
      <c r="C36" s="1" t="str">
        <f aca="false">IF(C35&lt;=C34,"متوافق","فجوة")</f>
        <v>متوافق</v>
      </c>
      <c r="D36" s="1" t="str">
        <f aca="false">IF(D35&lt;=D34,"متوافق","فجوة")</f>
        <v>متوافق</v>
      </c>
      <c r="E36" s="1" t="str">
        <f aca="false">IF(E35&lt;=E34,"متوافق","فجوة")</f>
        <v>متوافق</v>
      </c>
      <c r="F36" s="1" t="str">
        <f aca="false">IF(F35&lt;=F34,"متوافق","فجوة")</f>
        <v>متوافق</v>
      </c>
      <c r="G36" s="1" t="str">
        <f aca="false">IF(G35&lt;=G34,"متوافق","فجوة")</f>
        <v>متوافق</v>
      </c>
      <c r="H36" s="1" t="str">
        <f aca="false">IF(H35&lt;=H34,"متوافق","فجوة")</f>
        <v>متوافق</v>
      </c>
      <c r="I36" s="1" t="str">
        <f aca="false">IF(I35&lt;=I34,"متوافق","فجوة")</f>
        <v>متوافق</v>
      </c>
      <c r="J36" s="1" t="str">
        <f aca="false">IF(J35&lt;=J34,"متوافق","فجوة")</f>
        <v>متوافق</v>
      </c>
      <c r="K36" s="1" t="str">
        <f aca="false">IF(K35&lt;=K34,"متوافق","فجوة")</f>
        <v>متوافق</v>
      </c>
      <c r="L36" s="1" t="str">
        <f aca="false">IF(L35&lt;=L34,"متوافق","فجوة")</f>
        <v>متوافق</v>
      </c>
      <c r="M36" s="1" t="str">
        <f aca="false">IF(M35&lt;=M34,"متوافق","فجوة")</f>
        <v>متوافق</v>
      </c>
      <c r="N36" s="1" t="str">
        <f aca="false">IF(N35&lt;=N34,"متوافق","فجوة")</f>
        <v>متوافق</v>
      </c>
      <c r="O36" s="1" t="str">
        <f aca="false">IF(O35&lt;=O34,"متوافق","فجوة")</f>
        <v>متوافق</v>
      </c>
      <c r="P36" s="1" t="str">
        <f aca="false">IF(P35&lt;=P34,"متوافق","فجوة")</f>
        <v>متوافق</v>
      </c>
      <c r="Q36" s="1" t="str">
        <f aca="false">IF(Q35&lt;=Q34,"متوافق","فجوة")</f>
        <v>متوافق</v>
      </c>
      <c r="R36" s="1" t="str">
        <f aca="false">IF(R35&lt;=R34,"متوافق","فجوة")</f>
        <v>متوافق</v>
      </c>
      <c r="S36" s="1" t="str">
        <f aca="false">IF(S35&lt;=S34,"متوافق","فجوة")</f>
        <v>متوافق</v>
      </c>
      <c r="T36" s="1" t="str">
        <f aca="false">IF(T35&lt;=T34,"متوافق","فجوة")</f>
        <v>متوافق</v>
      </c>
      <c r="U36" s="1" t="str">
        <f aca="false">IF(U35&lt;=U34,"متوافق","فجوة")</f>
        <v>متوافق</v>
      </c>
      <c r="V36" s="1" t="str">
        <f aca="false">IF(V35&lt;=V34,"متوافق","فجوة")</f>
        <v>متوافق</v>
      </c>
      <c r="W36" s="1" t="str">
        <f aca="false">IF(W35&lt;=W34,"متوافق","فجوة")</f>
        <v>متوافق</v>
      </c>
      <c r="X36" s="1" t="str">
        <f aca="false">IF(X35&lt;=X34,"متوافق","فجوة")</f>
        <v>فجوة</v>
      </c>
      <c r="Y36" s="1" t="str">
        <f aca="false">IF(Y35&lt;=Y34,"متوافق","فجوة")</f>
        <v>فجوة</v>
      </c>
      <c r="Z36" s="1" t="str">
        <f aca="false">IF(Z35&lt;=Z34,"متوافق","فجوة")</f>
        <v>متوافق</v>
      </c>
      <c r="AA36" s="1" t="str">
        <f aca="false">IF(AA35&lt;=AA34,"متوافق","فجوة")</f>
        <v>متوافق</v>
      </c>
      <c r="AB36" s="1" t="str">
        <f aca="false">IF(AB35&lt;=AB34,"متوافق","فجوة")</f>
        <v>متوافق</v>
      </c>
      <c r="AC36" s="1" t="str">
        <f aca="false">IF(AC35&lt;=AC34,"متوافق","فجوة")</f>
        <v>متوافق</v>
      </c>
      <c r="AD36" s="1" t="str">
        <f aca="false">IF(AD35&lt;=AD34,"متوافق","فجوة")</f>
        <v>متوافق</v>
      </c>
      <c r="AE36" s="1" t="str">
        <f aca="false">IF(AE35&lt;=AE34,"متوافق","فجوة")</f>
        <v>متوافق</v>
      </c>
      <c r="AF36" s="1" t="str">
        <f aca="false">IF(AF35&lt;=AF34,"متوافق","فجوة")</f>
        <v>متوافق</v>
      </c>
      <c r="AG36" s="1" t="str">
        <f aca="false">IF(AG35&lt;=AG34,"متوافق","فجوة")</f>
        <v>متوافق</v>
      </c>
      <c r="AH36" s="1" t="str">
        <f aca="false">IF(AH35&lt;=AH34,"متوافق","فجوة")</f>
        <v>متوافق</v>
      </c>
      <c r="AI36" s="1" t="str">
        <f aca="false">IF(AI35&lt;=AI34,"متوافق","فجوة")</f>
        <v>متوافق</v>
      </c>
      <c r="AJ36" s="1" t="str">
        <f aca="false">IF(AJ35&lt;=AJ34,"متوافق","فجوة")</f>
        <v>متوافق</v>
      </c>
      <c r="AK36" s="1" t="str">
        <f aca="false">IF(AK35&lt;=AK34,"متوافق","فجوة")</f>
        <v>متوافق</v>
      </c>
      <c r="AL36" s="1" t="str">
        <f aca="false">IF(AL35&lt;=AL34,"متوافق","فجوة")</f>
        <v>متوافق</v>
      </c>
      <c r="AM36" s="1" t="str">
        <f aca="false">IF(AM35&lt;=AM34,"متوافق","فجوة")</f>
        <v>متوافق</v>
      </c>
      <c r="AN36" s="1" t="str">
        <f aca="false">IF(AN35&lt;=AN34,"متوافق","فجوة")</f>
        <v>متوافق</v>
      </c>
      <c r="AO36" s="1" t="str">
        <f aca="false">IF(AO35&lt;=AO34,"متوافق","فجوة")</f>
        <v>متوافق</v>
      </c>
      <c r="AP36" s="1" t="str">
        <f aca="false">IF(AP35&lt;=AP34,"متوافق","فجوة")</f>
        <v>متوافق</v>
      </c>
      <c r="AQ36" s="1" t="str">
        <f aca="false">IF(AQ35&lt;=AQ34,"متوافق","فجوة")</f>
        <v>متوافق</v>
      </c>
      <c r="AR36" s="1" t="str">
        <f aca="false">IF(AR35&lt;=AR34,"متوافق","فجوة")</f>
        <v>متوافق</v>
      </c>
      <c r="AS36" s="1" t="str">
        <f aca="false">IF(AS35&lt;=AS34,"متوافق","فجوة")</f>
        <v>متوافق</v>
      </c>
      <c r="AT36" s="1" t="str">
        <f aca="false">IF(AT35&lt;=AT34,"متوافق","فجوة")</f>
        <v>متوافق</v>
      </c>
      <c r="AU36" s="1" t="str">
        <f aca="false">IF(AU35&lt;=AU34,"متوافق","فجوة")</f>
        <v>متوافق</v>
      </c>
      <c r="AV36" s="1" t="str">
        <f aca="false">IF(AV35&lt;=AV34,"متوافق","فجوة")</f>
        <v>متوافق</v>
      </c>
      <c r="AW36" s="1" t="str">
        <f aca="false">IF(AW35&lt;=AW34,"متوافق","فجوة")</f>
        <v>متوافق</v>
      </c>
      <c r="AX36" s="1" t="str">
        <f aca="false">IF(AX35&lt;=AX34,"متوافق","فجوة")</f>
        <v>متوافق</v>
      </c>
      <c r="AY36" s="1" t="str">
        <f aca="false">IF(AY35&lt;=AY34,"متوافق","فجوة")</f>
        <v>متوافق</v>
      </c>
      <c r="AZ36" s="1" t="str">
        <f aca="false">IF(AZ35&lt;=AZ34,"متوافق","فجوة")</f>
        <v>متوافق</v>
      </c>
      <c r="BA36" s="1" t="str">
        <f aca="false">IF(BA35&lt;=BA34,"متوافق","فجوة")</f>
        <v>متوافق</v>
      </c>
      <c r="BB36" s="1" t="str">
        <f aca="false">IF(BB35&lt;=BB34,"متوافق","فجوة")</f>
        <v>متوافق</v>
      </c>
      <c r="BC36" s="1" t="str">
        <f aca="false">IF(BC35&lt;=BC34,"متوافق","فجوة")</f>
        <v>متوافق</v>
      </c>
      <c r="BD36" s="1" t="str">
        <f aca="false">IF(BD35&lt;=BD34,"متوافق","فجوة")</f>
        <v>متوافق</v>
      </c>
      <c r="BE36" s="1" t="str">
        <f aca="false">IF(BE35&lt;=BE34,"متوافق","فجوة")</f>
        <v>متوافق</v>
      </c>
      <c r="BF36" s="1" t="str">
        <f aca="false">IF(BF35&lt;=BF34,"متوافق","فجوة")</f>
        <v>متوافق</v>
      </c>
      <c r="BG36" s="1" t="str">
        <f aca="false">IF(BG35&lt;=BG34,"متوافق","فجوة")</f>
        <v>متوافق</v>
      </c>
      <c r="BH36" s="1" t="str">
        <f aca="false">IF(BH35&lt;=BH34,"متوافق","فجوة")</f>
        <v>متوافق</v>
      </c>
      <c r="BI36" s="1" t="str">
        <f aca="false">IF(BI35&lt;=BI34,"متوافق","فجوة")</f>
        <v>متوافق</v>
      </c>
    </row>
    <row r="37" customFormat="false" ht="15" hidden="false" customHeight="true" outlineLevel="0" collapsed="false">
      <c r="A37" s="280" t="s">
        <v>466</v>
      </c>
      <c r="B37" s="281" t="n">
        <f aca="false">IFERROR(B27/MAX(1,('Income Statement'!B17+'Income Statement'!B18+'Income Statement'!B15)/12-MIN(Assumptions!B78/12,(('Income Statement'!B17+'Income Statement'!B18+'Income Statement'!B15)/12)*90%)),0)</f>
        <v>20.7788421241813</v>
      </c>
      <c r="C37" s="281" t="n">
        <f aca="false">IFERROR(C27/MAX(1,('Income Statement'!B17+'Income Statement'!B18+'Income Statement'!B15)/12-MIN(Assumptions!B78/12,(('Income Statement'!B17+'Income Statement'!B18+'Income Statement'!B15)/12)*90%)),0)</f>
        <v>18.1087322219489</v>
      </c>
      <c r="D37" s="281" t="n">
        <f aca="false">IFERROR(D27/MAX(1,('Income Statement'!B17+'Income Statement'!B18+'Income Statement'!B15)/12-MIN(Assumptions!B78/12,(('Income Statement'!B17+'Income Statement'!B18+'Income Statement'!B15)/12)*90%)),0)</f>
        <v>20.7242729203886</v>
      </c>
      <c r="E37" s="281" t="n">
        <f aca="false">IFERROR(E27/MAX(1,('Income Statement'!B17+'Income Statement'!B18+'Income Statement'!B15)/12-MIN(Assumptions!B78/12,(('Income Statement'!B17+'Income Statement'!B18+'Income Statement'!B15)/12)*90%)),0)</f>
        <v>17.6536465328213</v>
      </c>
      <c r="F37" s="281" t="n">
        <f aca="false">IFERROR(F27/MAX(1,('Income Statement'!B17+'Income Statement'!B18+'Income Statement'!B15)/12-MIN(Assumptions!B78/12,(('Income Statement'!B17+'Income Statement'!B18+'Income Statement'!B15)/12)*90%)),0)</f>
        <v>14.583020145254</v>
      </c>
      <c r="G37" s="281" t="n">
        <f aca="false">IFERROR(G27/MAX(1,('Income Statement'!B17+'Income Statement'!B18+'Income Statement'!B15)/12-MIN(Assumptions!B78/12,(('Income Statement'!B17+'Income Statement'!B18+'Income Statement'!B15)/12)*90%)),0)</f>
        <v>16.7980443583588</v>
      </c>
      <c r="H37" s="281" t="n">
        <f aca="false">IFERROR(H27/MAX(1,('Income Statement'!B17+'Income Statement'!B18+'Income Statement'!B15)/12-MIN(Assumptions!B78/12,(('Income Statement'!B17+'Income Statement'!B18+'Income Statement'!B15)/12)*90%)),0)</f>
        <v>13.193395990345</v>
      </c>
      <c r="I37" s="281" t="n">
        <f aca="false">IFERROR(I27/MAX(1,('Income Statement'!B17+'Income Statement'!B18+'Income Statement'!B15)/12-MIN(Assumptions!B78/12,(('Income Statement'!B17+'Income Statement'!B18+'Income Statement'!B15)/12)*90%)),0)</f>
        <v>9.58874762233124</v>
      </c>
      <c r="J37" s="281" t="n">
        <f aca="false">IFERROR(J27/MAX(1,('Income Statement'!B17+'Income Statement'!B18+'Income Statement'!B15)/12-MIN(Assumptions!B78/12,(('Income Statement'!B17+'Income Statement'!B18+'Income Statement'!B15)/12)*90%)),0)</f>
        <v>11.2697498549895</v>
      </c>
      <c r="K37" s="281" t="n">
        <f aca="false">IFERROR(K27/MAX(1,('Income Statement'!B17+'Income Statement'!B18+'Income Statement'!B15)/12-MIN(Assumptions!B78/12,(('Income Statement'!B17+'Income Statement'!B18+'Income Statement'!B15)/12)*90%)),0)</f>
        <v>7.26458500164091</v>
      </c>
      <c r="L37" s="281" t="n">
        <f aca="false">IFERROR(L27/MAX(1,('Income Statement'!B17+'Income Statement'!B18+'Income Statement'!B15)/12-MIN(Assumptions!B78/12,(('Income Statement'!B17+'Income Statement'!B18+'Income Statement'!B15)/12)*90%)),0)</f>
        <v>3.25942014829228</v>
      </c>
      <c r="M37" s="281" t="n">
        <f aca="false">IFERROR(M27/MAX(1,('Income Statement'!B17+'Income Statement'!B18+'Income Statement'!B15)/12-MIN(Assumptions!B78/12,(('Income Statement'!B17+'Income Statement'!B18+'Income Statement'!B15)/12)*90%)),0)</f>
        <v>4.53990589561574</v>
      </c>
      <c r="N37" s="281" t="n">
        <f aca="false">IFERROR(N27/MAX(1,('Income Statement'!C17+'Income Statement'!C18+'Income Statement'!C15)/12-MIN(Assumptions!C78/12,(('Income Statement'!C17+'Income Statement'!C18+'Income Statement'!C15)/12)*90%)),0)</f>
        <v>31.1384186848603</v>
      </c>
      <c r="O37" s="281" t="n">
        <f aca="false">IFERROR(O27/MAX(1,('Income Statement'!C17+'Income Statement'!C18+'Income Statement'!C15)/12-MIN(Assumptions!C78/12,(('Income Statement'!C17+'Income Statement'!C18+'Income Statement'!C15)/12)*90%)),0)</f>
        <v>25.9992301177502</v>
      </c>
      <c r="P37" s="281" t="n">
        <f aca="false">IFERROR(P27/MAX(1,('Income Statement'!C17+'Income Statement'!C18+'Income Statement'!C15)/12-MIN(Assumptions!C78/12,(('Income Statement'!C17+'Income Statement'!C18+'Income Statement'!C15)/12)*90%)),0)</f>
        <v>20.8600415506402</v>
      </c>
      <c r="Q37" s="281" t="n">
        <f aca="false">IFERROR(Q27/MAX(1,('Income Statement'!C17+'Income Statement'!C18+'Income Statement'!C15)/12-MIN(Assumptions!C78/12,(('Income Statement'!C17+'Income Statement'!C18+'Income Statement'!C15)/12)*90%)),0)</f>
        <v>14.9499746984637</v>
      </c>
      <c r="R37" s="281" t="n">
        <f aca="false">IFERROR(R27/MAX(1,('Income Statement'!C17+'Income Statement'!C18+'Income Statement'!C15)/12-MIN(Assumptions!C78/12,(('Income Statement'!C17+'Income Statement'!C18+'Income Statement'!C15)/12)*90%)),0)</f>
        <v>38.9047098874468</v>
      </c>
      <c r="S37" s="281" t="n">
        <f aca="false">IFERROR(S27/MAX(1,('Income Statement'!C17+'Income Statement'!C18+'Income Statement'!C15)/12-MIN(Assumptions!C78/12,(('Income Statement'!C17+'Income Statement'!C18+'Income Statement'!C15)/12)*90%)),0)</f>
        <v>32.9946430352703</v>
      </c>
      <c r="T37" s="281" t="n">
        <f aca="false">IFERROR(T27/MAX(1,('Income Statement'!C17+'Income Statement'!C18+'Income Statement'!C15)/12-MIN(Assumptions!C78/12,(('Income Statement'!C17+'Income Statement'!C18+'Income Statement'!C15)/12)*90%)),0)</f>
        <v>26.0567384696717</v>
      </c>
      <c r="U37" s="281" t="n">
        <f aca="false">IFERROR(U27/MAX(1,('Income Statement'!C17+'Income Statement'!C18+'Income Statement'!C15)/12-MIN(Assumptions!C78/12,(('Income Statement'!C17+'Income Statement'!C18+'Income Statement'!C15)/12)*90%)),0)</f>
        <v>19.1188339040732</v>
      </c>
      <c r="V37" s="281" t="n">
        <f aca="false">IFERROR(V27/MAX(1,('Income Statement'!C17+'Income Statement'!C18+'Income Statement'!C15)/12-MIN(Assumptions!C78/12,(('Income Statement'!C17+'Income Statement'!C18+'Income Statement'!C15)/12)*90%)),0)</f>
        <v>42.0457313796343</v>
      </c>
      <c r="W37" s="281" t="n">
        <f aca="false">IFERROR(W27/MAX(1,('Income Statement'!C17+'Income Statement'!C18+'Income Statement'!C15)/12-MIN(Assumptions!C78/12,(('Income Statement'!C17+'Income Statement'!C18+'Income Statement'!C15)/12)*90%)),0)</f>
        <v>34.3369485289692</v>
      </c>
      <c r="X37" s="281" t="n">
        <f aca="false">IFERROR(X27/MAX(1,('Income Statement'!C17+'Income Statement'!C18+'Income Statement'!C15)/12-MIN(Assumptions!C78/12,(('Income Statement'!C17+'Income Statement'!C18+'Income Statement'!C15)/12)*90%)),0)</f>
        <v>26.6281656783042</v>
      </c>
      <c r="Y37" s="281" t="n">
        <f aca="false">IFERROR(Y27/MAX(1,('Income Statement'!C17+'Income Statement'!C18+'Income Statement'!C15)/12-MIN(Assumptions!C78/12,(('Income Statement'!C17+'Income Statement'!C18+'Income Statement'!C15)/12)*90%)),0)</f>
        <v>18.9193828276391</v>
      </c>
      <c r="Z37" s="281" t="n">
        <f aca="false">IFERROR(Z27/MAX(1,('Income Statement'!D17+'Income Statement'!D18+'Income Statement'!D15)/12-MIN(Assumptions!D78/12,(('Income Statement'!D17+'Income Statement'!D18+'Income Statement'!D15)/12)*90%)),0)</f>
        <v>8.79547230456978</v>
      </c>
      <c r="AA37" s="281" t="n">
        <f aca="false">IFERROR(AA27/MAX(1,('Income Statement'!D17+'Income Statement'!D18+'Income Statement'!D15)/12-MIN(Assumptions!D78/12,(('Income Statement'!D17+'Income Statement'!D18+'Income Statement'!D15)/12)*90%)),0)</f>
        <v>9.01865213323441</v>
      </c>
      <c r="AB37" s="281" t="n">
        <f aca="false">IFERROR(AB27/MAX(1,('Income Statement'!D17+'Income Statement'!D18+'Income Statement'!D15)/12-MIN(Assumptions!D78/12,(('Income Statement'!D17+'Income Statement'!D18+'Income Statement'!D15)/12)*90%)),0)</f>
        <v>9.24183196189904</v>
      </c>
      <c r="AC37" s="281" t="n">
        <f aca="false">IFERROR(AC27/MAX(1,('Income Statement'!D17+'Income Statement'!D18+'Income Statement'!D15)/12-MIN(Assumptions!D78/12,(('Income Statement'!D17+'Income Statement'!D18+'Income Statement'!D15)/12)*90%)),0)</f>
        <v>9.49848876486337</v>
      </c>
      <c r="AD37" s="281" t="n">
        <f aca="false">IFERROR(AD27/MAX(1,('Income Statement'!D17+'Income Statement'!D18+'Income Statement'!D15)/12-MIN(Assumptions!D78/12,(('Income Statement'!D17+'Income Statement'!D18+'Income Statement'!D15)/12)*90%)),0)</f>
        <v>9.7551455678277</v>
      </c>
      <c r="AE37" s="281" t="n">
        <f aca="false">IFERROR(AE27/MAX(1,('Income Statement'!D17+'Income Statement'!D18+'Income Statement'!D15)/12-MIN(Assumptions!D78/12,(('Income Statement'!D17+'Income Statement'!D18+'Income Statement'!D15)/12)*90%)),0)</f>
        <v>10.011802370792</v>
      </c>
      <c r="AF37" s="281" t="n">
        <f aca="false">IFERROR(AF27/MAX(1,('Income Statement'!D17+'Income Statement'!D18+'Income Statement'!D15)/12-MIN(Assumptions!D78/12,(('Income Statement'!D17+'Income Statement'!D18+'Income Statement'!D15)/12)*90%)),0)</f>
        <v>10.3130951394893</v>
      </c>
      <c r="AG37" s="281" t="n">
        <f aca="false">IFERROR(AG27/MAX(1,('Income Statement'!D17+'Income Statement'!D18+'Income Statement'!D15)/12-MIN(Assumptions!D78/12,(('Income Statement'!D17+'Income Statement'!D18+'Income Statement'!D15)/12)*90%)),0)</f>
        <v>10.6143879081865</v>
      </c>
      <c r="AH37" s="281" t="n">
        <f aca="false">IFERROR(AH27/MAX(1,('Income Statement'!D17+'Income Statement'!D18+'Income Statement'!D15)/12-MIN(Assumptions!D78/12,(('Income Statement'!D17+'Income Statement'!D18+'Income Statement'!D15)/12)*90%)),0)</f>
        <v>10.9156806768838</v>
      </c>
      <c r="AI37" s="281" t="n">
        <f aca="false">IFERROR(AI27/MAX(1,('Income Statement'!D17+'Income Statement'!D18+'Income Statement'!D15)/12-MIN(Assumptions!D78/12,(('Income Statement'!D17+'Income Statement'!D18+'Income Statement'!D15)/12)*90%)),0)</f>
        <v>11.2504504198807</v>
      </c>
      <c r="AJ37" s="281" t="n">
        <f aca="false">IFERROR(AJ27/MAX(1,('Income Statement'!D17+'Income Statement'!D18+'Income Statement'!D15)/12-MIN(Assumptions!D78/12,(('Income Statement'!D17+'Income Statement'!D18+'Income Statement'!D15)/12)*90%)),0)</f>
        <v>11.5852201628777</v>
      </c>
      <c r="AK37" s="281" t="n">
        <f aca="false">IFERROR(AK27/MAX(1,('Income Statement'!D17+'Income Statement'!D18+'Income Statement'!D15)/12-MIN(Assumptions!D78/12,(('Income Statement'!D17+'Income Statement'!D18+'Income Statement'!D15)/12)*90%)),0)</f>
        <v>11.9199899058746</v>
      </c>
      <c r="AL37" s="281" t="n">
        <f aca="false">IFERROR(AL27/MAX(1,('Income Statement'!E17+'Income Statement'!E18+'Income Statement'!E15)/12-MIN(Assumptions!E78/12,(('Income Statement'!E17+'Income Statement'!E18+'Income Statement'!E15)/12)*90%)),0)</f>
        <v>9.34672718960999</v>
      </c>
      <c r="AM37" s="281" t="n">
        <f aca="false">IFERROR(AM27/MAX(1,('Income Statement'!E17+'Income Statement'!E18+'Income Statement'!E15)/12-MIN(Assumptions!E78/12,(('Income Statement'!E17+'Income Statement'!E18+'Income Statement'!E15)/12)*90%)),0)</f>
        <v>11.3067410321672</v>
      </c>
      <c r="AN37" s="281" t="n">
        <f aca="false">IFERROR(AN27/MAX(1,('Income Statement'!E17+'Income Statement'!E18+'Income Statement'!E15)/12-MIN(Assumptions!E78/12,(('Income Statement'!E17+'Income Statement'!E18+'Income Statement'!E15)/12)*90%)),0)</f>
        <v>13.2667548747244</v>
      </c>
      <c r="AO37" s="281" t="n">
        <f aca="false">IFERROR(AO27/MAX(1,('Income Statement'!E17+'Income Statement'!E18+'Income Statement'!E15)/12-MIN(Assumptions!E78/12,(('Income Statement'!E17+'Income Statement'!E18+'Income Statement'!E15)/12)*90%)),0)</f>
        <v>15.5207707936651</v>
      </c>
      <c r="AP37" s="281" t="n">
        <f aca="false">IFERROR(AP27/MAX(1,('Income Statement'!E17+'Income Statement'!E18+'Income Statement'!E15)/12-MIN(Assumptions!E78/12,(('Income Statement'!E17+'Income Statement'!E18+'Income Statement'!E15)/12)*90%)),0)</f>
        <v>17.7747867126059</v>
      </c>
      <c r="AQ37" s="281" t="n">
        <f aca="false">IFERROR(AQ27/MAX(1,('Income Statement'!E17+'Income Statement'!E18+'Income Statement'!E15)/12-MIN(Assumptions!E78/12,(('Income Statement'!E17+'Income Statement'!E18+'Income Statement'!E15)/12)*90%)),0)</f>
        <v>20.0288026315467</v>
      </c>
      <c r="AR37" s="281" t="n">
        <f aca="false">IFERROR(AR27/MAX(1,('Income Statement'!E17+'Income Statement'!E18+'Income Statement'!E15)/12-MIN(Assumptions!E78/12,(('Income Statement'!E17+'Income Statement'!E18+'Income Statement'!E15)/12)*90%)),0)</f>
        <v>22.6748213189989</v>
      </c>
      <c r="AS37" s="281" t="n">
        <f aca="false">IFERROR(AS27/MAX(1,('Income Statement'!E17+'Income Statement'!E18+'Income Statement'!E15)/12-MIN(Assumptions!E78/12,(('Income Statement'!E17+'Income Statement'!E18+'Income Statement'!E15)/12)*90%)),0)</f>
        <v>25.3208400064511</v>
      </c>
      <c r="AT37" s="281" t="n">
        <f aca="false">IFERROR(AT27/MAX(1,('Income Statement'!E17+'Income Statement'!E18+'Income Statement'!E15)/12-MIN(Assumptions!E78/12,(('Income Statement'!E17+'Income Statement'!E18+'Income Statement'!E15)/12)*90%)),0)</f>
        <v>27.9668586939033</v>
      </c>
      <c r="AU37" s="281" t="n">
        <f aca="false">IFERROR(AU27/MAX(1,('Income Statement'!E17+'Income Statement'!E18+'Income Statement'!E15)/12-MIN(Assumptions!E78/12,(('Income Statement'!E17+'Income Statement'!E18+'Income Statement'!E15)/12)*90%)),0)</f>
        <v>30.9068794577391</v>
      </c>
      <c r="AV37" s="281" t="n">
        <f aca="false">IFERROR(AV27/MAX(1,('Income Statement'!E17+'Income Statement'!E18+'Income Statement'!E15)/12-MIN(Assumptions!E78/12,(('Income Statement'!E17+'Income Statement'!E18+'Income Statement'!E15)/12)*90%)),0)</f>
        <v>33.8469002215748</v>
      </c>
      <c r="AW37" s="281" t="n">
        <f aca="false">IFERROR(AW27/MAX(1,('Income Statement'!E17+'Income Statement'!E18+'Income Statement'!E15)/12-MIN(Assumptions!E78/12,(('Income Statement'!E17+'Income Statement'!E18+'Income Statement'!E15)/12)*90%)),0)</f>
        <v>36.7869209854106</v>
      </c>
      <c r="AX37" s="281" t="n">
        <f aca="false">IFERROR(AX27/MAX(1,('Income Statement'!F17+'Income Statement'!F18+'Income Statement'!F15)/12-MIN(Assumptions!F78/12,(('Income Statement'!F17+'Income Statement'!F18+'Income Statement'!F15)/12)*90%)),0)</f>
        <v>24.8931905351621</v>
      </c>
      <c r="AY37" s="281" t="n">
        <f aca="false">IFERROR(AY27/MAX(1,('Income Statement'!F17+'Income Statement'!F18+'Income Statement'!F15)/12-MIN(Assumptions!F78/12,(('Income Statement'!F17+'Income Statement'!F18+'Income Statement'!F15)/12)*90%)),0)</f>
        <v>28.6414706840156</v>
      </c>
      <c r="AZ37" s="281" t="n">
        <f aca="false">IFERROR(AZ27/MAX(1,('Income Statement'!F17+'Income Statement'!F18+'Income Statement'!F15)/12-MIN(Assumptions!F78/12,(('Income Statement'!F17+'Income Statement'!F18+'Income Statement'!F15)/12)*90%)),0)</f>
        <v>32.3897508328692</v>
      </c>
      <c r="BA37" s="281" t="n">
        <f aca="false">IFERROR(BA27/MAX(1,('Income Statement'!F17+'Income Statement'!F18+'Income Statement'!F15)/12-MIN(Assumptions!F78/12,(('Income Statement'!F17+'Income Statement'!F18+'Income Statement'!F15)/12)*90%)),0)</f>
        <v>36.7002730040508</v>
      </c>
      <c r="BB37" s="281" t="n">
        <f aca="false">IFERROR(BB27/MAX(1,('Income Statement'!F17+'Income Statement'!F18+'Income Statement'!F15)/12-MIN(Assumptions!F78/12,(('Income Statement'!F17+'Income Statement'!F18+'Income Statement'!F15)/12)*90%)),0)</f>
        <v>41.0107951752324</v>
      </c>
      <c r="BC37" s="281" t="n">
        <f aca="false">IFERROR(BC27/MAX(1,('Income Statement'!F17+'Income Statement'!F18+'Income Statement'!F15)/12-MIN(Assumptions!F78/12,(('Income Statement'!F17+'Income Statement'!F18+'Income Statement'!F15)/12)*90%)),0)</f>
        <v>45.321317346414</v>
      </c>
      <c r="BD37" s="281" t="n">
        <f aca="false">IFERROR(BD27/MAX(1,('Income Statement'!F17+'Income Statement'!F18+'Income Statement'!F15)/12-MIN(Assumptions!F78/12,(('Income Statement'!F17+'Income Statement'!F18+'Income Statement'!F15)/12)*90%)),0)</f>
        <v>50.3814955473663</v>
      </c>
      <c r="BE37" s="281" t="n">
        <f aca="false">IFERROR(BE27/MAX(1,('Income Statement'!F17+'Income Statement'!F18+'Income Statement'!F15)/12-MIN(Assumptions!F78/12,(('Income Statement'!F17+'Income Statement'!F18+'Income Statement'!F15)/12)*90%)),0)</f>
        <v>55.4416737483186</v>
      </c>
      <c r="BF37" s="281" t="n">
        <f aca="false">IFERROR(BF27/MAX(1,('Income Statement'!F17+'Income Statement'!F18+'Income Statement'!F15)/12-MIN(Assumptions!F78/12,(('Income Statement'!F17+'Income Statement'!F18+'Income Statement'!F15)/12)*90%)),0)</f>
        <v>60.5018519492709</v>
      </c>
      <c r="BG37" s="281" t="n">
        <f aca="false">IFERROR(BG27/MAX(1,('Income Statement'!F17+'Income Statement'!F18+'Income Statement'!F15)/12-MIN(Assumptions!F78/12,(('Income Statement'!F17+'Income Statement'!F18+'Income Statement'!F15)/12)*90%)),0)</f>
        <v>66.1242721725513</v>
      </c>
      <c r="BH37" s="281" t="n">
        <f aca="false">IFERROR(BH27/MAX(1,('Income Statement'!F17+'Income Statement'!F18+'Income Statement'!F15)/12-MIN(Assumptions!F78/12,(('Income Statement'!F17+'Income Statement'!F18+'Income Statement'!F15)/12)*90%)),0)</f>
        <v>71.7466923958316</v>
      </c>
      <c r="BI37" s="281" t="n">
        <f aca="false">IFERROR(BI27/MAX(1,('Income Statement'!F17+'Income Statement'!F18+'Income Statement'!F15)/12-MIN(Assumptions!F78/12,(('Income Statement'!F17+'Income Statement'!F18+'Income Statement'!F15)/12)*90%)),0)</f>
        <v>77.369112619112</v>
      </c>
    </row>
    <row r="38" customFormat="false" ht="14.25" hidden="false" customHeight="true" outlineLevel="0" collapsed="false">
      <c r="A38" s="105" t="s">
        <v>467</v>
      </c>
      <c r="B38" s="1" t="str">
        <f aca="false">IF(B37&gt;=100%,"متوافق استرشاديا - يحتاج آجال/عقود فعلية","فجوة")</f>
        <v>متوافق استرشاديا - يحتاج آجال/عقود فعلية</v>
      </c>
      <c r="C38" s="1" t="str">
        <f aca="false">IF(C37&gt;=100%,"متوافق استرشاديا - يحتاج آجال/عقود فعلية","فجوة")</f>
        <v>متوافق استرشاديا - يحتاج آجال/عقود فعلية</v>
      </c>
      <c r="D38" s="1" t="str">
        <f aca="false">IF(D37&gt;=100%,"متوافق استرشاديا - يحتاج آجال/عقود فعلية","فجوة")</f>
        <v>متوافق استرشاديا - يحتاج آجال/عقود فعلية</v>
      </c>
      <c r="E38" s="1" t="str">
        <f aca="false">IF(E37&gt;=100%,"متوافق استرشاديا - يحتاج آجال/عقود فعلية","فجوة")</f>
        <v>متوافق استرشاديا - يحتاج آجال/عقود فعلية</v>
      </c>
      <c r="F38" s="1" t="str">
        <f aca="false">IF(F37&gt;=100%,"متوافق استرشاديا - يحتاج آجال/عقود فعلية","فجوة")</f>
        <v>متوافق استرشاديا - يحتاج آجال/عقود فعلية</v>
      </c>
      <c r="G38" s="1" t="str">
        <f aca="false">IF(G37&gt;=100%,"متوافق استرشاديا - يحتاج آجال/عقود فعلية","فجوة")</f>
        <v>متوافق استرشاديا - يحتاج آجال/عقود فعلية</v>
      </c>
      <c r="H38" s="1" t="str">
        <f aca="false">IF(H37&gt;=100%,"متوافق استرشاديا - يحتاج آجال/عقود فعلية","فجوة")</f>
        <v>متوافق استرشاديا - يحتاج آجال/عقود فعلية</v>
      </c>
      <c r="I38" s="1" t="str">
        <f aca="false">IF(I37&gt;=100%,"متوافق استرشاديا - يحتاج آجال/عقود فعلية","فجوة")</f>
        <v>متوافق استرشاديا - يحتاج آجال/عقود فعلية</v>
      </c>
      <c r="J38" s="1" t="str">
        <f aca="false">IF(J37&gt;=100%,"متوافق استرشاديا - يحتاج آجال/عقود فعلية","فجوة")</f>
        <v>متوافق استرشاديا - يحتاج آجال/عقود فعلية</v>
      </c>
      <c r="K38" s="1" t="str">
        <f aca="false">IF(K37&gt;=100%,"متوافق استرشاديا - يحتاج آجال/عقود فعلية","فجوة")</f>
        <v>متوافق استرشاديا - يحتاج آجال/عقود فعلية</v>
      </c>
      <c r="L38" s="1" t="str">
        <f aca="false">IF(L37&gt;=100%,"متوافق استرشاديا - يحتاج آجال/عقود فعلية","فجوة")</f>
        <v>متوافق استرشاديا - يحتاج آجال/عقود فعلية</v>
      </c>
      <c r="M38" s="1" t="str">
        <f aca="false">IF(M37&gt;=100%,"متوافق استرشاديا - يحتاج آجال/عقود فعلية","فجوة")</f>
        <v>متوافق استرشاديا - يحتاج آجال/عقود فعلية</v>
      </c>
      <c r="N38" s="1" t="str">
        <f aca="false">IF(N37&gt;=100%,"متوافق استرشاديا - يحتاج آجال/عقود فعلية","فجوة")</f>
        <v>متوافق استرشاديا - يحتاج آجال/عقود فعلية</v>
      </c>
      <c r="O38" s="1" t="str">
        <f aca="false">IF(O37&gt;=100%,"متوافق استرشاديا - يحتاج آجال/عقود فعلية","فجوة")</f>
        <v>متوافق استرشاديا - يحتاج آجال/عقود فعلية</v>
      </c>
      <c r="P38" s="1" t="str">
        <f aca="false">IF(P37&gt;=100%,"متوافق استرشاديا - يحتاج آجال/عقود فعلية","فجوة")</f>
        <v>متوافق استرشاديا - يحتاج آجال/عقود فعلية</v>
      </c>
      <c r="Q38" s="1" t="str">
        <f aca="false">IF(Q37&gt;=100%,"متوافق استرشاديا - يحتاج آجال/عقود فعلية","فجوة")</f>
        <v>متوافق استرشاديا - يحتاج آجال/عقود فعلية</v>
      </c>
      <c r="R38" s="1" t="str">
        <f aca="false">IF(R37&gt;=100%,"متوافق استرشاديا - يحتاج آجال/عقود فعلية","فجوة")</f>
        <v>متوافق استرشاديا - يحتاج آجال/عقود فعلية</v>
      </c>
      <c r="S38" s="1" t="str">
        <f aca="false">IF(S37&gt;=100%,"متوافق استرشاديا - يحتاج آجال/عقود فعلية","فجوة")</f>
        <v>متوافق استرشاديا - يحتاج آجال/عقود فعلية</v>
      </c>
      <c r="T38" s="1" t="str">
        <f aca="false">IF(T37&gt;=100%,"متوافق استرشاديا - يحتاج آجال/عقود فعلية","فجوة")</f>
        <v>متوافق استرشاديا - يحتاج آجال/عقود فعلية</v>
      </c>
      <c r="U38" s="1" t="str">
        <f aca="false">IF(U37&gt;=100%,"متوافق استرشاديا - يحتاج آجال/عقود فعلية","فجوة")</f>
        <v>متوافق استرشاديا - يحتاج آجال/عقود فعلية</v>
      </c>
      <c r="V38" s="1" t="str">
        <f aca="false">IF(V37&gt;=100%,"متوافق استرشاديا - يحتاج آجال/عقود فعلية","فجوة")</f>
        <v>متوافق استرشاديا - يحتاج آجال/عقود فعلية</v>
      </c>
      <c r="W38" s="1" t="str">
        <f aca="false">IF(W37&gt;=100%,"متوافق استرشاديا - يحتاج آجال/عقود فعلية","فجوة")</f>
        <v>متوافق استرشاديا - يحتاج آجال/عقود فعلية</v>
      </c>
      <c r="X38" s="1" t="str">
        <f aca="false">IF(X37&gt;=100%,"متوافق استرشاديا - يحتاج آجال/عقود فعلية","فجوة")</f>
        <v>متوافق استرشاديا - يحتاج آجال/عقود فعلية</v>
      </c>
      <c r="Y38" s="1" t="str">
        <f aca="false">IF(Y37&gt;=100%,"متوافق استرشاديا - يحتاج آجال/عقود فعلية","فجوة")</f>
        <v>متوافق استرشاديا - يحتاج آجال/عقود فعلية</v>
      </c>
      <c r="Z38" s="1" t="str">
        <f aca="false">IF(Z37&gt;=100%,"متوافق استرشاديا - يحتاج آجال/عقود فعلية","فجوة")</f>
        <v>متوافق استرشاديا - يحتاج آجال/عقود فعلية</v>
      </c>
      <c r="AA38" s="1" t="str">
        <f aca="false">IF(AA37&gt;=100%,"متوافق استرشاديا - يحتاج آجال/عقود فعلية","فجوة")</f>
        <v>متوافق استرشاديا - يحتاج آجال/عقود فعلية</v>
      </c>
      <c r="AB38" s="1" t="str">
        <f aca="false">IF(AB37&gt;=100%,"متوافق استرشاديا - يحتاج آجال/عقود فعلية","فجوة")</f>
        <v>متوافق استرشاديا - يحتاج آجال/عقود فعلية</v>
      </c>
      <c r="AC38" s="1" t="str">
        <f aca="false">IF(AC37&gt;=100%,"متوافق استرشاديا - يحتاج آجال/عقود فعلية","فجوة")</f>
        <v>متوافق استرشاديا - يحتاج آجال/عقود فعلية</v>
      </c>
      <c r="AD38" s="1" t="str">
        <f aca="false">IF(AD37&gt;=100%,"متوافق استرشاديا - يحتاج آجال/عقود فعلية","فجوة")</f>
        <v>متوافق استرشاديا - يحتاج آجال/عقود فعلية</v>
      </c>
      <c r="AE38" s="1" t="str">
        <f aca="false">IF(AE37&gt;=100%,"متوافق استرشاديا - يحتاج آجال/عقود فعلية","فجوة")</f>
        <v>متوافق استرشاديا - يحتاج آجال/عقود فعلية</v>
      </c>
      <c r="AF38" s="1" t="str">
        <f aca="false">IF(AF37&gt;=100%,"متوافق استرشاديا - يحتاج آجال/عقود فعلية","فجوة")</f>
        <v>متوافق استرشاديا - يحتاج آجال/عقود فعلية</v>
      </c>
      <c r="AG38" s="1" t="str">
        <f aca="false">IF(AG37&gt;=100%,"متوافق استرشاديا - يحتاج آجال/عقود فعلية","فجوة")</f>
        <v>متوافق استرشاديا - يحتاج آجال/عقود فعلية</v>
      </c>
      <c r="AH38" s="1" t="str">
        <f aca="false">IF(AH37&gt;=100%,"متوافق استرشاديا - يحتاج آجال/عقود فعلية","فجوة")</f>
        <v>متوافق استرشاديا - يحتاج آجال/عقود فعلية</v>
      </c>
      <c r="AI38" s="1" t="str">
        <f aca="false">IF(AI37&gt;=100%,"متوافق استرشاديا - يحتاج آجال/عقود فعلية","فجوة")</f>
        <v>متوافق استرشاديا - يحتاج آجال/عقود فعلية</v>
      </c>
      <c r="AJ38" s="1" t="str">
        <f aca="false">IF(AJ37&gt;=100%,"متوافق استرشاديا - يحتاج آجال/عقود فعلية","فجوة")</f>
        <v>متوافق استرشاديا - يحتاج آجال/عقود فعلية</v>
      </c>
      <c r="AK38" s="1" t="str">
        <f aca="false">IF(AK37&gt;=100%,"متوافق استرشاديا - يحتاج آجال/عقود فعلية","فجوة")</f>
        <v>متوافق استرشاديا - يحتاج آجال/عقود فعلية</v>
      </c>
      <c r="AL38" s="1" t="str">
        <f aca="false">IF(AL37&gt;=100%,"متوافق استرشاديا - يحتاج آجال/عقود فعلية","فجوة")</f>
        <v>متوافق استرشاديا - يحتاج آجال/عقود فعلية</v>
      </c>
      <c r="AM38" s="1" t="str">
        <f aca="false">IF(AM37&gt;=100%,"متوافق استرشاديا - يحتاج آجال/عقود فعلية","فجوة")</f>
        <v>متوافق استرشاديا - يحتاج آجال/عقود فعلية</v>
      </c>
      <c r="AN38" s="1" t="str">
        <f aca="false">IF(AN37&gt;=100%,"متوافق استرشاديا - يحتاج آجال/عقود فعلية","فجوة")</f>
        <v>متوافق استرشاديا - يحتاج آجال/عقود فعلية</v>
      </c>
      <c r="AO38" s="1" t="str">
        <f aca="false">IF(AO37&gt;=100%,"متوافق استرشاديا - يحتاج آجال/عقود فعلية","فجوة")</f>
        <v>متوافق استرشاديا - يحتاج آجال/عقود فعلية</v>
      </c>
      <c r="AP38" s="1" t="str">
        <f aca="false">IF(AP37&gt;=100%,"متوافق استرشاديا - يحتاج آجال/عقود فعلية","فجوة")</f>
        <v>متوافق استرشاديا - يحتاج آجال/عقود فعلية</v>
      </c>
      <c r="AQ38" s="1" t="str">
        <f aca="false">IF(AQ37&gt;=100%,"متوافق استرشاديا - يحتاج آجال/عقود فعلية","فجوة")</f>
        <v>متوافق استرشاديا - يحتاج آجال/عقود فعلية</v>
      </c>
      <c r="AR38" s="1" t="str">
        <f aca="false">IF(AR37&gt;=100%,"متوافق استرشاديا - يحتاج آجال/عقود فعلية","فجوة")</f>
        <v>متوافق استرشاديا - يحتاج آجال/عقود فعلية</v>
      </c>
      <c r="AS38" s="1" t="str">
        <f aca="false">IF(AS37&gt;=100%,"متوافق استرشاديا - يحتاج آجال/عقود فعلية","فجوة")</f>
        <v>متوافق استرشاديا - يحتاج آجال/عقود فعلية</v>
      </c>
      <c r="AT38" s="1" t="str">
        <f aca="false">IF(AT37&gt;=100%,"متوافق استرشاديا - يحتاج آجال/عقود فعلية","فجوة")</f>
        <v>متوافق استرشاديا - يحتاج آجال/عقود فعلية</v>
      </c>
      <c r="AU38" s="1" t="str">
        <f aca="false">IF(AU37&gt;=100%,"متوافق استرشاديا - يحتاج آجال/عقود فعلية","فجوة")</f>
        <v>متوافق استرشاديا - يحتاج آجال/عقود فعلية</v>
      </c>
      <c r="AV38" s="1" t="str">
        <f aca="false">IF(AV37&gt;=100%,"متوافق استرشاديا - يحتاج آجال/عقود فعلية","فجوة")</f>
        <v>متوافق استرشاديا - يحتاج آجال/عقود فعلية</v>
      </c>
      <c r="AW38" s="1" t="str">
        <f aca="false">IF(AW37&gt;=100%,"متوافق استرشاديا - يحتاج آجال/عقود فعلية","فجوة")</f>
        <v>متوافق استرشاديا - يحتاج آجال/عقود فعلية</v>
      </c>
      <c r="AX38" s="1" t="str">
        <f aca="false">IF(AX37&gt;=100%,"متوافق استرشاديا - يحتاج آجال/عقود فعلية","فجوة")</f>
        <v>متوافق استرشاديا - يحتاج آجال/عقود فعلية</v>
      </c>
      <c r="AY38" s="1" t="str">
        <f aca="false">IF(AY37&gt;=100%,"متوافق استرشاديا - يحتاج آجال/عقود فعلية","فجوة")</f>
        <v>متوافق استرشاديا - يحتاج آجال/عقود فعلية</v>
      </c>
      <c r="AZ38" s="1" t="str">
        <f aca="false">IF(AZ37&gt;=100%,"متوافق استرشاديا - يحتاج آجال/عقود فعلية","فجوة")</f>
        <v>متوافق استرشاديا - يحتاج آجال/عقود فعلية</v>
      </c>
      <c r="BA38" s="1" t="str">
        <f aca="false">IF(BA37&gt;=100%,"متوافق استرشاديا - يحتاج آجال/عقود فعلية","فجوة")</f>
        <v>متوافق استرشاديا - يحتاج آجال/عقود فعلية</v>
      </c>
      <c r="BB38" s="1" t="str">
        <f aca="false">IF(BB37&gt;=100%,"متوافق استرشاديا - يحتاج آجال/عقود فعلية","فجوة")</f>
        <v>متوافق استرشاديا - يحتاج آجال/عقود فعلية</v>
      </c>
      <c r="BC38" s="1" t="str">
        <f aca="false">IF(BC37&gt;=100%,"متوافق استرشاديا - يحتاج آجال/عقود فعلية","فجوة")</f>
        <v>متوافق استرشاديا - يحتاج آجال/عقود فعلية</v>
      </c>
      <c r="BD38" s="1" t="str">
        <f aca="false">IF(BD37&gt;=100%,"متوافق استرشاديا - يحتاج آجال/عقود فعلية","فجوة")</f>
        <v>متوافق استرشاديا - يحتاج آجال/عقود فعلية</v>
      </c>
      <c r="BE38" s="1" t="str">
        <f aca="false">IF(BE37&gt;=100%,"متوافق استرشاديا - يحتاج آجال/عقود فعلية","فجوة")</f>
        <v>متوافق استرشاديا - يحتاج آجال/عقود فعلية</v>
      </c>
      <c r="BF38" s="1" t="str">
        <f aca="false">IF(BF37&gt;=100%,"متوافق استرشاديا - يحتاج آجال/عقود فعلية","فجوة")</f>
        <v>متوافق استرشاديا - يحتاج آجال/عقود فعلية</v>
      </c>
      <c r="BG38" s="1" t="str">
        <f aca="false">IF(BG37&gt;=100%,"متوافق استرشاديا - يحتاج آجال/عقود فعلية","فجوة")</f>
        <v>متوافق استرشاديا - يحتاج آجال/عقود فعلية</v>
      </c>
      <c r="BH38" s="1" t="str">
        <f aca="false">IF(BH37&gt;=100%,"متوافق استرشاديا - يحتاج آجال/عقود فعلية","فجوة")</f>
        <v>متوافق استرشاديا - يحتاج آجال/عقود فعلية</v>
      </c>
      <c r="BI38" s="1" t="str">
        <f aca="false">IF(BI37&gt;=100%,"متوافق استرشاديا - يحتاج آجال/عقود فعلية","فجوة")</f>
        <v>متوافق استرشاديا - يحتاج آجال/عقود فعلية</v>
      </c>
    </row>
    <row r="39" customFormat="false" ht="30" hidden="false" customHeight="true" outlineLevel="0" collapsed="false">
      <c r="A39" s="202" t="s">
        <v>468</v>
      </c>
      <c r="B39" s="282" t="n">
        <f aca="false">0</f>
        <v>0</v>
      </c>
      <c r="C39" s="282" t="n">
        <f aca="false">B33</f>
        <v>0</v>
      </c>
      <c r="D39" s="282" t="n">
        <f aca="false">C33</f>
        <v>0</v>
      </c>
      <c r="E39" s="282" t="n">
        <f aca="false">D33</f>
        <v>0</v>
      </c>
      <c r="F39" s="282" t="n">
        <f aca="false">E33</f>
        <v>0</v>
      </c>
      <c r="G39" s="282" t="n">
        <f aca="false">F33</f>
        <v>0</v>
      </c>
      <c r="H39" s="282" t="n">
        <f aca="false">G33</f>
        <v>0</v>
      </c>
      <c r="I39" s="282" t="n">
        <f aca="false">H33</f>
        <v>0</v>
      </c>
      <c r="J39" s="282" t="n">
        <f aca="false">I33</f>
        <v>0</v>
      </c>
      <c r="K39" s="282" t="n">
        <f aca="false">J33</f>
        <v>0</v>
      </c>
      <c r="L39" s="282" t="n">
        <f aca="false">K33</f>
        <v>0</v>
      </c>
      <c r="M39" s="282" t="n">
        <f aca="false">L33</f>
        <v>0</v>
      </c>
      <c r="N39" s="282" t="n">
        <f aca="false">M33</f>
        <v>0</v>
      </c>
      <c r="O39" s="282" t="n">
        <f aca="false">N33</f>
        <v>24666666.6666667</v>
      </c>
      <c r="P39" s="282" t="n">
        <f aca="false">O33</f>
        <v>49333333.3333334</v>
      </c>
      <c r="Q39" s="282" t="n">
        <f aca="false">P33</f>
        <v>74000000</v>
      </c>
      <c r="R39" s="282" t="n">
        <f aca="false">Q33</f>
        <v>102366666.666667</v>
      </c>
      <c r="S39" s="282" t="n">
        <f aca="false">R33</f>
        <v>130733333.333333</v>
      </c>
      <c r="T39" s="282" t="n">
        <f aca="false">S33</f>
        <v>159100000</v>
      </c>
      <c r="U39" s="282" t="n">
        <f aca="false">T33</f>
        <v>192400000</v>
      </c>
      <c r="V39" s="282" t="n">
        <f aca="false">U33</f>
        <v>225700000</v>
      </c>
      <c r="W39" s="282" t="n">
        <f aca="false">V33</f>
        <v>259000000</v>
      </c>
      <c r="X39" s="282" t="n">
        <f aca="false">W33</f>
        <v>296000000</v>
      </c>
      <c r="Y39" s="282" t="n">
        <f aca="false">X33</f>
        <v>333000000</v>
      </c>
      <c r="Z39" s="282" t="n">
        <f aca="false">Y33</f>
        <v>370000000</v>
      </c>
      <c r="AA39" s="282" t="n">
        <f aca="false">Z33</f>
        <v>391000000</v>
      </c>
      <c r="AB39" s="282" t="n">
        <f aca="false">AA33</f>
        <v>412000000</v>
      </c>
      <c r="AC39" s="282" t="n">
        <f aca="false">AB33</f>
        <v>433000000</v>
      </c>
      <c r="AD39" s="282" t="n">
        <f aca="false">AC33</f>
        <v>457150000</v>
      </c>
      <c r="AE39" s="282" t="n">
        <f aca="false">AD33</f>
        <v>481300000</v>
      </c>
      <c r="AF39" s="282" t="n">
        <f aca="false">AE33</f>
        <v>505450000</v>
      </c>
      <c r="AG39" s="282" t="n">
        <f aca="false">AF33</f>
        <v>533800000</v>
      </c>
      <c r="AH39" s="282" t="n">
        <f aca="false">AG33</f>
        <v>562150000</v>
      </c>
      <c r="AI39" s="282" t="n">
        <f aca="false">AH33</f>
        <v>590500000</v>
      </c>
      <c r="AJ39" s="282" t="n">
        <f aca="false">AI33</f>
        <v>622000000</v>
      </c>
      <c r="AK39" s="282" t="n">
        <f aca="false">AJ33</f>
        <v>653500000</v>
      </c>
      <c r="AL39" s="282" t="n">
        <f aca="false">AK33</f>
        <v>685000000</v>
      </c>
      <c r="AM39" s="282" t="n">
        <f aca="false">AL33</f>
        <v>728333333.333334</v>
      </c>
      <c r="AN39" s="282" t="n">
        <f aca="false">AM33</f>
        <v>771666666.666667</v>
      </c>
      <c r="AO39" s="282" t="n">
        <f aca="false">AN33</f>
        <v>815000000</v>
      </c>
      <c r="AP39" s="282" t="n">
        <f aca="false">AO33</f>
        <v>864833333.333334</v>
      </c>
      <c r="AQ39" s="282" t="n">
        <f aca="false">AP33</f>
        <v>914666666.666667</v>
      </c>
      <c r="AR39" s="282" t="n">
        <f aca="false">AQ33</f>
        <v>964500000</v>
      </c>
      <c r="AS39" s="282" t="n">
        <f aca="false">AR33</f>
        <v>1023000000</v>
      </c>
      <c r="AT39" s="282" t="n">
        <f aca="false">AS33</f>
        <v>1081500000</v>
      </c>
      <c r="AU39" s="282" t="n">
        <f aca="false">AT33</f>
        <v>1140000000</v>
      </c>
      <c r="AV39" s="282" t="n">
        <f aca="false">AU33</f>
        <v>1205000000</v>
      </c>
      <c r="AW39" s="282" t="n">
        <f aca="false">AV33</f>
        <v>1270000000</v>
      </c>
      <c r="AX39" s="282" t="n">
        <f aca="false">AW33</f>
        <v>1335000000</v>
      </c>
      <c r="AY39" s="282" t="n">
        <f aca="false">AX33</f>
        <v>1419333333.33333</v>
      </c>
      <c r="AZ39" s="282" t="n">
        <f aca="false">AY33</f>
        <v>1503666666.66667</v>
      </c>
      <c r="BA39" s="282" t="n">
        <f aca="false">AZ33</f>
        <v>1588000000</v>
      </c>
      <c r="BB39" s="282" t="n">
        <f aca="false">BA33</f>
        <v>1684983333.33333</v>
      </c>
      <c r="BC39" s="282" t="n">
        <f aca="false">BB33</f>
        <v>1781966666.66667</v>
      </c>
      <c r="BD39" s="282" t="n">
        <f aca="false">BC33</f>
        <v>1878950000</v>
      </c>
      <c r="BE39" s="282" t="n">
        <f aca="false">BD33</f>
        <v>1992800000</v>
      </c>
      <c r="BF39" s="282" t="n">
        <f aca="false">BE33</f>
        <v>2106650000</v>
      </c>
      <c r="BG39" s="282" t="n">
        <f aca="false">BF33</f>
        <v>2220500000</v>
      </c>
      <c r="BH39" s="282" t="n">
        <f aca="false">BG33</f>
        <v>2347000000</v>
      </c>
      <c r="BI39" s="282" t="n">
        <f aca="false">BH33</f>
        <v>2473500000</v>
      </c>
    </row>
    <row r="40" customFormat="false" ht="30" hidden="false" customHeight="true" outlineLevel="0" collapsed="false">
      <c r="A40" s="202" t="s">
        <v>469</v>
      </c>
      <c r="B40" s="282" t="n">
        <f aca="false">AVERAGE(B39,B33)</f>
        <v>0</v>
      </c>
      <c r="C40" s="282" t="n">
        <f aca="false">AVERAGE(C39,C33)</f>
        <v>0</v>
      </c>
      <c r="D40" s="282" t="n">
        <f aca="false">AVERAGE(D39,D33)</f>
        <v>0</v>
      </c>
      <c r="E40" s="282" t="n">
        <f aca="false">AVERAGE(E39,E33)</f>
        <v>0</v>
      </c>
      <c r="F40" s="282" t="n">
        <f aca="false">AVERAGE(F39,F33)</f>
        <v>0</v>
      </c>
      <c r="G40" s="282" t="n">
        <f aca="false">AVERAGE(G39,G33)</f>
        <v>0</v>
      </c>
      <c r="H40" s="282" t="n">
        <f aca="false">AVERAGE(H39,H33)</f>
        <v>0</v>
      </c>
      <c r="I40" s="282" t="n">
        <f aca="false">AVERAGE(I39,I33)</f>
        <v>0</v>
      </c>
      <c r="J40" s="282" t="n">
        <f aca="false">AVERAGE(J39,J33)</f>
        <v>0</v>
      </c>
      <c r="K40" s="282" t="n">
        <f aca="false">AVERAGE(K39,K33)</f>
        <v>0</v>
      </c>
      <c r="L40" s="282" t="n">
        <f aca="false">AVERAGE(L39,L33)</f>
        <v>0</v>
      </c>
      <c r="M40" s="282" t="n">
        <f aca="false">AVERAGE(M39,M33)</f>
        <v>0</v>
      </c>
      <c r="N40" s="282" t="n">
        <f aca="false">AVERAGE(N39,N33)</f>
        <v>12333333.3333333</v>
      </c>
      <c r="O40" s="282" t="n">
        <f aca="false">AVERAGE(O39,O33)</f>
        <v>37000000</v>
      </c>
      <c r="P40" s="282" t="n">
        <f aca="false">AVERAGE(P39,P33)</f>
        <v>61666666.6666667</v>
      </c>
      <c r="Q40" s="282" t="n">
        <f aca="false">AVERAGE(Q39,Q33)</f>
        <v>88183333.3333334</v>
      </c>
      <c r="R40" s="282" t="n">
        <f aca="false">AVERAGE(R39,R33)</f>
        <v>116550000</v>
      </c>
      <c r="S40" s="282" t="n">
        <f aca="false">AVERAGE(S39,S33)</f>
        <v>144916666.666667</v>
      </c>
      <c r="T40" s="282" t="n">
        <f aca="false">AVERAGE(T39,T33)</f>
        <v>175750000</v>
      </c>
      <c r="U40" s="282" t="n">
        <f aca="false">AVERAGE(U39,U33)</f>
        <v>209050000</v>
      </c>
      <c r="V40" s="282" t="n">
        <f aca="false">AVERAGE(V39,V33)</f>
        <v>242350000</v>
      </c>
      <c r="W40" s="282" t="n">
        <f aca="false">AVERAGE(W39,W33)</f>
        <v>277500000</v>
      </c>
      <c r="X40" s="282" t="n">
        <f aca="false">AVERAGE(X39,X33)</f>
        <v>314500000</v>
      </c>
      <c r="Y40" s="282" t="n">
        <f aca="false">AVERAGE(Y39,Y33)</f>
        <v>351500000</v>
      </c>
      <c r="Z40" s="282" t="n">
        <f aca="false">AVERAGE(Z39,Z33)</f>
        <v>380500000</v>
      </c>
      <c r="AA40" s="282" t="n">
        <f aca="false">AVERAGE(AA39,AA33)</f>
        <v>401500000</v>
      </c>
      <c r="AB40" s="282" t="n">
        <f aca="false">AVERAGE(AB39,AB33)</f>
        <v>422500000</v>
      </c>
      <c r="AC40" s="282" t="n">
        <f aca="false">AVERAGE(AC39,AC33)</f>
        <v>445075000</v>
      </c>
      <c r="AD40" s="282" t="n">
        <f aca="false">AVERAGE(AD39,AD33)</f>
        <v>469225000</v>
      </c>
      <c r="AE40" s="282" t="n">
        <f aca="false">AVERAGE(AE39,AE33)</f>
        <v>493375000</v>
      </c>
      <c r="AF40" s="282" t="n">
        <f aca="false">AVERAGE(AF39,AF33)</f>
        <v>519625000</v>
      </c>
      <c r="AG40" s="282" t="n">
        <f aca="false">AVERAGE(AG39,AG33)</f>
        <v>547975000</v>
      </c>
      <c r="AH40" s="282" t="n">
        <f aca="false">AVERAGE(AH39,AH33)</f>
        <v>576325000</v>
      </c>
      <c r="AI40" s="282" t="n">
        <f aca="false">AVERAGE(AI39,AI33)</f>
        <v>606250000</v>
      </c>
      <c r="AJ40" s="282" t="n">
        <f aca="false">AVERAGE(AJ39,AJ33)</f>
        <v>637750000</v>
      </c>
      <c r="AK40" s="282" t="n">
        <f aca="false">AVERAGE(AK39,AK33)</f>
        <v>669250000</v>
      </c>
      <c r="AL40" s="282" t="n">
        <f aca="false">AVERAGE(AL39,AL33)</f>
        <v>706666666.666667</v>
      </c>
      <c r="AM40" s="282" t="n">
        <f aca="false">AVERAGE(AM39,AM33)</f>
        <v>750000000</v>
      </c>
      <c r="AN40" s="282" t="n">
        <f aca="false">AVERAGE(AN39,AN33)</f>
        <v>793333333.333334</v>
      </c>
      <c r="AO40" s="282" t="n">
        <f aca="false">AVERAGE(AO39,AO33)</f>
        <v>839916666.666667</v>
      </c>
      <c r="AP40" s="282" t="n">
        <f aca="false">AVERAGE(AP39,AP33)</f>
        <v>889750000</v>
      </c>
      <c r="AQ40" s="282" t="n">
        <f aca="false">AVERAGE(AQ39,AQ33)</f>
        <v>939583333.333334</v>
      </c>
      <c r="AR40" s="282" t="n">
        <f aca="false">AVERAGE(AR39,AR33)</f>
        <v>993750000</v>
      </c>
      <c r="AS40" s="282" t="n">
        <f aca="false">AVERAGE(AS39,AS33)</f>
        <v>1052250000</v>
      </c>
      <c r="AT40" s="282" t="n">
        <f aca="false">AVERAGE(AT39,AT33)</f>
        <v>1110750000</v>
      </c>
      <c r="AU40" s="282" t="n">
        <f aca="false">AVERAGE(AU39,AU33)</f>
        <v>1172500000</v>
      </c>
      <c r="AV40" s="282" t="n">
        <f aca="false">AVERAGE(AV39,AV33)</f>
        <v>1237500000</v>
      </c>
      <c r="AW40" s="282" t="n">
        <f aca="false">AVERAGE(AW39,AW33)</f>
        <v>1302500000</v>
      </c>
      <c r="AX40" s="282" t="n">
        <f aca="false">AVERAGE(AX39,AX33)</f>
        <v>1377166666.66667</v>
      </c>
      <c r="AY40" s="282" t="n">
        <f aca="false">AVERAGE(AY39,AY33)</f>
        <v>1461500000</v>
      </c>
      <c r="AZ40" s="282" t="n">
        <f aca="false">AVERAGE(AZ39,AZ33)</f>
        <v>1545833333.33333</v>
      </c>
      <c r="BA40" s="282" t="n">
        <f aca="false">AVERAGE(BA39,BA33)</f>
        <v>1636491666.66667</v>
      </c>
      <c r="BB40" s="282" t="n">
        <f aca="false">AVERAGE(BB39,BB33)</f>
        <v>1733475000</v>
      </c>
      <c r="BC40" s="282" t="n">
        <f aca="false">AVERAGE(BC39,BC33)</f>
        <v>1830458333.33333</v>
      </c>
      <c r="BD40" s="282" t="n">
        <f aca="false">AVERAGE(BD39,BD33)</f>
        <v>1935875000</v>
      </c>
      <c r="BE40" s="282" t="n">
        <f aca="false">AVERAGE(BE39,BE33)</f>
        <v>2049725000</v>
      </c>
      <c r="BF40" s="282" t="n">
        <f aca="false">AVERAGE(BF39,BF33)</f>
        <v>2163575000</v>
      </c>
      <c r="BG40" s="282" t="n">
        <f aca="false">AVERAGE(BG39,BG33)</f>
        <v>2283750000</v>
      </c>
      <c r="BH40" s="282" t="n">
        <f aca="false">AVERAGE(BH39,BH33)</f>
        <v>2410250000</v>
      </c>
      <c r="BI40" s="282" t="n">
        <f aca="false">AVERAGE(BI39,BI33)</f>
        <v>2536750000</v>
      </c>
    </row>
    <row r="41" customFormat="false" ht="30" hidden="false" customHeight="true" outlineLevel="0" collapsed="false">
      <c r="A41" s="202" t="s">
        <v>470</v>
      </c>
      <c r="B41" s="282" t="n">
        <f aca="false">B40*(IF(B$4=2027,Assumptions!$B$9,IF(B$4=2028,Assumptions!$C$9,IF(B$4=2029,Assumptions!$D$9,IF(B$4=2030,Assumptions!$E$9,Assumptions!$F$9)))))/12</f>
        <v>0</v>
      </c>
      <c r="C41" s="282" t="n">
        <f aca="false">C40*(IF(C$4=2027,Assumptions!$B$9,IF(C$4=2028,Assumptions!$C$9,IF(C$4=2029,Assumptions!$D$9,IF(C$4=2030,Assumptions!$E$9,Assumptions!$F$9)))))/12</f>
        <v>0</v>
      </c>
      <c r="D41" s="282" t="n">
        <f aca="false">D40*(IF(D$4=2027,Assumptions!$B$9,IF(D$4=2028,Assumptions!$C$9,IF(D$4=2029,Assumptions!$D$9,IF(D$4=2030,Assumptions!$E$9,Assumptions!$F$9)))))/12</f>
        <v>0</v>
      </c>
      <c r="E41" s="282" t="n">
        <f aca="false">E40*(IF(E$4=2027,Assumptions!$B$9,IF(E$4=2028,Assumptions!$C$9,IF(E$4=2029,Assumptions!$D$9,IF(E$4=2030,Assumptions!$E$9,Assumptions!$F$9)))))/12</f>
        <v>0</v>
      </c>
      <c r="F41" s="282" t="n">
        <f aca="false">F40*(IF(F$4=2027,Assumptions!$B$9,IF(F$4=2028,Assumptions!$C$9,IF(F$4=2029,Assumptions!$D$9,IF(F$4=2030,Assumptions!$E$9,Assumptions!$F$9)))))/12</f>
        <v>0</v>
      </c>
      <c r="G41" s="282" t="n">
        <f aca="false">G40*(IF(G$4=2027,Assumptions!$B$9,IF(G$4=2028,Assumptions!$C$9,IF(G$4=2029,Assumptions!$D$9,IF(G$4=2030,Assumptions!$E$9,Assumptions!$F$9)))))/12</f>
        <v>0</v>
      </c>
      <c r="H41" s="282" t="n">
        <f aca="false">H40*(IF(H$4=2027,Assumptions!$B$9,IF(H$4=2028,Assumptions!$C$9,IF(H$4=2029,Assumptions!$D$9,IF(H$4=2030,Assumptions!$E$9,Assumptions!$F$9)))))/12</f>
        <v>0</v>
      </c>
      <c r="I41" s="282" t="n">
        <f aca="false">I40*(IF(I$4=2027,Assumptions!$B$9,IF(I$4=2028,Assumptions!$C$9,IF(I$4=2029,Assumptions!$D$9,IF(I$4=2030,Assumptions!$E$9,Assumptions!$F$9)))))/12</f>
        <v>0</v>
      </c>
      <c r="J41" s="282" t="n">
        <f aca="false">J40*(IF(J$4=2027,Assumptions!$B$9,IF(J$4=2028,Assumptions!$C$9,IF(J$4=2029,Assumptions!$D$9,IF(J$4=2030,Assumptions!$E$9,Assumptions!$F$9)))))/12</f>
        <v>0</v>
      </c>
      <c r="K41" s="282" t="n">
        <f aca="false">K40*(IF(K$4=2027,Assumptions!$B$9,IF(K$4=2028,Assumptions!$C$9,IF(K$4=2029,Assumptions!$D$9,IF(K$4=2030,Assumptions!$E$9,Assumptions!$F$9)))))/12</f>
        <v>0</v>
      </c>
      <c r="L41" s="282" t="n">
        <f aca="false">L40*(IF(L$4=2027,Assumptions!$B$9,IF(L$4=2028,Assumptions!$C$9,IF(L$4=2029,Assumptions!$D$9,IF(L$4=2030,Assumptions!$E$9,Assumptions!$F$9)))))/12</f>
        <v>0</v>
      </c>
      <c r="M41" s="282" t="n">
        <f aca="false">M40*(IF(M$4=2027,Assumptions!$B$9,IF(M$4=2028,Assumptions!$C$9,IF(M$4=2029,Assumptions!$D$9,IF(M$4=2030,Assumptions!$E$9,Assumptions!$F$9)))))/12</f>
        <v>0</v>
      </c>
      <c r="N41" s="282" t="n">
        <f aca="false">N40*(IF(N$4=2027,Assumptions!$B$9,IF(N$4=2028,Assumptions!$C$9,IF(N$4=2029,Assumptions!$D$9,IF(N$4=2030,Assumptions!$E$9,Assumptions!$F$9)))))/12</f>
        <v>226111.111111111</v>
      </c>
      <c r="O41" s="282" t="n">
        <f aca="false">O40*(IF(O$4=2027,Assumptions!$B$9,IF(O$4=2028,Assumptions!$C$9,IF(O$4=2029,Assumptions!$D$9,IF(O$4=2030,Assumptions!$E$9,Assumptions!$F$9)))))/12</f>
        <v>678333.333333334</v>
      </c>
      <c r="P41" s="282" t="n">
        <f aca="false">P40*(IF(P$4=2027,Assumptions!$B$9,IF(P$4=2028,Assumptions!$C$9,IF(P$4=2029,Assumptions!$D$9,IF(P$4=2030,Assumptions!$E$9,Assumptions!$F$9)))))/12</f>
        <v>1130555.55555556</v>
      </c>
      <c r="Q41" s="282" t="n">
        <f aca="false">Q40*(IF(Q$4=2027,Assumptions!$B$9,IF(Q$4=2028,Assumptions!$C$9,IF(Q$4=2029,Assumptions!$D$9,IF(Q$4=2030,Assumptions!$E$9,Assumptions!$F$9)))))/12</f>
        <v>1616694.44444445</v>
      </c>
      <c r="R41" s="282" t="n">
        <f aca="false">R40*(IF(R$4=2027,Assumptions!$B$9,IF(R$4=2028,Assumptions!$C$9,IF(R$4=2029,Assumptions!$D$9,IF(R$4=2030,Assumptions!$E$9,Assumptions!$F$9)))))/12</f>
        <v>2136750</v>
      </c>
      <c r="S41" s="282" t="n">
        <f aca="false">S40*(IF(S$4=2027,Assumptions!$B$9,IF(S$4=2028,Assumptions!$C$9,IF(S$4=2029,Assumptions!$D$9,IF(S$4=2030,Assumptions!$E$9,Assumptions!$F$9)))))/12</f>
        <v>2656805.55555556</v>
      </c>
      <c r="T41" s="282" t="n">
        <f aca="false">T40*(IF(T$4=2027,Assumptions!$B$9,IF(T$4=2028,Assumptions!$C$9,IF(T$4=2029,Assumptions!$D$9,IF(T$4=2030,Assumptions!$E$9,Assumptions!$F$9)))))/12</f>
        <v>3222083.33333334</v>
      </c>
      <c r="U41" s="282" t="n">
        <f aca="false">U40*(IF(U$4=2027,Assumptions!$B$9,IF(U$4=2028,Assumptions!$C$9,IF(U$4=2029,Assumptions!$D$9,IF(U$4=2030,Assumptions!$E$9,Assumptions!$F$9)))))/12</f>
        <v>3832583.33333334</v>
      </c>
      <c r="V41" s="282" t="n">
        <f aca="false">V40*(IF(V$4=2027,Assumptions!$B$9,IF(V$4=2028,Assumptions!$C$9,IF(V$4=2029,Assumptions!$D$9,IF(V$4=2030,Assumptions!$E$9,Assumptions!$F$9)))))/12</f>
        <v>4443083.33333334</v>
      </c>
      <c r="W41" s="282" t="n">
        <f aca="false">W40*(IF(W$4=2027,Assumptions!$B$9,IF(W$4=2028,Assumptions!$C$9,IF(W$4=2029,Assumptions!$D$9,IF(W$4=2030,Assumptions!$E$9,Assumptions!$F$9)))))/12</f>
        <v>5087500</v>
      </c>
      <c r="X41" s="282" t="n">
        <f aca="false">X40*(IF(X$4=2027,Assumptions!$B$9,IF(X$4=2028,Assumptions!$C$9,IF(X$4=2029,Assumptions!$D$9,IF(X$4=2030,Assumptions!$E$9,Assumptions!$F$9)))))/12</f>
        <v>5765833.33333334</v>
      </c>
      <c r="Y41" s="282" t="n">
        <f aca="false">Y40*(IF(Y$4=2027,Assumptions!$B$9,IF(Y$4=2028,Assumptions!$C$9,IF(Y$4=2029,Assumptions!$D$9,IF(Y$4=2030,Assumptions!$E$9,Assumptions!$F$9)))))/12</f>
        <v>6444166.66666667</v>
      </c>
      <c r="Z41" s="282" t="n">
        <f aca="false">Z40*(IF(Z$4=2027,Assumptions!$B$9,IF(Z$4=2028,Assumptions!$C$9,IF(Z$4=2029,Assumptions!$D$9,IF(Z$4=2030,Assumptions!$E$9,Assumptions!$F$9)))))/12</f>
        <v>6341666.66666667</v>
      </c>
      <c r="AA41" s="282" t="n">
        <f aca="false">AA40*(IF(AA$4=2027,Assumptions!$B$9,IF(AA$4=2028,Assumptions!$C$9,IF(AA$4=2029,Assumptions!$D$9,IF(AA$4=2030,Assumptions!$E$9,Assumptions!$F$9)))))/12</f>
        <v>6691666.66666667</v>
      </c>
      <c r="AB41" s="282" t="n">
        <f aca="false">AB40*(IF(AB$4=2027,Assumptions!$B$9,IF(AB$4=2028,Assumptions!$C$9,IF(AB$4=2029,Assumptions!$D$9,IF(AB$4=2030,Assumptions!$E$9,Assumptions!$F$9)))))/12</f>
        <v>7041666.66666667</v>
      </c>
      <c r="AC41" s="282" t="n">
        <f aca="false">AC40*(IF(AC$4=2027,Assumptions!$B$9,IF(AC$4=2028,Assumptions!$C$9,IF(AC$4=2029,Assumptions!$D$9,IF(AC$4=2030,Assumptions!$E$9,Assumptions!$F$9)))))/12</f>
        <v>7417916.66666667</v>
      </c>
      <c r="AD41" s="282" t="n">
        <f aca="false">AD40*(IF(AD$4=2027,Assumptions!$B$9,IF(AD$4=2028,Assumptions!$C$9,IF(AD$4=2029,Assumptions!$D$9,IF(AD$4=2030,Assumptions!$E$9,Assumptions!$F$9)))))/12</f>
        <v>7820416.66666667</v>
      </c>
      <c r="AE41" s="282" t="n">
        <f aca="false">AE40*(IF(AE$4=2027,Assumptions!$B$9,IF(AE$4=2028,Assumptions!$C$9,IF(AE$4=2029,Assumptions!$D$9,IF(AE$4=2030,Assumptions!$E$9,Assumptions!$F$9)))))/12</f>
        <v>8222916.66666667</v>
      </c>
      <c r="AF41" s="282" t="n">
        <f aca="false">AF40*(IF(AF$4=2027,Assumptions!$B$9,IF(AF$4=2028,Assumptions!$C$9,IF(AF$4=2029,Assumptions!$D$9,IF(AF$4=2030,Assumptions!$E$9,Assumptions!$F$9)))))/12</f>
        <v>8660416.66666667</v>
      </c>
      <c r="AG41" s="282" t="n">
        <f aca="false">AG40*(IF(AG$4=2027,Assumptions!$B$9,IF(AG$4=2028,Assumptions!$C$9,IF(AG$4=2029,Assumptions!$D$9,IF(AG$4=2030,Assumptions!$E$9,Assumptions!$F$9)))))/12</f>
        <v>9132916.66666667</v>
      </c>
      <c r="AH41" s="282" t="n">
        <f aca="false">AH40*(IF(AH$4=2027,Assumptions!$B$9,IF(AH$4=2028,Assumptions!$C$9,IF(AH$4=2029,Assumptions!$D$9,IF(AH$4=2030,Assumptions!$E$9,Assumptions!$F$9)))))/12</f>
        <v>9605416.66666667</v>
      </c>
      <c r="AI41" s="282" t="n">
        <f aca="false">AI40*(IF(AI$4=2027,Assumptions!$B$9,IF(AI$4=2028,Assumptions!$C$9,IF(AI$4=2029,Assumptions!$D$9,IF(AI$4=2030,Assumptions!$E$9,Assumptions!$F$9)))))/12</f>
        <v>10104166.6666667</v>
      </c>
      <c r="AJ41" s="282" t="n">
        <f aca="false">AJ40*(IF(AJ$4=2027,Assumptions!$B$9,IF(AJ$4=2028,Assumptions!$C$9,IF(AJ$4=2029,Assumptions!$D$9,IF(AJ$4=2030,Assumptions!$E$9,Assumptions!$F$9)))))/12</f>
        <v>10629166.6666667</v>
      </c>
      <c r="AK41" s="282" t="n">
        <f aca="false">AK40*(IF(AK$4=2027,Assumptions!$B$9,IF(AK$4=2028,Assumptions!$C$9,IF(AK$4=2029,Assumptions!$D$9,IF(AK$4=2030,Assumptions!$E$9,Assumptions!$F$9)))))/12</f>
        <v>11154166.6666667</v>
      </c>
      <c r="AL41" s="282" t="n">
        <f aca="false">AL40*(IF(AL$4=2027,Assumptions!$B$9,IF(AL$4=2028,Assumptions!$C$9,IF(AL$4=2029,Assumptions!$D$9,IF(AL$4=2030,Assumptions!$E$9,Assumptions!$F$9)))))/12</f>
        <v>10600000</v>
      </c>
      <c r="AM41" s="282" t="n">
        <f aca="false">AM40*(IF(AM$4=2027,Assumptions!$B$9,IF(AM$4=2028,Assumptions!$C$9,IF(AM$4=2029,Assumptions!$D$9,IF(AM$4=2030,Assumptions!$E$9,Assumptions!$F$9)))))/12</f>
        <v>11250000</v>
      </c>
      <c r="AN41" s="282" t="n">
        <f aca="false">AN40*(IF(AN$4=2027,Assumptions!$B$9,IF(AN$4=2028,Assumptions!$C$9,IF(AN$4=2029,Assumptions!$D$9,IF(AN$4=2030,Assumptions!$E$9,Assumptions!$F$9)))))/12</f>
        <v>11900000</v>
      </c>
      <c r="AO41" s="282" t="n">
        <f aca="false">AO40*(IF(AO$4=2027,Assumptions!$B$9,IF(AO$4=2028,Assumptions!$C$9,IF(AO$4=2029,Assumptions!$D$9,IF(AO$4=2030,Assumptions!$E$9,Assumptions!$F$9)))))/12</f>
        <v>12598750</v>
      </c>
      <c r="AP41" s="282" t="n">
        <f aca="false">AP40*(IF(AP$4=2027,Assumptions!$B$9,IF(AP$4=2028,Assumptions!$C$9,IF(AP$4=2029,Assumptions!$D$9,IF(AP$4=2030,Assumptions!$E$9,Assumptions!$F$9)))))/12</f>
        <v>13346250</v>
      </c>
      <c r="AQ41" s="282" t="n">
        <f aca="false">AQ40*(IF(AQ$4=2027,Assumptions!$B$9,IF(AQ$4=2028,Assumptions!$C$9,IF(AQ$4=2029,Assumptions!$D$9,IF(AQ$4=2030,Assumptions!$E$9,Assumptions!$F$9)))))/12</f>
        <v>14093750</v>
      </c>
      <c r="AR41" s="282" t="n">
        <f aca="false">AR40*(IF(AR$4=2027,Assumptions!$B$9,IF(AR$4=2028,Assumptions!$C$9,IF(AR$4=2029,Assumptions!$D$9,IF(AR$4=2030,Assumptions!$E$9,Assumptions!$F$9)))))/12</f>
        <v>14906250</v>
      </c>
      <c r="AS41" s="282" t="n">
        <f aca="false">AS40*(IF(AS$4=2027,Assumptions!$B$9,IF(AS$4=2028,Assumptions!$C$9,IF(AS$4=2029,Assumptions!$D$9,IF(AS$4=2030,Assumptions!$E$9,Assumptions!$F$9)))))/12</f>
        <v>15783750</v>
      </c>
      <c r="AT41" s="282" t="n">
        <f aca="false">AT40*(IF(AT$4=2027,Assumptions!$B$9,IF(AT$4=2028,Assumptions!$C$9,IF(AT$4=2029,Assumptions!$D$9,IF(AT$4=2030,Assumptions!$E$9,Assumptions!$F$9)))))/12</f>
        <v>16661250</v>
      </c>
      <c r="AU41" s="282" t="n">
        <f aca="false">AU40*(IF(AU$4=2027,Assumptions!$B$9,IF(AU$4=2028,Assumptions!$C$9,IF(AU$4=2029,Assumptions!$D$9,IF(AU$4=2030,Assumptions!$E$9,Assumptions!$F$9)))))/12</f>
        <v>17587500</v>
      </c>
      <c r="AV41" s="282" t="n">
        <f aca="false">AV40*(IF(AV$4=2027,Assumptions!$B$9,IF(AV$4=2028,Assumptions!$C$9,IF(AV$4=2029,Assumptions!$D$9,IF(AV$4=2030,Assumptions!$E$9,Assumptions!$F$9)))))/12</f>
        <v>18562500</v>
      </c>
      <c r="AW41" s="282" t="n">
        <f aca="false">AW40*(IF(AW$4=2027,Assumptions!$B$9,IF(AW$4=2028,Assumptions!$C$9,IF(AW$4=2029,Assumptions!$D$9,IF(AW$4=2030,Assumptions!$E$9,Assumptions!$F$9)))))/12</f>
        <v>19537500</v>
      </c>
      <c r="AX41" s="282" t="n">
        <f aca="false">AX40*(IF(AX$4=2027,Assumptions!$B$9,IF(AX$4=2028,Assumptions!$C$9,IF(AX$4=2029,Assumptions!$D$9,IF(AX$4=2030,Assumptions!$E$9,Assumptions!$F$9)))))/12</f>
        <v>19509861.1111111</v>
      </c>
      <c r="AY41" s="282" t="n">
        <f aca="false">AY40*(IF(AY$4=2027,Assumptions!$B$9,IF(AY$4=2028,Assumptions!$C$9,IF(AY$4=2029,Assumptions!$D$9,IF(AY$4=2030,Assumptions!$E$9,Assumptions!$F$9)))))/12</f>
        <v>20704583.3333333</v>
      </c>
      <c r="AZ41" s="282" t="n">
        <f aca="false">AZ40*(IF(AZ$4=2027,Assumptions!$B$9,IF(AZ$4=2028,Assumptions!$C$9,IF(AZ$4=2029,Assumptions!$D$9,IF(AZ$4=2030,Assumptions!$E$9,Assumptions!$F$9)))))/12</f>
        <v>21899305.5555556</v>
      </c>
      <c r="BA41" s="282" t="n">
        <f aca="false">BA40*(IF(BA$4=2027,Assumptions!$B$9,IF(BA$4=2028,Assumptions!$C$9,IF(BA$4=2029,Assumptions!$D$9,IF(BA$4=2030,Assumptions!$E$9,Assumptions!$F$9)))))/12</f>
        <v>23183631.9444445</v>
      </c>
      <c r="BB41" s="282" t="n">
        <f aca="false">BB40*(IF(BB$4=2027,Assumptions!$B$9,IF(BB$4=2028,Assumptions!$C$9,IF(BB$4=2029,Assumptions!$D$9,IF(BB$4=2030,Assumptions!$E$9,Assumptions!$F$9)))))/12</f>
        <v>24557562.5</v>
      </c>
      <c r="BC41" s="282" t="n">
        <f aca="false">BC40*(IF(BC$4=2027,Assumptions!$B$9,IF(BC$4=2028,Assumptions!$C$9,IF(BC$4=2029,Assumptions!$D$9,IF(BC$4=2030,Assumptions!$E$9,Assumptions!$F$9)))))/12</f>
        <v>25931493.0555556</v>
      </c>
      <c r="BD41" s="282" t="n">
        <f aca="false">BD40*(IF(BD$4=2027,Assumptions!$B$9,IF(BD$4=2028,Assumptions!$C$9,IF(BD$4=2029,Assumptions!$D$9,IF(BD$4=2030,Assumptions!$E$9,Assumptions!$F$9)))))/12</f>
        <v>27424895.8333334</v>
      </c>
      <c r="BE41" s="282" t="n">
        <f aca="false">BE40*(IF(BE$4=2027,Assumptions!$B$9,IF(BE$4=2028,Assumptions!$C$9,IF(BE$4=2029,Assumptions!$D$9,IF(BE$4=2030,Assumptions!$E$9,Assumptions!$F$9)))))/12</f>
        <v>29037770.8333334</v>
      </c>
      <c r="BF41" s="282" t="n">
        <f aca="false">BF40*(IF(BF$4=2027,Assumptions!$B$9,IF(BF$4=2028,Assumptions!$C$9,IF(BF$4=2029,Assumptions!$D$9,IF(BF$4=2030,Assumptions!$E$9,Assumptions!$F$9)))))/12</f>
        <v>30650645.8333334</v>
      </c>
      <c r="BG41" s="282" t="n">
        <f aca="false">BG40*(IF(BG$4=2027,Assumptions!$B$9,IF(BG$4=2028,Assumptions!$C$9,IF(BG$4=2029,Assumptions!$D$9,IF(BG$4=2030,Assumptions!$E$9,Assumptions!$F$9)))))/12</f>
        <v>32353125</v>
      </c>
      <c r="BH41" s="282" t="n">
        <f aca="false">BH40*(IF(BH$4=2027,Assumptions!$B$9,IF(BH$4=2028,Assumptions!$C$9,IF(BH$4=2029,Assumptions!$D$9,IF(BH$4=2030,Assumptions!$E$9,Assumptions!$F$9)))))/12</f>
        <v>34145208.3333334</v>
      </c>
      <c r="BI41" s="282" t="n">
        <f aca="false">BI40*(IF(BI$4=2027,Assumptions!$B$9,IF(BI$4=2028,Assumptions!$C$9,IF(BI$4=2029,Assumptions!$D$9,IF(BI$4=2030,Assumptions!$E$9,Assumptions!$F$9)))))/12</f>
        <v>35937291.6666667</v>
      </c>
    </row>
    <row r="42" customFormat="false" ht="30" hidden="false" customHeight="true" outlineLevel="0" collapsed="false">
      <c r="A42" s="202" t="s">
        <v>471</v>
      </c>
      <c r="B42" s="282" t="n">
        <f aca="false">B26+B16+B19+B22-B24</f>
        <v>14741923.72</v>
      </c>
      <c r="C42" s="282" t="n">
        <f aca="false">C26+C16+C19+C22-C24</f>
        <v>12847566.1678571</v>
      </c>
      <c r="D42" s="282" t="n">
        <f aca="false">D26+D16+D19+D22-D24</f>
        <v>14703208.6157143</v>
      </c>
      <c r="E42" s="282" t="n">
        <f aca="false">E26+E16+E19+E22-E24</f>
        <v>12524697.43075</v>
      </c>
      <c r="F42" s="282" t="n">
        <f aca="false">F26+F16+F19+F22-F24</f>
        <v>10346186.2457857</v>
      </c>
      <c r="G42" s="282" t="n">
        <f aca="false">G26+G16+G19+G22-G24</f>
        <v>11917675.0608214</v>
      </c>
      <c r="H42" s="282" t="n">
        <f aca="false">H26+H16+H19+H22-H24</f>
        <v>9360292.36542857</v>
      </c>
      <c r="I42" s="282" t="n">
        <f aca="false">I26+I16+I19+I22-I24</f>
        <v>6802909.6700357</v>
      </c>
      <c r="J42" s="282" t="n">
        <f aca="false">J26+J16+J19+J22-J24</f>
        <v>7995526.97464285</v>
      </c>
      <c r="K42" s="282" t="n">
        <f aca="false">K26+K16+K19+K22-K24</f>
        <v>5153990.64642856</v>
      </c>
      <c r="L42" s="282" t="n">
        <f aca="false">L26+L16+L19+L22-L24</f>
        <v>2312454.31821428</v>
      </c>
      <c r="M42" s="282" t="n">
        <f aca="false">M26+M16+M19+M22-M24</f>
        <v>3220917.99</v>
      </c>
      <c r="N42" s="282" t="n">
        <f aca="false">N26+N16+N19+N22-N24</f>
        <v>-13805479.7075434</v>
      </c>
      <c r="O42" s="282" t="n">
        <f aca="false">O26+O16+O19+O22-O24</f>
        <v>-16386706.54442</v>
      </c>
      <c r="P42" s="282" t="n">
        <f aca="false">P26+P16+P19+P22-P24</f>
        <v>-18967933.3812967</v>
      </c>
      <c r="Q42" s="282" t="n">
        <f aca="false">Q26+Q16+Q19+Q22-Q24</f>
        <v>-26353119.8728049</v>
      </c>
      <c r="R42" s="282" t="n">
        <f aca="false">R26+R16+R19+R22-R24</f>
        <v>-14321530.735213</v>
      </c>
      <c r="S42" s="282" t="n">
        <f aca="false">S26+S16+S19+S22-S24</f>
        <v>-17289941.5976212</v>
      </c>
      <c r="T42" s="282" t="n">
        <f aca="false">T26+T16+T19+T22-T24</f>
        <v>-26663631.999538</v>
      </c>
      <c r="U42" s="282" t="n">
        <f aca="false">U26+U16+U19+U22-U24</f>
        <v>-30148288.2293215</v>
      </c>
      <c r="V42" s="282" t="n">
        <f aca="false">V26+V16+V19+V22-V24</f>
        <v>-18632944.4591051</v>
      </c>
      <c r="W42" s="282" t="n">
        <f aca="false">W26+W16+W19+W22-W24</f>
        <v>-26921560.3435201</v>
      </c>
      <c r="X42" s="282" t="n">
        <f aca="false">X26+X16+X19+X22-X24</f>
        <v>-30793400.5988351</v>
      </c>
      <c r="Y42" s="282" t="n">
        <f aca="false">Y26+Y16+Y19+Y22-Y24</f>
        <v>-34665240.8541501</v>
      </c>
      <c r="Z42" s="282" t="n">
        <f aca="false">Z26+Z16+Z19+Z22-Z24</f>
        <v>-30750086.3586394</v>
      </c>
      <c r="AA42" s="282" t="n">
        <f aca="false">AA26+AA16+AA19+AA22-AA24</f>
        <v>-30502688.1541288</v>
      </c>
      <c r="AB42" s="282" t="n">
        <f aca="false">AB26+AB16+AB19+AB22-AB24</f>
        <v>-30255289.9496181</v>
      </c>
      <c r="AC42" s="282" t="n">
        <f aca="false">AC26+AC16+AC19+AC22-AC24</f>
        <v>-36045782.0144309</v>
      </c>
      <c r="AD42" s="282" t="n">
        <f aca="false">AD26+AD16+AD19+AD22-AD24</f>
        <v>-35761274.0792436</v>
      </c>
      <c r="AE42" s="282" t="n">
        <f aca="false">AE26+AE16+AE19+AE22-AE24</f>
        <v>-35476766.1440563</v>
      </c>
      <c r="AF42" s="282" t="n">
        <f aca="false">AF26+AF16+AF19+AF22-AF24</f>
        <v>-43242778.5679669</v>
      </c>
      <c r="AG42" s="282" t="n">
        <f aca="false">AG26+AG16+AG19+AG22-AG24</f>
        <v>-42908790.9918775</v>
      </c>
      <c r="AH42" s="282" t="n">
        <f aca="false">AH26+AH16+AH19+AH22-AH24</f>
        <v>-42574803.4157881</v>
      </c>
      <c r="AI42" s="282" t="n">
        <f aca="false">AI26+AI16+AI19+AI22-AI24</f>
        <v>-48278706.1090221</v>
      </c>
      <c r="AJ42" s="282" t="n">
        <f aca="false">AJ26+AJ16+AJ19+AJ22-AJ24</f>
        <v>-47907608.8022561</v>
      </c>
      <c r="AK42" s="282" t="n">
        <f aca="false">AK26+AK16+AK19+AK22-AK24</f>
        <v>-47536511.4954901</v>
      </c>
      <c r="AL42" s="282" t="n">
        <f aca="false">AL26+AL16+AL19+AL22-AL24</f>
        <v>-67613736.0683363</v>
      </c>
      <c r="AM42" s="282" t="n">
        <f aca="false">AM26+AM16+AM19+AM22-AM24</f>
        <v>-64107627.3078491</v>
      </c>
      <c r="AN42" s="282" t="n">
        <f aca="false">AN26+AN16+AN19+AN22-AN24</f>
        <v>-60601518.5473619</v>
      </c>
      <c r="AO42" s="282" t="n">
        <f aca="false">AO26+AO16+AO19+AO22-AO24</f>
        <v>-69219493.4728016</v>
      </c>
      <c r="AP42" s="282" t="n">
        <f aca="false">AP26+AP16+AP19+AP22-AP24</f>
        <v>-65187468.3982413</v>
      </c>
      <c r="AQ42" s="282" t="n">
        <f aca="false">AQ26+AQ16+AQ19+AQ22-AQ24</f>
        <v>-61155443.323681</v>
      </c>
      <c r="AR42" s="282" t="n">
        <f aca="false">AR26+AR16+AR19+AR22-AR24</f>
        <v>-73288863.1636899</v>
      </c>
      <c r="AS42" s="282" t="n">
        <f aca="false">AS26+AS16+AS19+AS22-AS24</f>
        <v>-68555616.3370322</v>
      </c>
      <c r="AT42" s="282" t="n">
        <f aca="false">AT26+AT16+AT19+AT22-AT24</f>
        <v>-63822369.5103744</v>
      </c>
      <c r="AU42" s="282" t="n">
        <f aca="false">AU26+AU16+AU19+AU22-AU24</f>
        <v>-71213206.3696436</v>
      </c>
      <c r="AV42" s="282" t="n">
        <f aca="false">AV26+AV16+AV19+AV22-AV24</f>
        <v>-65954043.2289128</v>
      </c>
      <c r="AW42" s="282" t="n">
        <f aca="false">AW26+AW16+AW19+AW22-AW24</f>
        <v>-60694880.088182</v>
      </c>
      <c r="AX42" s="282" t="n">
        <f aca="false">AX26+AX16+AX19+AX22-AX24</f>
        <v>-84363182.9176213</v>
      </c>
      <c r="AY42" s="282" t="n">
        <f aca="false">AY26+AY16+AY19+AY22-AY24</f>
        <v>-72698152.4137272</v>
      </c>
      <c r="AZ42" s="282" t="n">
        <f aca="false">AZ26+AZ16+AZ19+AZ22-AZ24</f>
        <v>-61033121.9098331</v>
      </c>
      <c r="BA42" s="282" t="n">
        <f aca="false">BA26+BA16+BA19+BA22-BA24</f>
        <v>-71893336.8303549</v>
      </c>
      <c r="BB42" s="282" t="n">
        <f aca="false">BB26+BB16+BB19+BB22-BB24</f>
        <v>-58478551.7508767</v>
      </c>
      <c r="BC42" s="282" t="n">
        <f aca="false">BC26+BC16+BC19+BC22-BC24</f>
        <v>-45063766.6713984</v>
      </c>
      <c r="BD42" s="282" t="n">
        <f aca="false">BD26+BD16+BD19+BD22-BD24</f>
        <v>-61682642.157808</v>
      </c>
      <c r="BE42" s="282" t="n">
        <f aca="false">BE26+BE16+BE19+BE22-BE24</f>
        <v>-45934850.977551</v>
      </c>
      <c r="BF42" s="282" t="n">
        <f aca="false">BF26+BF16+BF19+BF22-BF24</f>
        <v>-30187059.7972939</v>
      </c>
      <c r="BG42" s="282" t="n">
        <f aca="false">BG26+BG16+BG19+BG22-BG24</f>
        <v>-36964514.0414528</v>
      </c>
      <c r="BH42" s="282" t="n">
        <f aca="false">BH26+BH16+BH19+BH22-BH24</f>
        <v>-19466968.2856117</v>
      </c>
      <c r="BI42" s="282" t="n">
        <f aca="false">BI26+BI16+BI19+BI22-BI24</f>
        <v>-1969422.52977054</v>
      </c>
    </row>
    <row r="43" customFormat="false" ht="30" hidden="false" customHeight="true" outlineLevel="0" collapsed="false">
      <c r="A43" s="202" t="s">
        <v>472</v>
      </c>
      <c r="B43" s="282" t="n">
        <f aca="false">MAX(0,-B42)</f>
        <v>0</v>
      </c>
      <c r="C43" s="282" t="n">
        <f aca="false">MAX(0,-C42)</f>
        <v>0</v>
      </c>
      <c r="D43" s="282" t="n">
        <f aca="false">MAX(0,-D42)</f>
        <v>0</v>
      </c>
      <c r="E43" s="282" t="n">
        <f aca="false">MAX(0,-E42)</f>
        <v>0</v>
      </c>
      <c r="F43" s="282" t="n">
        <f aca="false">MAX(0,-F42)</f>
        <v>0</v>
      </c>
      <c r="G43" s="282" t="n">
        <f aca="false">MAX(0,-G42)</f>
        <v>0</v>
      </c>
      <c r="H43" s="282" t="n">
        <f aca="false">MAX(0,-H42)</f>
        <v>0</v>
      </c>
      <c r="I43" s="282" t="n">
        <f aca="false">MAX(0,-I42)</f>
        <v>0</v>
      </c>
      <c r="J43" s="282" t="n">
        <f aca="false">MAX(0,-J42)</f>
        <v>0</v>
      </c>
      <c r="K43" s="282" t="n">
        <f aca="false">MAX(0,-K42)</f>
        <v>0</v>
      </c>
      <c r="L43" s="282" t="n">
        <f aca="false">MAX(0,-L42)</f>
        <v>0</v>
      </c>
      <c r="M43" s="282" t="n">
        <f aca="false">MAX(0,-M42)</f>
        <v>0</v>
      </c>
      <c r="N43" s="282" t="n">
        <f aca="false">MAX(0,-N42)</f>
        <v>13805479.7075434</v>
      </c>
      <c r="O43" s="282" t="n">
        <f aca="false">MAX(0,-O42)</f>
        <v>16386706.54442</v>
      </c>
      <c r="P43" s="282" t="n">
        <f aca="false">MAX(0,-P42)</f>
        <v>18967933.3812967</v>
      </c>
      <c r="Q43" s="282" t="n">
        <f aca="false">MAX(0,-Q42)</f>
        <v>26353119.8728049</v>
      </c>
      <c r="R43" s="282" t="n">
        <f aca="false">MAX(0,-R42)</f>
        <v>14321530.735213</v>
      </c>
      <c r="S43" s="282" t="n">
        <f aca="false">MAX(0,-S42)</f>
        <v>17289941.5976212</v>
      </c>
      <c r="T43" s="282" t="n">
        <f aca="false">MAX(0,-T42)</f>
        <v>26663631.999538</v>
      </c>
      <c r="U43" s="282" t="n">
        <f aca="false">MAX(0,-U42)</f>
        <v>30148288.2293215</v>
      </c>
      <c r="V43" s="282" t="n">
        <f aca="false">MAX(0,-V42)</f>
        <v>18632944.4591051</v>
      </c>
      <c r="W43" s="282" t="n">
        <f aca="false">MAX(0,-W42)</f>
        <v>26921560.3435201</v>
      </c>
      <c r="X43" s="282" t="n">
        <f aca="false">MAX(0,-X42)</f>
        <v>30793400.5988351</v>
      </c>
      <c r="Y43" s="282" t="n">
        <f aca="false">MAX(0,-Y42)</f>
        <v>34665240.8541501</v>
      </c>
      <c r="Z43" s="282" t="n">
        <f aca="false">MAX(0,-Z42)</f>
        <v>30750086.3586394</v>
      </c>
      <c r="AA43" s="282" t="n">
        <f aca="false">MAX(0,-AA42)</f>
        <v>30502688.1541288</v>
      </c>
      <c r="AB43" s="282" t="n">
        <f aca="false">MAX(0,-AB42)</f>
        <v>30255289.9496181</v>
      </c>
      <c r="AC43" s="282" t="n">
        <f aca="false">MAX(0,-AC42)</f>
        <v>36045782.0144309</v>
      </c>
      <c r="AD43" s="282" t="n">
        <f aca="false">MAX(0,-AD42)</f>
        <v>35761274.0792436</v>
      </c>
      <c r="AE43" s="282" t="n">
        <f aca="false">MAX(0,-AE42)</f>
        <v>35476766.1440563</v>
      </c>
      <c r="AF43" s="282" t="n">
        <f aca="false">MAX(0,-AF42)</f>
        <v>43242778.5679669</v>
      </c>
      <c r="AG43" s="282" t="n">
        <f aca="false">MAX(0,-AG42)</f>
        <v>42908790.9918775</v>
      </c>
      <c r="AH43" s="282" t="n">
        <f aca="false">MAX(0,-AH42)</f>
        <v>42574803.4157881</v>
      </c>
      <c r="AI43" s="282" t="n">
        <f aca="false">MAX(0,-AI42)</f>
        <v>48278706.1090221</v>
      </c>
      <c r="AJ43" s="282" t="n">
        <f aca="false">MAX(0,-AJ42)</f>
        <v>47907608.8022561</v>
      </c>
      <c r="AK43" s="282" t="n">
        <f aca="false">MAX(0,-AK42)</f>
        <v>47536511.4954901</v>
      </c>
      <c r="AL43" s="282" t="n">
        <f aca="false">MAX(0,-AL42)</f>
        <v>67613736.0683363</v>
      </c>
      <c r="AM43" s="282" t="n">
        <f aca="false">MAX(0,-AM42)</f>
        <v>64107627.3078491</v>
      </c>
      <c r="AN43" s="282" t="n">
        <f aca="false">MAX(0,-AN42)</f>
        <v>60601518.5473619</v>
      </c>
      <c r="AO43" s="282" t="n">
        <f aca="false">MAX(0,-AO42)</f>
        <v>69219493.4728016</v>
      </c>
      <c r="AP43" s="282" t="n">
        <f aca="false">MAX(0,-AP42)</f>
        <v>65187468.3982413</v>
      </c>
      <c r="AQ43" s="282" t="n">
        <f aca="false">MAX(0,-AQ42)</f>
        <v>61155443.323681</v>
      </c>
      <c r="AR43" s="282" t="n">
        <f aca="false">MAX(0,-AR42)</f>
        <v>73288863.1636899</v>
      </c>
      <c r="AS43" s="282" t="n">
        <f aca="false">MAX(0,-AS42)</f>
        <v>68555616.3370322</v>
      </c>
      <c r="AT43" s="282" t="n">
        <f aca="false">MAX(0,-AT42)</f>
        <v>63822369.5103744</v>
      </c>
      <c r="AU43" s="282" t="n">
        <f aca="false">MAX(0,-AU42)</f>
        <v>71213206.3696436</v>
      </c>
      <c r="AV43" s="282" t="n">
        <f aca="false">MAX(0,-AV42)</f>
        <v>65954043.2289128</v>
      </c>
      <c r="AW43" s="282" t="n">
        <f aca="false">MAX(0,-AW42)</f>
        <v>60694880.088182</v>
      </c>
      <c r="AX43" s="282" t="n">
        <f aca="false">MAX(0,-AX42)</f>
        <v>84363182.9176213</v>
      </c>
      <c r="AY43" s="282" t="n">
        <f aca="false">MAX(0,-AY42)</f>
        <v>72698152.4137272</v>
      </c>
      <c r="AZ43" s="282" t="n">
        <f aca="false">MAX(0,-AZ42)</f>
        <v>61033121.9098331</v>
      </c>
      <c r="BA43" s="282" t="n">
        <f aca="false">MAX(0,-BA42)</f>
        <v>71893336.8303549</v>
      </c>
      <c r="BB43" s="282" t="n">
        <f aca="false">MAX(0,-BB42)</f>
        <v>58478551.7508767</v>
      </c>
      <c r="BC43" s="282" t="n">
        <f aca="false">MAX(0,-BC42)</f>
        <v>45063766.6713984</v>
      </c>
      <c r="BD43" s="282" t="n">
        <f aca="false">MAX(0,-BD42)</f>
        <v>61682642.157808</v>
      </c>
      <c r="BE43" s="282" t="n">
        <f aca="false">MAX(0,-BE42)</f>
        <v>45934850.977551</v>
      </c>
      <c r="BF43" s="282" t="n">
        <f aca="false">MAX(0,-BF42)</f>
        <v>30187059.7972939</v>
      </c>
      <c r="BG43" s="282" t="n">
        <f aca="false">MAX(0,-BG42)</f>
        <v>36964514.0414528</v>
      </c>
      <c r="BH43" s="282" t="n">
        <f aca="false">MAX(0,-BH42)</f>
        <v>19466968.2856117</v>
      </c>
      <c r="BI43" s="282" t="n">
        <f aca="false">MAX(0,-BI42)</f>
        <v>1969422.52977054</v>
      </c>
    </row>
    <row r="44" customFormat="false" ht="30" hidden="false" customHeight="true" outlineLevel="0" collapsed="false">
      <c r="A44" s="202" t="s">
        <v>473</v>
      </c>
      <c r="B44" s="282" t="n">
        <f aca="false">B28-B43</f>
        <v>0</v>
      </c>
      <c r="C44" s="282" t="n">
        <f aca="false">C28-C43</f>
        <v>0</v>
      </c>
      <c r="D44" s="282" t="n">
        <f aca="false">D28-D43</f>
        <v>0</v>
      </c>
      <c r="E44" s="282" t="n">
        <f aca="false">E28-E43</f>
        <v>0</v>
      </c>
      <c r="F44" s="282" t="n">
        <f aca="false">F28-F43</f>
        <v>0</v>
      </c>
      <c r="G44" s="282" t="n">
        <f aca="false">G28-G43</f>
        <v>0</v>
      </c>
      <c r="H44" s="282" t="n">
        <f aca="false">H28-H43</f>
        <v>0</v>
      </c>
      <c r="I44" s="282" t="n">
        <f aca="false">I28-I43</f>
        <v>0</v>
      </c>
      <c r="J44" s="282" t="n">
        <f aca="false">J28-J43</f>
        <v>0</v>
      </c>
      <c r="K44" s="282" t="n">
        <f aca="false">K28-K43</f>
        <v>0</v>
      </c>
      <c r="L44" s="282" t="n">
        <f aca="false">L28-L43</f>
        <v>0</v>
      </c>
      <c r="M44" s="282" t="n">
        <f aca="false">M28-M43</f>
        <v>0</v>
      </c>
      <c r="N44" s="282" t="n">
        <f aca="false">N28-N43</f>
        <v>15639691.1531233</v>
      </c>
      <c r="O44" s="282" t="n">
        <f aca="false">O28-O43</f>
        <v>13058464.3162467</v>
      </c>
      <c r="P44" s="282" t="n">
        <f aca="false">P28-P43</f>
        <v>10477237.47937</v>
      </c>
      <c r="Q44" s="282" t="n">
        <f aca="false">Q28-Q43</f>
        <v>7508826.61696181</v>
      </c>
      <c r="R44" s="282" t="n">
        <f aca="false">R28-R43</f>
        <v>19540415.7545536</v>
      </c>
      <c r="S44" s="282" t="n">
        <f aca="false">S28-S43</f>
        <v>16572004.8921455</v>
      </c>
      <c r="T44" s="282" t="n">
        <f aca="false">T28-T43</f>
        <v>13087348.662362</v>
      </c>
      <c r="U44" s="282" t="n">
        <f aca="false">U28-U43</f>
        <v>9602692.43257845</v>
      </c>
      <c r="V44" s="282" t="n">
        <f aca="false">V28-V43</f>
        <v>21118036.2027949</v>
      </c>
      <c r="W44" s="282" t="n">
        <f aca="false">W28-W43</f>
        <v>17246195.9474799</v>
      </c>
      <c r="X44" s="282" t="n">
        <f aca="false">X28-X43</f>
        <v>13374355.6921649</v>
      </c>
      <c r="Y44" s="282" t="n">
        <f aca="false">Y28-Y43</f>
        <v>9502515.43684993</v>
      </c>
      <c r="Z44" s="282" t="n">
        <f aca="false">Z28-Z43</f>
        <v>9749913.64136059</v>
      </c>
      <c r="AA44" s="282" t="n">
        <f aca="false">AA28-AA43</f>
        <v>9997311.84587125</v>
      </c>
      <c r="AB44" s="282" t="n">
        <f aca="false">AB28-AB43</f>
        <v>10244710.0503819</v>
      </c>
      <c r="AC44" s="282" t="n">
        <f aca="false">AC28-AC43</f>
        <v>10529217.9855692</v>
      </c>
      <c r="AD44" s="282" t="n">
        <f aca="false">AD28-AD43</f>
        <v>10813725.9207564</v>
      </c>
      <c r="AE44" s="282" t="n">
        <f aca="false">AE28-AE43</f>
        <v>11098233.8559437</v>
      </c>
      <c r="AF44" s="282" t="n">
        <f aca="false">AF28-AF43</f>
        <v>11432221.4320331</v>
      </c>
      <c r="AG44" s="282" t="n">
        <f aca="false">AG28-AG43</f>
        <v>11766209.0081225</v>
      </c>
      <c r="AH44" s="282" t="n">
        <f aca="false">AH28-AH43</f>
        <v>12100196.5842119</v>
      </c>
      <c r="AI44" s="282" t="n">
        <f aca="false">AI28-AI43</f>
        <v>12471293.8909779</v>
      </c>
      <c r="AJ44" s="282" t="n">
        <f aca="false">AJ28-AJ43</f>
        <v>12842391.1977439</v>
      </c>
      <c r="AK44" s="282" t="n">
        <f aca="false">AK28-AK43</f>
        <v>13213488.5045099</v>
      </c>
      <c r="AL44" s="282" t="n">
        <f aca="false">AL28-AL43</f>
        <v>16719597.2649971</v>
      </c>
      <c r="AM44" s="282" t="n">
        <f aca="false">AM28-AM43</f>
        <v>20225706.0254843</v>
      </c>
      <c r="AN44" s="282" t="n">
        <f aca="false">AN28-AN43</f>
        <v>23731814.7859715</v>
      </c>
      <c r="AO44" s="282" t="n">
        <f aca="false">AO28-AO43</f>
        <v>27763839.8605318</v>
      </c>
      <c r="AP44" s="282" t="n">
        <f aca="false">AP28-AP43</f>
        <v>31795864.9350921</v>
      </c>
      <c r="AQ44" s="282" t="n">
        <f aca="false">AQ28-AQ43</f>
        <v>35827890.0096524</v>
      </c>
      <c r="AR44" s="282" t="n">
        <f aca="false">AR28-AR43</f>
        <v>40561136.8363101</v>
      </c>
      <c r="AS44" s="282" t="n">
        <f aca="false">AS28-AS43</f>
        <v>45294383.6629678</v>
      </c>
      <c r="AT44" s="282" t="n">
        <f aca="false">AT28-AT43</f>
        <v>50027630.4896256</v>
      </c>
      <c r="AU44" s="282" t="n">
        <f aca="false">AU28-AU43</f>
        <v>55286793.6303564</v>
      </c>
      <c r="AV44" s="282" t="n">
        <f aca="false">AV28-AV43</f>
        <v>60545956.7710872</v>
      </c>
      <c r="AW44" s="282" t="n">
        <f aca="false">AW28-AW43</f>
        <v>65805119.911818</v>
      </c>
      <c r="AX44" s="282" t="n">
        <f aca="false">AX28-AX43</f>
        <v>77470150.4157121</v>
      </c>
      <c r="AY44" s="282" t="n">
        <f aca="false">AY28-AY43</f>
        <v>89135180.9196062</v>
      </c>
      <c r="AZ44" s="282" t="n">
        <f aca="false">AZ28-AZ43</f>
        <v>100800211.4235</v>
      </c>
      <c r="BA44" s="282" t="n">
        <f aca="false">BA28-BA43</f>
        <v>114214996.502979</v>
      </c>
      <c r="BB44" s="282" t="n">
        <f aca="false">BB28-BB43</f>
        <v>127629781.582457</v>
      </c>
      <c r="BC44" s="282" t="n">
        <f aca="false">BC28-BC43</f>
        <v>141044566.661935</v>
      </c>
      <c r="BD44" s="282" t="n">
        <f aca="false">BD28-BD43</f>
        <v>156792357.842192</v>
      </c>
      <c r="BE44" s="282" t="n">
        <f aca="false">BE28-BE43</f>
        <v>172540149.022449</v>
      </c>
      <c r="BF44" s="282" t="n">
        <f aca="false">BF28-BF43</f>
        <v>188287940.202706</v>
      </c>
      <c r="BG44" s="282" t="n">
        <f aca="false">BG28-BG43</f>
        <v>205785485.958547</v>
      </c>
      <c r="BH44" s="282" t="n">
        <f aca="false">BH28-BH43</f>
        <v>223283031.714388</v>
      </c>
      <c r="BI44" s="282" t="n">
        <f aca="false">BI28-BI43</f>
        <v>240780577.470229</v>
      </c>
    </row>
    <row r="45" customFormat="false" ht="30" hidden="false" customHeight="true" outlineLevel="0" collapsed="false">
      <c r="A45" s="202" t="s">
        <v>474</v>
      </c>
      <c r="B45" s="1" t="str">
        <f aca="false">IF(AND(B44&gt;=-1,B33&lt;=B20+1,B27&gt;=-1),"OK","GAP")</f>
        <v>OK</v>
      </c>
      <c r="C45" s="1" t="str">
        <f aca="false">IF(AND(C44&gt;=-1,C33&lt;=C20+1,C27&gt;=-1),"OK","GAP")</f>
        <v>OK</v>
      </c>
      <c r="D45" s="1" t="str">
        <f aca="false">IF(AND(D44&gt;=-1,D33&lt;=D20+1,D27&gt;=-1),"OK","GAP")</f>
        <v>OK</v>
      </c>
      <c r="E45" s="1" t="str">
        <f aca="false">IF(AND(E44&gt;=-1,E33&lt;=E20+1,E27&gt;=-1),"OK","GAP")</f>
        <v>OK</v>
      </c>
      <c r="F45" s="1" t="str">
        <f aca="false">IF(AND(F44&gt;=-1,F33&lt;=F20+1,F27&gt;=-1),"OK","GAP")</f>
        <v>OK</v>
      </c>
      <c r="G45" s="1" t="str">
        <f aca="false">IF(AND(G44&gt;=-1,G33&lt;=G20+1,G27&gt;=-1),"OK","GAP")</f>
        <v>OK</v>
      </c>
      <c r="H45" s="1" t="str">
        <f aca="false">IF(AND(H44&gt;=-1,H33&lt;=H20+1,H27&gt;=-1),"OK","GAP")</f>
        <v>OK</v>
      </c>
      <c r="I45" s="1" t="str">
        <f aca="false">IF(AND(I44&gt;=-1,I33&lt;=I20+1,I27&gt;=-1),"OK","GAP")</f>
        <v>OK</v>
      </c>
      <c r="J45" s="1" t="str">
        <f aca="false">IF(AND(J44&gt;=-1,J33&lt;=J20+1,J27&gt;=-1),"OK","GAP")</f>
        <v>OK</v>
      </c>
      <c r="K45" s="1" t="str">
        <f aca="false">IF(AND(K44&gt;=-1,K33&lt;=K20+1,K27&gt;=-1),"OK","GAP")</f>
        <v>OK</v>
      </c>
      <c r="L45" s="1" t="str">
        <f aca="false">IF(AND(L44&gt;=-1,L33&lt;=L20+1,L27&gt;=-1),"OK","GAP")</f>
        <v>OK</v>
      </c>
      <c r="M45" s="1" t="str">
        <f aca="false">IF(AND(M44&gt;=-1,M33&lt;=M20+1,M27&gt;=-1),"OK","GAP")</f>
        <v>OK</v>
      </c>
      <c r="N45" s="1" t="str">
        <f aca="false">IF(AND(N44&gt;=-1,N33&lt;=N20+1,N27&gt;=-1),"OK","GAP")</f>
        <v>OK</v>
      </c>
      <c r="O45" s="1" t="str">
        <f aca="false">IF(AND(O44&gt;=-1,O33&lt;=O20+1,O27&gt;=-1),"OK","GAP")</f>
        <v>OK</v>
      </c>
      <c r="P45" s="1" t="str">
        <f aca="false">IF(AND(P44&gt;=-1,P33&lt;=P20+1,P27&gt;=-1),"OK","GAP")</f>
        <v>OK</v>
      </c>
      <c r="Q45" s="1" t="str">
        <f aca="false">IF(AND(Q44&gt;=-1,Q33&lt;=Q20+1,Q27&gt;=-1),"OK","GAP")</f>
        <v>OK</v>
      </c>
      <c r="R45" s="1" t="str">
        <f aca="false">IF(AND(R44&gt;=-1,R33&lt;=R20+1,R27&gt;=-1),"OK","GAP")</f>
        <v>OK</v>
      </c>
      <c r="S45" s="1" t="str">
        <f aca="false">IF(AND(S44&gt;=-1,S33&lt;=S20+1,S27&gt;=-1),"OK","GAP")</f>
        <v>OK</v>
      </c>
      <c r="T45" s="1" t="str">
        <f aca="false">IF(AND(T44&gt;=-1,T33&lt;=T20+1,T27&gt;=-1),"OK","GAP")</f>
        <v>OK</v>
      </c>
      <c r="U45" s="1" t="str">
        <f aca="false">IF(AND(U44&gt;=-1,U33&lt;=U20+1,U27&gt;=-1),"OK","GAP")</f>
        <v>OK</v>
      </c>
      <c r="V45" s="1" t="str">
        <f aca="false">IF(AND(V44&gt;=-1,V33&lt;=V20+1,V27&gt;=-1),"OK","GAP")</f>
        <v>OK</v>
      </c>
      <c r="W45" s="1" t="str">
        <f aca="false">IF(AND(W44&gt;=-1,W33&lt;=W20+1,W27&gt;=-1),"OK","GAP")</f>
        <v>OK</v>
      </c>
      <c r="X45" s="1" t="str">
        <f aca="false">IF(AND(X44&gt;=-1,X33&lt;=X20+1,X27&gt;=-1),"OK","GAP")</f>
        <v>OK</v>
      </c>
      <c r="Y45" s="1" t="str">
        <f aca="false">IF(AND(Y44&gt;=-1,Y33&lt;=Y20+1,Y27&gt;=-1),"OK","GAP")</f>
        <v>OK</v>
      </c>
      <c r="Z45" s="1" t="str">
        <f aca="false">IF(AND(Z44&gt;=-1,Z33&lt;=Z20+1,Z27&gt;=-1),"OK","GAP")</f>
        <v>OK</v>
      </c>
      <c r="AA45" s="1" t="str">
        <f aca="false">IF(AND(AA44&gt;=-1,AA33&lt;=AA20+1,AA27&gt;=-1),"OK","GAP")</f>
        <v>OK</v>
      </c>
      <c r="AB45" s="1" t="str">
        <f aca="false">IF(AND(AB44&gt;=-1,AB33&lt;=AB20+1,AB27&gt;=-1),"OK","GAP")</f>
        <v>OK</v>
      </c>
      <c r="AC45" s="1" t="str">
        <f aca="false">IF(AND(AC44&gt;=-1,AC33&lt;=AC20+1,AC27&gt;=-1),"OK","GAP")</f>
        <v>OK</v>
      </c>
      <c r="AD45" s="1" t="str">
        <f aca="false">IF(AND(AD44&gt;=-1,AD33&lt;=AD20+1,AD27&gt;=-1),"OK","GAP")</f>
        <v>OK</v>
      </c>
      <c r="AE45" s="1" t="str">
        <f aca="false">IF(AND(AE44&gt;=-1,AE33&lt;=AE20+1,AE27&gt;=-1),"OK","GAP")</f>
        <v>OK</v>
      </c>
      <c r="AF45" s="1" t="str">
        <f aca="false">IF(AND(AF44&gt;=-1,AF33&lt;=AF20+1,AF27&gt;=-1),"OK","GAP")</f>
        <v>OK</v>
      </c>
      <c r="AG45" s="1" t="str">
        <f aca="false">IF(AND(AG44&gt;=-1,AG33&lt;=AG20+1,AG27&gt;=-1),"OK","GAP")</f>
        <v>OK</v>
      </c>
      <c r="AH45" s="1" t="str">
        <f aca="false">IF(AND(AH44&gt;=-1,AH33&lt;=AH20+1,AH27&gt;=-1),"OK","GAP")</f>
        <v>OK</v>
      </c>
      <c r="AI45" s="1" t="str">
        <f aca="false">IF(AND(AI44&gt;=-1,AI33&lt;=AI20+1,AI27&gt;=-1),"OK","GAP")</f>
        <v>OK</v>
      </c>
      <c r="AJ45" s="1" t="str">
        <f aca="false">IF(AND(AJ44&gt;=-1,AJ33&lt;=AJ20+1,AJ27&gt;=-1),"OK","GAP")</f>
        <v>OK</v>
      </c>
      <c r="AK45" s="1" t="str">
        <f aca="false">IF(AND(AK44&gt;=-1,AK33&lt;=AK20+1,AK27&gt;=-1),"OK","GAP")</f>
        <v>OK</v>
      </c>
      <c r="AL45" s="1" t="str">
        <f aca="false">IF(AND(AL44&gt;=-1,AL33&lt;=AL20+1,AL27&gt;=-1),"OK","GAP")</f>
        <v>OK</v>
      </c>
      <c r="AM45" s="1" t="str">
        <f aca="false">IF(AND(AM44&gt;=-1,AM33&lt;=AM20+1,AM27&gt;=-1),"OK","GAP")</f>
        <v>OK</v>
      </c>
      <c r="AN45" s="1" t="str">
        <f aca="false">IF(AND(AN44&gt;=-1,AN33&lt;=AN20+1,AN27&gt;=-1),"OK","GAP")</f>
        <v>OK</v>
      </c>
      <c r="AO45" s="1" t="str">
        <f aca="false">IF(AND(AO44&gt;=-1,AO33&lt;=AO20+1,AO27&gt;=-1),"OK","GAP")</f>
        <v>OK</v>
      </c>
      <c r="AP45" s="1" t="str">
        <f aca="false">IF(AND(AP44&gt;=-1,AP33&lt;=AP20+1,AP27&gt;=-1),"OK","GAP")</f>
        <v>OK</v>
      </c>
      <c r="AQ45" s="1" t="str">
        <f aca="false">IF(AND(AQ44&gt;=-1,AQ33&lt;=AQ20+1,AQ27&gt;=-1),"OK","GAP")</f>
        <v>OK</v>
      </c>
      <c r="AR45" s="1" t="str">
        <f aca="false">IF(AND(AR44&gt;=-1,AR33&lt;=AR20+1,AR27&gt;=-1),"OK","GAP")</f>
        <v>OK</v>
      </c>
      <c r="AS45" s="1" t="str">
        <f aca="false">IF(AND(AS44&gt;=-1,AS33&lt;=AS20+1,AS27&gt;=-1),"OK","GAP")</f>
        <v>OK</v>
      </c>
      <c r="AT45" s="1" t="str">
        <f aca="false">IF(AND(AT44&gt;=-1,AT33&lt;=AT20+1,AT27&gt;=-1),"OK","GAP")</f>
        <v>OK</v>
      </c>
      <c r="AU45" s="1" t="str">
        <f aca="false">IF(AND(AU44&gt;=-1,AU33&lt;=AU20+1,AU27&gt;=-1),"OK","GAP")</f>
        <v>OK</v>
      </c>
      <c r="AV45" s="1" t="str">
        <f aca="false">IF(AND(AV44&gt;=-1,AV33&lt;=AV20+1,AV27&gt;=-1),"OK","GAP")</f>
        <v>OK</v>
      </c>
      <c r="AW45" s="1" t="str">
        <f aca="false">IF(AND(AW44&gt;=-1,AW33&lt;=AW20+1,AW27&gt;=-1),"OK","GAP")</f>
        <v>OK</v>
      </c>
      <c r="AX45" s="1" t="str">
        <f aca="false">IF(AND(AX44&gt;=-1,AX33&lt;=AX20+1,AX27&gt;=-1),"OK","GAP")</f>
        <v>OK</v>
      </c>
      <c r="AY45" s="1" t="str">
        <f aca="false">IF(AND(AY44&gt;=-1,AY33&lt;=AY20+1,AY27&gt;=-1),"OK","GAP")</f>
        <v>OK</v>
      </c>
      <c r="AZ45" s="1" t="str">
        <f aca="false">IF(AND(AZ44&gt;=-1,AZ33&lt;=AZ20+1,AZ27&gt;=-1),"OK","GAP")</f>
        <v>OK</v>
      </c>
      <c r="BA45" s="1" t="str">
        <f aca="false">IF(AND(BA44&gt;=-1,BA33&lt;=BA20+1,BA27&gt;=-1),"OK","GAP")</f>
        <v>OK</v>
      </c>
      <c r="BB45" s="1" t="str">
        <f aca="false">IF(AND(BB44&gt;=-1,BB33&lt;=BB20+1,BB27&gt;=-1),"OK","GAP")</f>
        <v>OK</v>
      </c>
      <c r="BC45" s="1" t="str">
        <f aca="false">IF(AND(BC44&gt;=-1,BC33&lt;=BC20+1,BC27&gt;=-1),"OK","GAP")</f>
        <v>OK</v>
      </c>
      <c r="BD45" s="1" t="str">
        <f aca="false">IF(AND(BD44&gt;=-1,BD33&lt;=BD20+1,BD27&gt;=-1),"OK","GAP")</f>
        <v>OK</v>
      </c>
      <c r="BE45" s="1" t="str">
        <f aca="false">IF(AND(BE44&gt;=-1,BE33&lt;=BE20+1,BE27&gt;=-1),"OK","GAP")</f>
        <v>OK</v>
      </c>
      <c r="BF45" s="1" t="str">
        <f aca="false">IF(AND(BF44&gt;=-1,BF33&lt;=BF20+1,BF27&gt;=-1),"OK","GAP")</f>
        <v>OK</v>
      </c>
      <c r="BG45" s="1" t="str">
        <f aca="false">IF(AND(BG44&gt;=-1,BG33&lt;=BG20+1,BG27&gt;=-1),"OK","GAP")</f>
        <v>OK</v>
      </c>
      <c r="BH45" s="1" t="str">
        <f aca="false">IF(AND(BH44&gt;=-1,BH33&lt;=BH20+1,BH27&gt;=-1),"OK","GAP")</f>
        <v>OK</v>
      </c>
      <c r="BI45" s="1" t="str">
        <f aca="false">IF(AND(BI44&gt;=-1,BI33&lt;=BI20+1,BI27&gt;=-1),"OK","GAP")</f>
        <v>OK</v>
      </c>
    </row>
    <row r="55" customFormat="false" ht="21.75" hidden="false" customHeight="true" outlineLevel="0" collapsed="false"/>
    <row r="63" customFormat="false" ht="21.75" hidden="false" customHeight="true" outlineLevel="0" collapsed="false"/>
    <row r="84" customFormat="false" ht="21.75" hidden="false" customHeight="true" outlineLevel="0" collapsed="false"/>
  </sheetData>
  <mergeCells count="1">
    <mergeCell ref="A1:BI1"/>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8"/>
    <col collapsed="false" customWidth="true" hidden="false" outlineLevel="0" max="6" min="2" style="1" width="19"/>
    <col collapsed="false" customWidth="true" hidden="false" outlineLevel="0" max="8" min="7" style="1" width="16"/>
    <col collapsed="false" customWidth="true" hidden="false" outlineLevel="0" max="26" min="9" style="1" width="14"/>
  </cols>
  <sheetData>
    <row r="1" customFormat="false" ht="30.75" hidden="false" customHeight="true" outlineLevel="0" collapsed="false">
      <c r="A1" s="283" t="s">
        <v>475</v>
      </c>
      <c r="B1" s="283"/>
      <c r="C1" s="283"/>
      <c r="D1" s="283"/>
      <c r="E1" s="283"/>
      <c r="F1" s="283"/>
    </row>
    <row r="2" customFormat="false" ht="15" hidden="false" customHeight="true" outlineLevel="0" collapsed="false"/>
    <row r="3" customFormat="false" ht="15" hidden="false" customHeight="true" outlineLevel="0" collapsed="false">
      <c r="A3" s="284" t="s">
        <v>83</v>
      </c>
      <c r="B3" s="284" t="s">
        <v>84</v>
      </c>
      <c r="C3" s="284" t="s">
        <v>85</v>
      </c>
      <c r="D3" s="284" t="s">
        <v>86</v>
      </c>
      <c r="E3" s="284" t="s">
        <v>87</v>
      </c>
      <c r="F3" s="284" t="s">
        <v>88</v>
      </c>
    </row>
    <row r="4" customFormat="false" ht="15" hidden="false" customHeight="true" outlineLevel="0" collapsed="false">
      <c r="A4" s="285" t="s">
        <v>476</v>
      </c>
      <c r="B4" s="285"/>
      <c r="C4" s="285"/>
      <c r="D4" s="285"/>
      <c r="E4" s="285"/>
      <c r="F4" s="285"/>
    </row>
    <row r="5" customFormat="false" ht="15" hidden="false" customHeight="true" outlineLevel="0" collapsed="false">
      <c r="A5" s="286" t="s">
        <v>204</v>
      </c>
      <c r="B5" s="287" t="n">
        <f aca="false">Assumptions!B76</f>
        <v>27750000</v>
      </c>
      <c r="C5" s="287" t="n">
        <f aca="false">Assumptions!C76</f>
        <v>527500000</v>
      </c>
      <c r="D5" s="287" t="n">
        <f aca="false">Assumptions!D76</f>
        <v>700000000</v>
      </c>
      <c r="E5" s="287" t="n">
        <f aca="false">Assumptions!E76</f>
        <v>1350000000</v>
      </c>
      <c r="F5" s="287" t="n">
        <f aca="false">Assumptions!F76</f>
        <v>2500000000</v>
      </c>
    </row>
    <row r="6" customFormat="false" ht="15" hidden="false" customHeight="true" outlineLevel="0" collapsed="false">
      <c r="A6" s="286" t="s">
        <v>205</v>
      </c>
      <c r="B6" s="288" t="n">
        <f aca="false">Assumptions!B77</f>
        <v>185</v>
      </c>
      <c r="C6" s="288" t="n">
        <f aca="false">Assumptions!C77</f>
        <v>1670</v>
      </c>
      <c r="D6" s="288" t="n">
        <f aca="false">Assumptions!D77</f>
        <v>788</v>
      </c>
      <c r="E6" s="288" t="n">
        <f aca="false">Assumptions!E77</f>
        <v>1227</v>
      </c>
      <c r="F6" s="288" t="n">
        <f aca="false">Assumptions!F77</f>
        <v>1852</v>
      </c>
    </row>
    <row r="7" customFormat="false" ht="21.75" hidden="false" customHeight="true" outlineLevel="0" collapsed="false">
      <c r="A7" s="289"/>
      <c r="B7" s="290"/>
      <c r="C7" s="290"/>
      <c r="D7" s="290"/>
      <c r="E7" s="290"/>
      <c r="F7" s="290"/>
    </row>
    <row r="8" customFormat="false" ht="15" hidden="false" customHeight="true" outlineLevel="0" collapsed="false">
      <c r="A8" s="291" t="s">
        <v>477</v>
      </c>
      <c r="B8" s="291"/>
      <c r="C8" s="291"/>
      <c r="D8" s="291"/>
      <c r="E8" s="291"/>
      <c r="F8" s="291"/>
    </row>
    <row r="9" customFormat="false" ht="15" hidden="false" customHeight="true" outlineLevel="0" collapsed="false">
      <c r="A9" s="286" t="s">
        <v>208</v>
      </c>
      <c r="B9" s="287" t="n">
        <f aca="false">Assumptions!B80</f>
        <v>3538847.96</v>
      </c>
      <c r="C9" s="287" t="n">
        <f aca="false">Assumptions!C80</f>
        <v>45873640.26</v>
      </c>
      <c r="D9" s="287" t="n">
        <f aca="false">Assumptions!D80</f>
        <v>197874532.848</v>
      </c>
      <c r="E9" s="287" t="n">
        <f aca="false">Assumptions!E80</f>
        <v>354759738.39488</v>
      </c>
      <c r="F9" s="287" t="n">
        <f aca="false">Assumptions!F80</f>
        <v>623076854.248576</v>
      </c>
    </row>
    <row r="10" customFormat="false" ht="15" hidden="false" customHeight="true" outlineLevel="0" collapsed="false">
      <c r="A10" s="286" t="s">
        <v>209</v>
      </c>
      <c r="B10" s="287" t="n">
        <f aca="false">'Cohort Fees'!B7</f>
        <v>1387500</v>
      </c>
      <c r="C10" s="287" t="n">
        <f aca="false">'Cohort Fees'!C7</f>
        <v>36925000</v>
      </c>
      <c r="D10" s="287" t="n">
        <f aca="false">'Cohort Fees'!D7</f>
        <v>42000000</v>
      </c>
      <c r="E10" s="287" t="n">
        <f aca="false">'Cohort Fees'!E7</f>
        <v>81000000</v>
      </c>
      <c r="F10" s="287" t="n">
        <f aca="false">'Cohort Fees'!F7</f>
        <v>150000000</v>
      </c>
    </row>
    <row r="11" customFormat="false" ht="15" hidden="false" customHeight="true" outlineLevel="0" collapsed="false">
      <c r="A11" s="286" t="s">
        <v>478</v>
      </c>
      <c r="B11" s="287" t="n">
        <f aca="false">0</f>
        <v>0</v>
      </c>
      <c r="C11" s="287" t="n">
        <f aca="false">0</f>
        <v>0</v>
      </c>
      <c r="D11" s="287" t="n">
        <f aca="false">0</f>
        <v>0</v>
      </c>
      <c r="E11" s="287" t="n">
        <f aca="false">0</f>
        <v>0</v>
      </c>
      <c r="F11" s="287" t="n">
        <f aca="false">0</f>
        <v>0</v>
      </c>
    </row>
    <row r="12" customFormat="false" ht="15" hidden="false" customHeight="true" outlineLevel="0" collapsed="false">
      <c r="A12" s="286" t="s">
        <v>479</v>
      </c>
      <c r="B12" s="287" t="n">
        <f aca="false">SUM(B9:B11)</f>
        <v>4926347.96</v>
      </c>
      <c r="C12" s="287" t="n">
        <f aca="false">SUM(C9:C11)</f>
        <v>82798640.26</v>
      </c>
      <c r="D12" s="287" t="n">
        <f aca="false">SUM(D9:D11)</f>
        <v>239874532.848</v>
      </c>
      <c r="E12" s="287" t="n">
        <f aca="false">SUM(E9:E11)</f>
        <v>435759738.39488</v>
      </c>
      <c r="F12" s="287" t="n">
        <f aca="false">SUM(F9:F11)</f>
        <v>773076854.248576</v>
      </c>
    </row>
    <row r="13" customFormat="false" ht="21.75" hidden="false" customHeight="true" outlineLevel="0" collapsed="false">
      <c r="A13" s="286" t="s">
        <v>210</v>
      </c>
      <c r="B13" s="287" t="n">
        <f aca="false">Assumptions!B82</f>
        <v>3118262.4</v>
      </c>
      <c r="C13" s="287" t="n">
        <f aca="false">Assumptions!C82</f>
        <v>0</v>
      </c>
      <c r="D13" s="287" t="n">
        <f aca="false">Assumptions!D82</f>
        <v>5600000</v>
      </c>
      <c r="E13" s="287" t="n">
        <f aca="false">Assumptions!E82</f>
        <v>10800000</v>
      </c>
      <c r="F13" s="287" t="n">
        <f aca="false">Assumptions!F82</f>
        <v>20000000</v>
      </c>
    </row>
    <row r="14" customFormat="false" ht="15" hidden="false" customHeight="true" outlineLevel="0" collapsed="false">
      <c r="A14" s="291" t="s">
        <v>480</v>
      </c>
      <c r="B14" s="291"/>
      <c r="C14" s="291"/>
      <c r="D14" s="291"/>
      <c r="E14" s="291"/>
      <c r="F14" s="291"/>
    </row>
    <row r="15" customFormat="false" ht="15" hidden="false" customHeight="true" outlineLevel="0" collapsed="false">
      <c r="A15" s="286" t="s">
        <v>211</v>
      </c>
      <c r="B15" s="287" t="n">
        <f aca="false">Assumptions!B83</f>
        <v>0</v>
      </c>
      <c r="C15" s="287" t="n">
        <f aca="false">Assumptions!C83</f>
        <v>37240500</v>
      </c>
      <c r="D15" s="287" t="n">
        <f aca="false">Assumptions!D83</f>
        <v>102822500</v>
      </c>
      <c r="E15" s="287" t="n">
        <f aca="false">Assumptions!E83</f>
        <v>176827500</v>
      </c>
      <c r="F15" s="287" t="n">
        <f aca="false">Assumptions!F83</f>
        <v>325335375</v>
      </c>
    </row>
    <row r="16" customFormat="false" ht="15" hidden="false" customHeight="true" outlineLevel="0" collapsed="false">
      <c r="A16" s="286" t="s">
        <v>481</v>
      </c>
      <c r="B16" s="287" t="n">
        <f aca="false">Assumptions!B84</f>
        <v>620169.1227</v>
      </c>
      <c r="C16" s="287" t="n">
        <f aca="false">Assumptions!C84</f>
        <v>12957897.4833</v>
      </c>
      <c r="D16" s="287" t="n">
        <f aca="false">Assumptions!D84</f>
        <v>12418773.3576</v>
      </c>
      <c r="E16" s="287" t="n">
        <f aca="false">Assumptions!E84</f>
        <v>24026264.01456</v>
      </c>
      <c r="F16" s="287" t="n">
        <f aca="false">Assumptions!F84</f>
        <v>43740758.408736</v>
      </c>
    </row>
    <row r="17" customFormat="false" ht="15" hidden="false" customHeight="true" outlineLevel="0" collapsed="false">
      <c r="A17" s="286" t="s">
        <v>213</v>
      </c>
      <c r="B17" s="287" t="n">
        <f aca="false">Assumptions!B85</f>
        <v>11156112</v>
      </c>
      <c r="C17" s="287" t="n">
        <f aca="false">Assumptions!C85</f>
        <v>15618000</v>
      </c>
      <c r="D17" s="287" t="n">
        <f aca="false">Assumptions!D85</f>
        <v>21893869</v>
      </c>
      <c r="E17" s="287" t="n">
        <f aca="false">Assumptions!E85</f>
        <v>25061090</v>
      </c>
      <c r="F17" s="287" t="n">
        <f aca="false">Assumptions!F85</f>
        <v>30073308</v>
      </c>
    </row>
    <row r="18" customFormat="false" ht="15" hidden="false" customHeight="true" outlineLevel="0" collapsed="false">
      <c r="A18" s="286" t="s">
        <v>214</v>
      </c>
      <c r="B18" s="287" t="n">
        <f aca="false">Assumptions!B86</f>
        <v>4435200</v>
      </c>
      <c r="C18" s="287" t="n">
        <f aca="false">Assumptions!C86</f>
        <v>7413120</v>
      </c>
      <c r="D18" s="287" t="n">
        <f aca="false">Assumptions!D86</f>
        <v>8305440</v>
      </c>
      <c r="E18" s="287" t="n">
        <f aca="false">Assumptions!E86</f>
        <v>12769614</v>
      </c>
      <c r="F18" s="287" t="n">
        <f aca="false">Assumptions!F86</f>
        <v>18043568.4</v>
      </c>
    </row>
    <row r="19" customFormat="false" ht="15" hidden="false" customHeight="true" outlineLevel="0" collapsed="false">
      <c r="A19" s="286" t="s">
        <v>215</v>
      </c>
      <c r="B19" s="287" t="n">
        <f aca="false">Assumptions!B87</f>
        <v>0</v>
      </c>
      <c r="C19" s="287" t="n">
        <f aca="false">Assumptions!C87</f>
        <v>0</v>
      </c>
      <c r="D19" s="287" t="n">
        <f aca="false">Assumptions!D87</f>
        <v>1000000</v>
      </c>
      <c r="E19" s="287" t="n">
        <f aca="false">Assumptions!E87</f>
        <v>1500000</v>
      </c>
      <c r="F19" s="287" t="n">
        <f aca="false">Assumptions!F87</f>
        <v>2000000</v>
      </c>
    </row>
    <row r="20" customFormat="false" ht="15" hidden="false" customHeight="true" outlineLevel="0" collapsed="false">
      <c r="A20" s="286" t="s">
        <v>482</v>
      </c>
      <c r="B20" s="287" t="n">
        <f aca="false">SUM(B15:B19)</f>
        <v>16211481.1227</v>
      </c>
      <c r="C20" s="287" t="n">
        <f aca="false">SUM(C15:C19)</f>
        <v>73229517.4833</v>
      </c>
      <c r="D20" s="287" t="n">
        <f aca="false">SUM(D15:D19)</f>
        <v>146440582.3576</v>
      </c>
      <c r="E20" s="287" t="n">
        <f aca="false">SUM(E15:E19)</f>
        <v>240184468.01456</v>
      </c>
      <c r="F20" s="287" t="n">
        <f aca="false">SUM(F15:F19)</f>
        <v>419193009.808736</v>
      </c>
    </row>
    <row r="21" customFormat="false" ht="15" hidden="false" customHeight="true" outlineLevel="0" collapsed="false">
      <c r="A21" s="286" t="s">
        <v>483</v>
      </c>
      <c r="B21" s="287" t="n">
        <f aca="false">B12+B13-B20</f>
        <v>-8166870.7627</v>
      </c>
      <c r="C21" s="287" t="n">
        <f aca="false">C12+C13-C20</f>
        <v>9569122.77669998</v>
      </c>
      <c r="D21" s="287" t="n">
        <f aca="false">D12+D13-D20</f>
        <v>99033950.4904</v>
      </c>
      <c r="E21" s="287" t="n">
        <f aca="false">E12+E13-E20</f>
        <v>206375270.38032</v>
      </c>
      <c r="F21" s="287" t="n">
        <f aca="false">F12+F13-F20</f>
        <v>373883844.43984</v>
      </c>
    </row>
    <row r="22" customFormat="false" ht="15" hidden="false" customHeight="true" outlineLevel="0" collapsed="false">
      <c r="A22" s="286" t="s">
        <v>131</v>
      </c>
      <c r="B22" s="287" t="n">
        <f aca="false">Assumptions!B88</f>
        <v>0</v>
      </c>
      <c r="C22" s="287" t="n">
        <f aca="false">Assumptions!C88</f>
        <v>315506.703149994</v>
      </c>
      <c r="D22" s="287" t="n">
        <f aca="false">Assumptions!D88</f>
        <v>22282638.86034</v>
      </c>
      <c r="E22" s="287" t="n">
        <f aca="false">Assumptions!E88</f>
        <v>46434435.835572</v>
      </c>
      <c r="F22" s="287" t="n">
        <f aca="false">Assumptions!F88</f>
        <v>84123864.9989639</v>
      </c>
    </row>
    <row r="23" customFormat="false" ht="15" hidden="false" customHeight="true" outlineLevel="0" collapsed="false">
      <c r="A23" s="286" t="s">
        <v>216</v>
      </c>
      <c r="B23" s="287" t="n">
        <f aca="false">Assumptions!B89</f>
        <v>-8166870.7627</v>
      </c>
      <c r="C23" s="287" t="n">
        <f aca="false">Assumptions!C89</f>
        <v>9253616.07354998</v>
      </c>
      <c r="D23" s="287" t="n">
        <f aca="false">Assumptions!D89</f>
        <v>76751311.63006</v>
      </c>
      <c r="E23" s="287" t="n">
        <f aca="false">Assumptions!E89</f>
        <v>159940834.544748</v>
      </c>
      <c r="F23" s="287" t="n">
        <f aca="false">Assumptions!F89</f>
        <v>289759979.440876</v>
      </c>
    </row>
    <row r="24" customFormat="false" ht="31.5" hidden="false" customHeight="true" outlineLevel="0" collapsed="false">
      <c r="A24" s="289"/>
      <c r="B24" s="290"/>
      <c r="C24" s="290"/>
      <c r="D24" s="290"/>
      <c r="E24" s="290"/>
      <c r="F24" s="290"/>
    </row>
    <row r="25" customFormat="false" ht="15" hidden="false" customHeight="true" outlineLevel="0" collapsed="false">
      <c r="A25" s="291" t="s">
        <v>484</v>
      </c>
      <c r="B25" s="291"/>
      <c r="C25" s="291"/>
      <c r="D25" s="291"/>
      <c r="E25" s="291"/>
      <c r="F25" s="291"/>
    </row>
    <row r="26" customFormat="false" ht="15" hidden="false" customHeight="true" outlineLevel="0" collapsed="false">
      <c r="A26" s="286" t="s">
        <v>485</v>
      </c>
      <c r="B26" s="287" t="n">
        <f aca="false">B21+B15+B16+B19</f>
        <v>-7546701.64</v>
      </c>
      <c r="C26" s="287" t="n">
        <f aca="false">C21+C15+C16+C19</f>
        <v>59767520.26</v>
      </c>
      <c r="D26" s="287" t="n">
        <f aca="false">D21+D15+D16+D19</f>
        <v>215275223.848</v>
      </c>
      <c r="E26" s="287" t="n">
        <f aca="false">E21+E15+E16+E19</f>
        <v>408729034.39488</v>
      </c>
      <c r="F26" s="287" t="n">
        <f aca="false">F21+F15+F16+F19</f>
        <v>744959977.848576</v>
      </c>
    </row>
    <row r="27" customFormat="false" ht="15" hidden="false" customHeight="true" outlineLevel="0" collapsed="false">
      <c r="A27" s="286" t="s">
        <v>486</v>
      </c>
      <c r="B27" s="287" t="n">
        <f aca="false">B21+B15</f>
        <v>-8166870.7627</v>
      </c>
      <c r="C27" s="287" t="n">
        <f aca="false">C21+C15</f>
        <v>46809622.7767</v>
      </c>
      <c r="D27" s="287" t="n">
        <f aca="false">D21+D15</f>
        <v>201856450.4904</v>
      </c>
      <c r="E27" s="287" t="n">
        <f aca="false">E21+E15</f>
        <v>383202770.38032</v>
      </c>
      <c r="F27" s="287" t="n">
        <f aca="false">F21+F15</f>
        <v>699219219.43984</v>
      </c>
    </row>
    <row r="28" customFormat="false" ht="15" hidden="false" customHeight="true" outlineLevel="0" collapsed="false">
      <c r="A28" s="286" t="s">
        <v>487</v>
      </c>
      <c r="B28" s="292" t="n">
        <f aca="false">IFERROR(B23/B12,0)</f>
        <v>-1.65779413655141</v>
      </c>
      <c r="C28" s="292" t="n">
        <f aca="false">IFERROR(C23/C12,0)</f>
        <v>0.111760483559781</v>
      </c>
      <c r="D28" s="292" t="n">
        <f aca="false">IFERROR(D23/D12,0)</f>
        <v>0.319964402718377</v>
      </c>
      <c r="E28" s="292" t="n">
        <f aca="false">IFERROR(E23/E12,0)</f>
        <v>0.367039036543141</v>
      </c>
      <c r="F28" s="292" t="n">
        <f aca="false">IFERROR(F23/F12,0)</f>
        <v>0.374813937124686</v>
      </c>
    </row>
    <row r="29" customFormat="false" ht="15" hidden="false" customHeight="true" outlineLevel="0" collapsed="false"/>
    <row r="30" customFormat="false" ht="39.75" hidden="false" customHeight="true" outlineLevel="0" collapsed="false">
      <c r="A30" s="73" t="s">
        <v>488</v>
      </c>
      <c r="B30" s="73"/>
      <c r="C30" s="73"/>
      <c r="D30" s="73"/>
      <c r="E30" s="73"/>
      <c r="F30" s="73"/>
    </row>
    <row r="31" customFormat="false" ht="15" hidden="false" customHeight="true" outlineLevel="0" collapsed="false"/>
    <row r="33" customFormat="false" ht="15" hidden="false" customHeight="true" outlineLevel="0" collapsed="false">
      <c r="A33" s="291" t="s">
        <v>489</v>
      </c>
      <c r="B33" s="291"/>
      <c r="C33" s="291"/>
      <c r="D33" s="291"/>
      <c r="E33" s="291"/>
      <c r="F33" s="291"/>
    </row>
    <row r="34" customFormat="false" ht="15" hidden="false" customHeight="true" outlineLevel="0" collapsed="false">
      <c r="A34" s="284" t="s">
        <v>83</v>
      </c>
      <c r="B34" s="284" t="s">
        <v>84</v>
      </c>
      <c r="C34" s="284" t="s">
        <v>85</v>
      </c>
      <c r="D34" s="284" t="s">
        <v>86</v>
      </c>
      <c r="E34" s="284" t="s">
        <v>87</v>
      </c>
      <c r="F34" s="284" t="s">
        <v>88</v>
      </c>
    </row>
    <row r="35" customFormat="false" ht="15" hidden="false" customHeight="true" outlineLevel="0" collapsed="false">
      <c r="A35" s="286" t="s">
        <v>490</v>
      </c>
      <c r="B35" s="287" t="n">
        <f aca="false">B21</f>
        <v>-8166870.7627</v>
      </c>
      <c r="C35" s="287" t="n">
        <f aca="false">C21</f>
        <v>9569122.77669998</v>
      </c>
      <c r="D35" s="287" t="n">
        <f aca="false">D21</f>
        <v>99033950.4904</v>
      </c>
      <c r="E35" s="287" t="n">
        <f aca="false">E21</f>
        <v>206375270.38032</v>
      </c>
      <c r="F35" s="287" t="n">
        <f aca="false">F21</f>
        <v>373883844.43984</v>
      </c>
    </row>
    <row r="36" customFormat="false" ht="15" hidden="false" customHeight="true" outlineLevel="0" collapsed="false">
      <c r="A36" s="286" t="s">
        <v>491</v>
      </c>
      <c r="B36" s="287" t="n">
        <v>0</v>
      </c>
      <c r="C36" s="287" t="n">
        <v>0</v>
      </c>
      <c r="D36" s="287" t="n">
        <v>0</v>
      </c>
      <c r="E36" s="287" t="n">
        <v>0</v>
      </c>
      <c r="F36" s="287" t="n">
        <v>0</v>
      </c>
    </row>
    <row r="37" customFormat="false" ht="15" hidden="false" customHeight="true" outlineLevel="0" collapsed="false">
      <c r="A37" s="286" t="s">
        <v>492</v>
      </c>
      <c r="B37" s="287" t="n">
        <v>0</v>
      </c>
      <c r="C37" s="287" t="n">
        <v>0</v>
      </c>
      <c r="D37" s="287" t="n">
        <v>0</v>
      </c>
      <c r="E37" s="287" t="n">
        <v>0</v>
      </c>
      <c r="F37" s="287" t="n">
        <v>0</v>
      </c>
    </row>
    <row r="38" customFormat="false" ht="15" hidden="false" customHeight="true" outlineLevel="0" collapsed="false">
      <c r="A38" s="286" t="s">
        <v>493</v>
      </c>
      <c r="B38" s="287" t="n">
        <f aca="false">MAX(0,B35+B36-B37)</f>
        <v>0</v>
      </c>
      <c r="C38" s="287" t="n">
        <f aca="false">MAX(0,C35+C36-C37)</f>
        <v>9569122.77669998</v>
      </c>
      <c r="D38" s="287" t="n">
        <f aca="false">MAX(0,D35+D36-D37)</f>
        <v>99033950.4904</v>
      </c>
      <c r="E38" s="287" t="n">
        <f aca="false">MAX(0,E35+E36-E37)</f>
        <v>206375270.38032</v>
      </c>
      <c r="F38" s="287" t="n">
        <f aca="false">MAX(0,F35+F36-F37)</f>
        <v>373883844.43984</v>
      </c>
    </row>
    <row r="39" customFormat="false" ht="15" hidden="false" customHeight="true" outlineLevel="0" collapsed="false">
      <c r="A39" s="286" t="s">
        <v>494</v>
      </c>
      <c r="B39" s="287" t="n">
        <v>0</v>
      </c>
      <c r="C39" s="287" t="n">
        <f aca="false">B41</f>
        <v>8166870.7627</v>
      </c>
      <c r="D39" s="287" t="n">
        <f aca="false">C41</f>
        <v>0</v>
      </c>
      <c r="E39" s="287" t="n">
        <f aca="false">D41</f>
        <v>0</v>
      </c>
      <c r="F39" s="287" t="n">
        <f aca="false">E41</f>
        <v>0</v>
      </c>
    </row>
    <row r="40" customFormat="false" ht="15" hidden="false" customHeight="true" outlineLevel="0" collapsed="false">
      <c r="A40" s="286" t="s">
        <v>495</v>
      </c>
      <c r="B40" s="287" t="n">
        <f aca="false">MIN(B38,B39)</f>
        <v>0</v>
      </c>
      <c r="C40" s="287" t="n">
        <f aca="false">MIN(C38,C39)</f>
        <v>8166870.7627</v>
      </c>
      <c r="D40" s="287" t="n">
        <f aca="false">MIN(D38,D39)</f>
        <v>0</v>
      </c>
      <c r="E40" s="287" t="n">
        <f aca="false">MIN(E38,E39)</f>
        <v>0</v>
      </c>
      <c r="F40" s="287" t="n">
        <f aca="false">MIN(F38,F39)</f>
        <v>0</v>
      </c>
    </row>
    <row r="41" customFormat="false" ht="15" hidden="false" customHeight="true" outlineLevel="0" collapsed="false">
      <c r="A41" s="286" t="s">
        <v>496</v>
      </c>
      <c r="B41" s="287" t="n">
        <f aca="false">B39-B40+MAX(0,-(B35+B36-B37))</f>
        <v>8166870.7627</v>
      </c>
      <c r="C41" s="287" t="n">
        <f aca="false">C39-C40+MAX(0,-(C35+C36-C37))</f>
        <v>0</v>
      </c>
      <c r="D41" s="287" t="n">
        <f aca="false">D39-D40+MAX(0,-(D35+D36-D37))</f>
        <v>0</v>
      </c>
      <c r="E41" s="287" t="n">
        <f aca="false">E39-E40+MAX(0,-(E35+E36-E37))</f>
        <v>0</v>
      </c>
      <c r="F41" s="287" t="n">
        <f aca="false">F39-F40+MAX(0,-(F35+F36-F37))</f>
        <v>0</v>
      </c>
    </row>
    <row r="42" customFormat="false" ht="15" hidden="false" customHeight="true" outlineLevel="0" collapsed="false">
      <c r="A42" s="286" t="s">
        <v>497</v>
      </c>
      <c r="B42" s="287" t="n">
        <f aca="false">B38-B40</f>
        <v>0</v>
      </c>
      <c r="C42" s="287" t="n">
        <f aca="false">C38-C40</f>
        <v>1402252.01399997</v>
      </c>
      <c r="D42" s="287" t="n">
        <f aca="false">D38-D40</f>
        <v>99033950.4904</v>
      </c>
      <c r="E42" s="287" t="n">
        <f aca="false">E38-E40</f>
        <v>206375270.38032</v>
      </c>
      <c r="F42" s="287" t="n">
        <f aca="false">F38-F40</f>
        <v>373883844.43984</v>
      </c>
    </row>
    <row r="43" customFormat="false" ht="15" hidden="false" customHeight="true" outlineLevel="0" collapsed="false">
      <c r="A43" s="286" t="s">
        <v>498</v>
      </c>
      <c r="B43" s="293" t="n">
        <f aca="false">Assumptions!$B$33</f>
        <v>0.225</v>
      </c>
      <c r="C43" s="293" t="n">
        <f aca="false">Assumptions!$B$33</f>
        <v>0.225</v>
      </c>
      <c r="D43" s="293" t="n">
        <f aca="false">Assumptions!$B$33</f>
        <v>0.225</v>
      </c>
      <c r="E43" s="293" t="n">
        <f aca="false">Assumptions!$B$33</f>
        <v>0.225</v>
      </c>
      <c r="F43" s="293" t="n">
        <f aca="false">Assumptions!$B$33</f>
        <v>0.225</v>
      </c>
    </row>
    <row r="44" customFormat="false" ht="15" hidden="false" customHeight="true" outlineLevel="0" collapsed="false">
      <c r="A44" s="286" t="s">
        <v>499</v>
      </c>
      <c r="B44" s="287" t="n">
        <f aca="false">MAX(0,B42*B43)</f>
        <v>0</v>
      </c>
      <c r="C44" s="287" t="n">
        <f aca="false">MAX(0,C42*C43)</f>
        <v>315506.703149994</v>
      </c>
      <c r="D44" s="287" t="n">
        <f aca="false">MAX(0,D42*D43)</f>
        <v>22282638.86034</v>
      </c>
      <c r="E44" s="287" t="n">
        <f aca="false">MAX(0,E42*E43)</f>
        <v>46434435.835572</v>
      </c>
      <c r="F44" s="287" t="n">
        <f aca="false">MAX(0,F42*F43)</f>
        <v>84123864.9989639</v>
      </c>
    </row>
    <row r="45" customFormat="false" ht="15" hidden="false" customHeight="true" outlineLevel="0" collapsed="false">
      <c r="A45" s="286" t="s">
        <v>500</v>
      </c>
      <c r="B45" s="287" t="n">
        <v>0</v>
      </c>
      <c r="C45" s="287" t="n">
        <v>0</v>
      </c>
      <c r="D45" s="287" t="n">
        <v>0</v>
      </c>
      <c r="E45" s="287" t="n">
        <v>0</v>
      </c>
      <c r="F45" s="287" t="n">
        <v>0</v>
      </c>
    </row>
    <row r="46" customFormat="false" ht="15" hidden="false" customHeight="true" outlineLevel="0" collapsed="false">
      <c r="A46" s="286" t="s">
        <v>501</v>
      </c>
      <c r="B46" s="287" t="n">
        <f aca="false">B44+B45</f>
        <v>0</v>
      </c>
      <c r="C46" s="287" t="n">
        <f aca="false">C44+C45</f>
        <v>315506.703149994</v>
      </c>
      <c r="D46" s="287" t="n">
        <f aca="false">D44+D45</f>
        <v>22282638.86034</v>
      </c>
      <c r="E46" s="287" t="n">
        <f aca="false">E44+E45</f>
        <v>46434435.835572</v>
      </c>
      <c r="F46" s="287" t="n">
        <f aca="false">F44+F45</f>
        <v>84123864.9989639</v>
      </c>
    </row>
    <row r="47" customFormat="false" ht="39.75" hidden="false" customHeight="true" outlineLevel="0" collapsed="false">
      <c r="A47" s="73" t="s">
        <v>502</v>
      </c>
      <c r="B47" s="73"/>
      <c r="C47" s="73"/>
      <c r="D47" s="73"/>
      <c r="E47" s="73"/>
      <c r="F47" s="73"/>
    </row>
  </sheetData>
  <mergeCells count="8">
    <mergeCell ref="A1:F1"/>
    <mergeCell ref="A4:F4"/>
    <mergeCell ref="A8:F8"/>
    <mergeCell ref="A14:F14"/>
    <mergeCell ref="A25:F25"/>
    <mergeCell ref="A30:F30"/>
    <mergeCell ref="A33:F33"/>
    <mergeCell ref="A47:F47"/>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8"/>
    <col collapsed="false" customWidth="true" hidden="false" outlineLevel="0" max="6" min="2" style="1" width="19"/>
    <col collapsed="false" customWidth="true" hidden="false" outlineLevel="0" max="8" min="7" style="1" width="16"/>
    <col collapsed="false" customWidth="true" hidden="false" outlineLevel="0" max="26" min="9" style="1" width="14"/>
  </cols>
  <sheetData>
    <row r="1" customFormat="false" ht="30.75" hidden="false" customHeight="true" outlineLevel="0" collapsed="false">
      <c r="A1" s="283" t="s">
        <v>503</v>
      </c>
      <c r="B1" s="283"/>
      <c r="C1" s="283"/>
      <c r="D1" s="283"/>
      <c r="E1" s="283"/>
      <c r="F1" s="283"/>
    </row>
    <row r="2" customFormat="false" ht="15" hidden="false" customHeight="true" outlineLevel="0" collapsed="false"/>
    <row r="3" customFormat="false" ht="15" hidden="false" customHeight="true" outlineLevel="0" collapsed="false">
      <c r="A3" s="284" t="s">
        <v>83</v>
      </c>
      <c r="B3" s="284" t="s">
        <v>84</v>
      </c>
      <c r="C3" s="284" t="s">
        <v>85</v>
      </c>
      <c r="D3" s="284" t="s">
        <v>86</v>
      </c>
      <c r="E3" s="284" t="s">
        <v>87</v>
      </c>
      <c r="F3" s="284" t="s">
        <v>88</v>
      </c>
    </row>
    <row r="4" customFormat="false" ht="21.75" hidden="false" customHeight="true" outlineLevel="0" collapsed="false">
      <c r="A4" s="285" t="s">
        <v>504</v>
      </c>
      <c r="B4" s="285"/>
      <c r="C4" s="285"/>
      <c r="D4" s="285"/>
      <c r="E4" s="285"/>
      <c r="F4" s="285"/>
    </row>
    <row r="5" customFormat="false" ht="15" hidden="false" customHeight="true" outlineLevel="0" collapsed="false">
      <c r="A5" s="286" t="s">
        <v>505</v>
      </c>
      <c r="B5" s="287" t="n">
        <f aca="false">'Cash Flow'!B25</f>
        <v>3220917.99</v>
      </c>
      <c r="C5" s="287" t="n">
        <f aca="false">'Cash Flow'!C25</f>
        <v>9502515.43684994</v>
      </c>
      <c r="D5" s="287" t="n">
        <f aca="false">'Cash Flow'!D25</f>
        <v>13213488.5045099</v>
      </c>
      <c r="E5" s="287" t="n">
        <f aca="false">'Cash Flow'!E25</f>
        <v>65805119.911818</v>
      </c>
      <c r="F5" s="287" t="n">
        <f aca="false">'Cash Flow'!F25</f>
        <v>240780577.47023</v>
      </c>
    </row>
    <row r="6" customFormat="false" ht="15" hidden="false" customHeight="true" outlineLevel="0" collapsed="false">
      <c r="A6" s="286" t="s">
        <v>506</v>
      </c>
      <c r="B6" s="287" t="n">
        <f aca="false">Assumptions!B79</f>
        <v>20672304.09</v>
      </c>
      <c r="C6" s="287" t="n">
        <f aca="false">Assumptions!C79</f>
        <v>452602220.2</v>
      </c>
      <c r="D6" s="287" t="n">
        <f aca="false">Assumptions!D79</f>
        <v>866561332.12</v>
      </c>
      <c r="E6" s="287" t="n">
        <f aca="false">Assumptions!E79</f>
        <v>1667436799.272</v>
      </c>
      <c r="F6" s="287" t="n">
        <f aca="false">Assumptions!F79</f>
        <v>3125462079.5632</v>
      </c>
    </row>
    <row r="7" customFormat="false" ht="15" hidden="false" customHeight="true" outlineLevel="0" collapsed="false">
      <c r="A7" s="286" t="s">
        <v>507</v>
      </c>
      <c r="B7" s="287" t="n">
        <f aca="false">B6*Assumptions!$B$31</f>
        <v>620169.1227</v>
      </c>
      <c r="C7" s="287" t="n">
        <f aca="false">C6*Assumptions!$B$31</f>
        <v>13578066.606</v>
      </c>
      <c r="D7" s="287" t="n">
        <f aca="false">D6*Assumptions!$B$31</f>
        <v>25996839.9636</v>
      </c>
      <c r="E7" s="287" t="n">
        <f aca="false">E6*Assumptions!$B$31</f>
        <v>50023103.97816</v>
      </c>
      <c r="F7" s="287" t="n">
        <f aca="false">F6*Assumptions!$B$31</f>
        <v>93763862.386896</v>
      </c>
    </row>
    <row r="8" customFormat="false" ht="15" hidden="false" customHeight="true" outlineLevel="0" collapsed="false">
      <c r="A8" s="286" t="s">
        <v>508</v>
      </c>
      <c r="B8" s="287" t="n">
        <f aca="false">B6-B7</f>
        <v>20052134.9673</v>
      </c>
      <c r="C8" s="287" t="n">
        <f aca="false">C6-C7</f>
        <v>439024153.594</v>
      </c>
      <c r="D8" s="287" t="n">
        <f aca="false">D6-D7</f>
        <v>840564492.1564</v>
      </c>
      <c r="E8" s="287" t="n">
        <f aca="false">E6-E7</f>
        <v>1617413695.29384</v>
      </c>
      <c r="F8" s="287" t="n">
        <f aca="false">F6-F7</f>
        <v>3031698217.1763</v>
      </c>
    </row>
    <row r="9" customFormat="false" ht="15" hidden="false" customHeight="true" outlineLevel="0" collapsed="false">
      <c r="A9" s="286" t="s">
        <v>509</v>
      </c>
      <c r="B9" s="287" t="n">
        <f aca="false">Assumptions!B99</f>
        <v>258076.28</v>
      </c>
      <c r="C9" s="287" t="n">
        <f aca="false">Assumptions!C99</f>
        <v>258076.28</v>
      </c>
      <c r="D9" s="287" t="n">
        <f aca="false">Assumptions!D99</f>
        <v>258076.28</v>
      </c>
      <c r="E9" s="287" t="n">
        <f aca="false">Assumptions!E99</f>
        <v>258076.28</v>
      </c>
      <c r="F9" s="287" t="n">
        <f aca="false">Assumptions!F99</f>
        <v>258076.28</v>
      </c>
    </row>
    <row r="10" customFormat="false" ht="15" hidden="false" customHeight="true" outlineLevel="0" collapsed="false">
      <c r="A10" s="286" t="s">
        <v>510</v>
      </c>
      <c r="B10" s="287" t="n">
        <f aca="false">Assumptions!B11-'Income Statement'!B19</f>
        <v>4302000</v>
      </c>
      <c r="C10" s="287" t="n">
        <f aca="false">B10+Assumptions!C11-'Income Statement'!C19</f>
        <v>4802000</v>
      </c>
      <c r="D10" s="287" t="n">
        <f aca="false">C10+Assumptions!D11-'Income Statement'!D19</f>
        <v>4802000</v>
      </c>
      <c r="E10" s="287" t="n">
        <f aca="false">D10+Assumptions!E11-'Income Statement'!E19</f>
        <v>4802000</v>
      </c>
      <c r="F10" s="287" t="n">
        <f aca="false">E10+Assumptions!F11-'Income Statement'!F19</f>
        <v>4802000</v>
      </c>
    </row>
    <row r="11" customFormat="false" ht="15" hidden="false" customHeight="true" outlineLevel="0" collapsed="false">
      <c r="A11" s="286" t="s">
        <v>511</v>
      </c>
      <c r="B11" s="287" t="n">
        <f aca="false">SUM(B5,B8:B10)</f>
        <v>27833129.2373</v>
      </c>
      <c r="C11" s="287" t="n">
        <f aca="false">SUM(C5,C8:C10)</f>
        <v>453586745.31085</v>
      </c>
      <c r="D11" s="287" t="n">
        <f aca="false">SUM(D5,D8:D10)</f>
        <v>858838056.94091</v>
      </c>
      <c r="E11" s="287" t="n">
        <f aca="false">SUM(E5,E8:E10)</f>
        <v>1688278891.48566</v>
      </c>
      <c r="F11" s="287" t="n">
        <f aca="false">SUM(F5,F8:F10)</f>
        <v>3277538870.92653</v>
      </c>
    </row>
    <row r="12" customFormat="false" ht="21.75" hidden="false" customHeight="true" outlineLevel="0" collapsed="false">
      <c r="A12" s="289"/>
      <c r="B12" s="290"/>
      <c r="C12" s="290"/>
      <c r="D12" s="290"/>
      <c r="E12" s="290"/>
      <c r="F12" s="290"/>
    </row>
    <row r="13" customFormat="false" ht="15" hidden="false" customHeight="true" outlineLevel="0" collapsed="false">
      <c r="A13" s="291" t="s">
        <v>512</v>
      </c>
      <c r="B13" s="291"/>
      <c r="C13" s="291"/>
      <c r="D13" s="291"/>
      <c r="E13" s="291"/>
      <c r="F13" s="291"/>
    </row>
    <row r="14" customFormat="false" ht="15" hidden="false" customHeight="true" outlineLevel="0" collapsed="false">
      <c r="A14" s="294" t="s">
        <v>513</v>
      </c>
      <c r="B14" s="295" t="n">
        <f aca="false">Assumptions!B90</f>
        <v>0</v>
      </c>
      <c r="C14" s="295" t="n">
        <f aca="false">Assumptions!C90</f>
        <v>370000000</v>
      </c>
      <c r="D14" s="295" t="n">
        <f aca="false">Assumptions!D90</f>
        <v>685000000</v>
      </c>
      <c r="E14" s="295" t="n">
        <f aca="false">Assumptions!E90</f>
        <v>1335000000</v>
      </c>
      <c r="F14" s="295" t="n">
        <f aca="false">Assumptions!F90</f>
        <v>2600000000</v>
      </c>
    </row>
    <row r="15" customFormat="false" ht="30" hidden="false" customHeight="true" outlineLevel="0" collapsed="false">
      <c r="A15" s="286" t="s">
        <v>514</v>
      </c>
      <c r="B15" s="287" t="n">
        <f aca="false">Assumptions!B100</f>
        <v>6000000</v>
      </c>
      <c r="C15" s="287" t="n">
        <f aca="false">Assumptions!C100</f>
        <v>7500000</v>
      </c>
      <c r="D15" s="287" t="n">
        <f aca="false">Assumptions!D100</f>
        <v>21000000</v>
      </c>
      <c r="E15" s="287" t="n">
        <f aca="false">Assumptions!E100</f>
        <v>40500000</v>
      </c>
      <c r="F15" s="287" t="n">
        <f aca="false">Assumptions!F100</f>
        <v>75000000</v>
      </c>
    </row>
    <row r="16" customFormat="false" ht="15" hidden="false" customHeight="true" outlineLevel="0" collapsed="false">
      <c r="A16" s="286" t="s">
        <v>515</v>
      </c>
      <c r="B16" s="287" t="n">
        <f aca="false">SUM(B14:B15)</f>
        <v>6000000</v>
      </c>
      <c r="C16" s="287" t="n">
        <f aca="false">SUM(C14:C15)</f>
        <v>377500000</v>
      </c>
      <c r="D16" s="287" t="n">
        <f aca="false">SUM(D14:D15)</f>
        <v>706000000</v>
      </c>
      <c r="E16" s="287" t="n">
        <f aca="false">SUM(E14:E15)</f>
        <v>1375500000</v>
      </c>
      <c r="F16" s="287" t="n">
        <f aca="false">SUM(F14:F15)</f>
        <v>2675000000</v>
      </c>
    </row>
    <row r="17" customFormat="false" ht="15" hidden="false" customHeight="true" outlineLevel="0" collapsed="false">
      <c r="A17" s="289"/>
      <c r="B17" s="290"/>
      <c r="C17" s="290"/>
      <c r="D17" s="290"/>
      <c r="E17" s="290"/>
      <c r="F17" s="290"/>
    </row>
    <row r="18" customFormat="false" ht="21.75" hidden="false" customHeight="true" outlineLevel="0" collapsed="false">
      <c r="A18" s="291" t="s">
        <v>516</v>
      </c>
      <c r="B18" s="291"/>
      <c r="C18" s="291"/>
      <c r="D18" s="291"/>
      <c r="E18" s="291"/>
      <c r="F18" s="291"/>
    </row>
    <row r="19" customFormat="false" ht="15" hidden="false" customHeight="true" outlineLevel="0" collapsed="false">
      <c r="A19" s="286" t="s">
        <v>218</v>
      </c>
      <c r="B19" s="287" t="n">
        <f aca="false">Assumptions!B91</f>
        <v>30000000</v>
      </c>
      <c r="C19" s="287" t="n">
        <f aca="false">Assumptions!C91</f>
        <v>75000000</v>
      </c>
      <c r="D19" s="287" t="n">
        <f aca="false">Assumptions!D91</f>
        <v>75000000</v>
      </c>
      <c r="E19" s="287" t="n">
        <f aca="false">Assumptions!E91</f>
        <v>75000000</v>
      </c>
      <c r="F19" s="287" t="n">
        <f aca="false">Assumptions!F91</f>
        <v>75000000</v>
      </c>
    </row>
    <row r="20" customFormat="false" ht="31.5" hidden="false" customHeight="true" outlineLevel="0" collapsed="false">
      <c r="A20" s="286" t="s">
        <v>517</v>
      </c>
      <c r="B20" s="287" t="n">
        <f aca="false">Assumptions!B93</f>
        <v>0</v>
      </c>
      <c r="C20" s="287" t="n">
        <f aca="false">Assumptions!C93</f>
        <v>462680.803677499</v>
      </c>
      <c r="D20" s="287" t="n">
        <f aca="false">Assumptions!D93</f>
        <v>4300246.3851805</v>
      </c>
      <c r="E20" s="287" t="n">
        <f aca="false">Assumptions!E93</f>
        <v>12297288.1124179</v>
      </c>
      <c r="F20" s="287" t="n">
        <f aca="false">Assumptions!F93</f>
        <v>26785287.0844617</v>
      </c>
    </row>
    <row r="21" customFormat="false" ht="15" hidden="false" customHeight="true" outlineLevel="0" collapsed="false">
      <c r="A21" s="286" t="s">
        <v>518</v>
      </c>
      <c r="B21" s="287" t="n">
        <f aca="false">Assumptions!B92-B20</f>
        <v>-8166870.7627</v>
      </c>
      <c r="C21" s="287" t="n">
        <f aca="false">Assumptions!C92-C20</f>
        <v>624064.507172481</v>
      </c>
      <c r="D21" s="287" t="n">
        <f aca="false">Assumptions!D92-D20</f>
        <v>73537810.5557294</v>
      </c>
      <c r="E21" s="287" t="n">
        <f aca="false">Assumptions!E92-E20</f>
        <v>225481603.37324</v>
      </c>
      <c r="F21" s="287" t="n">
        <f aca="false">Assumptions!F92-F20</f>
        <v>500753583.842072</v>
      </c>
    </row>
    <row r="22" customFormat="false" ht="15" hidden="false" customHeight="true" outlineLevel="0" collapsed="false">
      <c r="A22" s="286" t="s">
        <v>519</v>
      </c>
      <c r="B22" s="287" t="n">
        <f aca="false">SUM(B19:B21)</f>
        <v>21833129.2373</v>
      </c>
      <c r="C22" s="287" t="n">
        <f aca="false">SUM(C19:C21)</f>
        <v>76086745.31085</v>
      </c>
      <c r="D22" s="287" t="n">
        <f aca="false">SUM(D19:D21)</f>
        <v>152838056.94091</v>
      </c>
      <c r="E22" s="287" t="n">
        <f aca="false">SUM(E19:E21)</f>
        <v>312778891.485658</v>
      </c>
      <c r="F22" s="287" t="n">
        <f aca="false">SUM(F19:F21)</f>
        <v>602538870.926534</v>
      </c>
    </row>
    <row r="23" customFormat="false" ht="15" hidden="false" customHeight="true" outlineLevel="0" collapsed="false">
      <c r="A23" s="286" t="s">
        <v>520</v>
      </c>
      <c r="B23" s="287" t="n">
        <f aca="false">B16+B22</f>
        <v>27833129.2373</v>
      </c>
      <c r="C23" s="287" t="n">
        <f aca="false">C16+C22</f>
        <v>453586745.31085</v>
      </c>
      <c r="D23" s="287" t="n">
        <f aca="false">D16+D22</f>
        <v>858838056.94091</v>
      </c>
      <c r="E23" s="287" t="n">
        <f aca="false">E16+E22</f>
        <v>1688278891.48566</v>
      </c>
      <c r="F23" s="287" t="n">
        <f aca="false">F16+F22</f>
        <v>3277538870.92653</v>
      </c>
    </row>
    <row r="24" customFormat="false" ht="15" hidden="false" customHeight="true" outlineLevel="0" collapsed="false">
      <c r="A24" s="286" t="s">
        <v>521</v>
      </c>
      <c r="B24" s="296" t="n">
        <f aca="false">B23-B11</f>
        <v>0</v>
      </c>
      <c r="C24" s="296" t="n">
        <f aca="false">C23-C11</f>
        <v>0</v>
      </c>
      <c r="D24" s="296" t="n">
        <f aca="false">D23-D11</f>
        <v>0</v>
      </c>
      <c r="E24" s="296" t="n">
        <f aca="false">E23-E11</f>
        <v>0</v>
      </c>
      <c r="F24" s="296" t="n">
        <f aca="false">F23-F11</f>
        <v>0</v>
      </c>
    </row>
    <row r="25" customFormat="false" ht="15" hidden="false" customHeight="true" outlineLevel="0" collapsed="false"/>
    <row r="26" customFormat="false" ht="15" hidden="false" customHeight="true" outlineLevel="0" collapsed="false"/>
  </sheetData>
  <mergeCells count="4">
    <mergeCell ref="A1:F1"/>
    <mergeCell ref="A4:F4"/>
    <mergeCell ref="A13:F13"/>
    <mergeCell ref="A18:F18"/>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8"/>
    <col collapsed="false" customWidth="true" hidden="false" outlineLevel="0" max="6" min="2" style="1" width="19"/>
    <col collapsed="false" customWidth="true" hidden="false" outlineLevel="0" max="8" min="7" style="1" width="16"/>
    <col collapsed="false" customWidth="true" hidden="false" outlineLevel="0" max="26" min="9" style="1" width="14"/>
  </cols>
  <sheetData>
    <row r="1" customFormat="false" ht="30.75" hidden="false" customHeight="true" outlineLevel="0" collapsed="false">
      <c r="A1" s="283" t="s">
        <v>522</v>
      </c>
      <c r="B1" s="283"/>
      <c r="C1" s="283"/>
      <c r="D1" s="283"/>
      <c r="E1" s="283"/>
      <c r="F1" s="283"/>
    </row>
    <row r="2" customFormat="false" ht="15" hidden="false" customHeight="true" outlineLevel="0" collapsed="false"/>
    <row r="3" customFormat="false" ht="15" hidden="false" customHeight="true" outlineLevel="0" collapsed="false">
      <c r="A3" s="284" t="s">
        <v>83</v>
      </c>
      <c r="B3" s="284" t="s">
        <v>84</v>
      </c>
      <c r="C3" s="284" t="s">
        <v>85</v>
      </c>
      <c r="D3" s="284" t="s">
        <v>86</v>
      </c>
      <c r="E3" s="284" t="s">
        <v>87</v>
      </c>
      <c r="F3" s="284" t="s">
        <v>88</v>
      </c>
    </row>
    <row r="4" customFormat="false" ht="21.75" hidden="false" customHeight="true" outlineLevel="0" collapsed="false">
      <c r="A4" s="285" t="s">
        <v>523</v>
      </c>
      <c r="B4" s="285"/>
      <c r="C4" s="285"/>
      <c r="D4" s="285"/>
      <c r="E4" s="285"/>
      <c r="F4" s="285"/>
    </row>
    <row r="5" customFormat="false" ht="15" hidden="false" customHeight="true" outlineLevel="0" collapsed="false">
      <c r="A5" s="286" t="s">
        <v>216</v>
      </c>
      <c r="B5" s="287" t="n">
        <f aca="false">'Income Statement'!B23</f>
        <v>-8166870.7627</v>
      </c>
      <c r="C5" s="287" t="n">
        <f aca="false">'Income Statement'!C23</f>
        <v>9253616.07354998</v>
      </c>
      <c r="D5" s="287" t="n">
        <f aca="false">'Income Statement'!D23</f>
        <v>76751311.63006</v>
      </c>
      <c r="E5" s="287" t="n">
        <f aca="false">'Income Statement'!E23</f>
        <v>159940834.544748</v>
      </c>
      <c r="F5" s="287" t="n">
        <f aca="false">'Income Statement'!F23</f>
        <v>289759979.440876</v>
      </c>
    </row>
    <row r="6" customFormat="false" ht="15" hidden="false" customHeight="true" outlineLevel="0" collapsed="false">
      <c r="A6" s="286" t="s">
        <v>215</v>
      </c>
      <c r="B6" s="287" t="n">
        <f aca="false">'Income Statement'!B19</f>
        <v>0</v>
      </c>
      <c r="C6" s="287" t="n">
        <f aca="false">'Income Statement'!C19</f>
        <v>0</v>
      </c>
      <c r="D6" s="287" t="n">
        <f aca="false">'Income Statement'!D19</f>
        <v>1000000</v>
      </c>
      <c r="E6" s="287" t="n">
        <f aca="false">'Income Statement'!E19</f>
        <v>1500000</v>
      </c>
      <c r="F6" s="287" t="n">
        <f aca="false">'Income Statement'!F19</f>
        <v>2000000</v>
      </c>
    </row>
    <row r="7" customFormat="false" ht="15" hidden="false" customHeight="true" outlineLevel="0" collapsed="false">
      <c r="A7" s="286" t="s">
        <v>524</v>
      </c>
      <c r="B7" s="287" t="n">
        <f aca="false">'Balance Sheet'!B7</f>
        <v>620169.1227</v>
      </c>
      <c r="C7" s="287" t="n">
        <f aca="false">'Balance Sheet'!C7-'Balance Sheet'!B7</f>
        <v>12957897.4833</v>
      </c>
      <c r="D7" s="287" t="n">
        <f aca="false">'Balance Sheet'!D7-'Balance Sheet'!C7</f>
        <v>12418773.3576</v>
      </c>
      <c r="E7" s="287" t="n">
        <f aca="false">'Balance Sheet'!E7-'Balance Sheet'!D7</f>
        <v>24026264.01456</v>
      </c>
      <c r="F7" s="287" t="n">
        <f aca="false">'Balance Sheet'!F7-'Balance Sheet'!E7</f>
        <v>43740758.408736</v>
      </c>
    </row>
    <row r="8" customFormat="false" ht="15" hidden="false" customHeight="true" outlineLevel="0" collapsed="false">
      <c r="A8" s="286" t="s">
        <v>525</v>
      </c>
      <c r="B8" s="287" t="n">
        <f aca="false">-'Balance Sheet'!B6</f>
        <v>-20672304.09</v>
      </c>
      <c r="C8" s="287" t="n">
        <f aca="false">-('Balance Sheet'!C6-'Balance Sheet'!B6)</f>
        <v>-431929916.11</v>
      </c>
      <c r="D8" s="287" t="n">
        <f aca="false">-('Balance Sheet'!D6-'Balance Sheet'!C6)</f>
        <v>-413959111.92</v>
      </c>
      <c r="E8" s="287" t="n">
        <f aca="false">-('Balance Sheet'!E6-'Balance Sheet'!D6)</f>
        <v>-800875467.152</v>
      </c>
      <c r="F8" s="287" t="n">
        <f aca="false">-('Balance Sheet'!F6-'Balance Sheet'!E6)</f>
        <v>-1458025280.2912</v>
      </c>
    </row>
    <row r="9" customFormat="false" ht="15" hidden="false" customHeight="true" outlineLevel="0" collapsed="false">
      <c r="A9" s="286" t="s">
        <v>526</v>
      </c>
      <c r="B9" s="287" t="n">
        <f aca="false">'Balance Sheet'!B15</f>
        <v>6000000</v>
      </c>
      <c r="C9" s="287" t="n">
        <f aca="false">'Balance Sheet'!C15-'Balance Sheet'!B15</f>
        <v>1500000</v>
      </c>
      <c r="D9" s="287" t="n">
        <f aca="false">'Balance Sheet'!D15-'Balance Sheet'!C15</f>
        <v>13500000</v>
      </c>
      <c r="E9" s="287" t="n">
        <f aca="false">'Balance Sheet'!E15-'Balance Sheet'!D15</f>
        <v>19500000</v>
      </c>
      <c r="F9" s="287" t="n">
        <f aca="false">'Balance Sheet'!F15-'Balance Sheet'!E15</f>
        <v>34500000</v>
      </c>
    </row>
    <row r="10" customFormat="false" ht="15" hidden="false" customHeight="true" outlineLevel="0" collapsed="false">
      <c r="A10" s="286" t="s">
        <v>446</v>
      </c>
      <c r="B10" s="287" t="n">
        <f aca="false">0</f>
        <v>0</v>
      </c>
      <c r="C10" s="287" t="n">
        <f aca="false">-('Balance Sheet'!C9-'Balance Sheet'!B9)</f>
        <v>-0</v>
      </c>
      <c r="D10" s="287" t="n">
        <f aca="false">-('Balance Sheet'!D9-'Balance Sheet'!C9)</f>
        <v>-0</v>
      </c>
      <c r="E10" s="287" t="n">
        <f aca="false">-('Balance Sheet'!E9-'Balance Sheet'!D9)</f>
        <v>-0</v>
      </c>
      <c r="F10" s="287" t="n">
        <f aca="false">-('Balance Sheet'!F9-'Balance Sheet'!E9)</f>
        <v>-0</v>
      </c>
    </row>
    <row r="11" customFormat="false" ht="15" hidden="false" customHeight="true" outlineLevel="0" collapsed="false">
      <c r="A11" s="286" t="s">
        <v>527</v>
      </c>
      <c r="B11" s="287" t="n">
        <f aca="false">SUM(B5:B10)</f>
        <v>-22219005.73</v>
      </c>
      <c r="C11" s="287" t="n">
        <f aca="false">SUM(C5:C10)</f>
        <v>-408218402.55315</v>
      </c>
      <c r="D11" s="287" t="n">
        <f aca="false">SUM(D5:D10)</f>
        <v>-310289026.93234</v>
      </c>
      <c r="E11" s="287" t="n">
        <f aca="false">SUM(E5:E10)</f>
        <v>-595908368.592692</v>
      </c>
      <c r="F11" s="287" t="n">
        <f aca="false">SUM(F5:F10)</f>
        <v>-1088024542.44159</v>
      </c>
    </row>
    <row r="12" customFormat="false" ht="15" hidden="false" customHeight="true" outlineLevel="0" collapsed="false">
      <c r="A12" s="289"/>
      <c r="B12" s="290"/>
      <c r="C12" s="290"/>
      <c r="D12" s="290"/>
      <c r="E12" s="290"/>
      <c r="F12" s="290"/>
    </row>
    <row r="13" customFormat="false" ht="21.75" hidden="false" customHeight="true" outlineLevel="0" collapsed="false">
      <c r="A13" s="291" t="s">
        <v>528</v>
      </c>
      <c r="B13" s="291"/>
      <c r="C13" s="291"/>
      <c r="D13" s="291"/>
      <c r="E13" s="291"/>
      <c r="F13" s="291"/>
    </row>
    <row r="14" customFormat="false" ht="15" hidden="false" customHeight="true" outlineLevel="0" collapsed="false">
      <c r="A14" s="286" t="s">
        <v>96</v>
      </c>
      <c r="B14" s="287" t="n">
        <f aca="false">-Assumptions!B11</f>
        <v>-4302000</v>
      </c>
      <c r="C14" s="287" t="n">
        <f aca="false">-Assumptions!C11</f>
        <v>-500000</v>
      </c>
      <c r="D14" s="287" t="n">
        <f aca="false">-Assumptions!D11</f>
        <v>-1000000</v>
      </c>
      <c r="E14" s="287" t="n">
        <f aca="false">-Assumptions!E11</f>
        <v>-1500000</v>
      </c>
      <c r="F14" s="287" t="n">
        <f aca="false">-Assumptions!F11</f>
        <v>-2000000</v>
      </c>
    </row>
    <row r="15" customFormat="false" ht="15" hidden="false" customHeight="true" outlineLevel="0" collapsed="false">
      <c r="A15" s="286" t="s">
        <v>529</v>
      </c>
      <c r="B15" s="287" t="n">
        <f aca="false">B14</f>
        <v>-4302000</v>
      </c>
      <c r="C15" s="287" t="n">
        <f aca="false">C14</f>
        <v>-500000</v>
      </c>
      <c r="D15" s="287" t="n">
        <f aca="false">D14</f>
        <v>-1000000</v>
      </c>
      <c r="E15" s="287" t="n">
        <f aca="false">E14</f>
        <v>-1500000</v>
      </c>
      <c r="F15" s="287" t="n">
        <f aca="false">F14</f>
        <v>-2000000</v>
      </c>
    </row>
    <row r="16" customFormat="false" ht="15" hidden="false" customHeight="true" outlineLevel="0" collapsed="false">
      <c r="A16" s="289"/>
      <c r="B16" s="290"/>
      <c r="C16" s="290"/>
      <c r="D16" s="290"/>
      <c r="E16" s="290"/>
      <c r="F16" s="290"/>
    </row>
    <row r="17" customFormat="false" ht="21.75" hidden="false" customHeight="true" outlineLevel="0" collapsed="false">
      <c r="A17" s="291" t="s">
        <v>530</v>
      </c>
      <c r="B17" s="291"/>
      <c r="C17" s="291"/>
      <c r="D17" s="291"/>
      <c r="E17" s="291"/>
      <c r="F17" s="291"/>
    </row>
    <row r="18" customFormat="false" ht="30" hidden="false" customHeight="true" outlineLevel="0" collapsed="false">
      <c r="A18" s="286" t="s">
        <v>531</v>
      </c>
      <c r="B18" s="287" t="n">
        <f aca="false">Assumptions!B90</f>
        <v>0</v>
      </c>
      <c r="C18" s="287" t="n">
        <f aca="false">Assumptions!C90-Assumptions!B90</f>
        <v>370000000</v>
      </c>
      <c r="D18" s="287" t="n">
        <f aca="false">Assumptions!D90-Assumptions!C90</f>
        <v>315000000</v>
      </c>
      <c r="E18" s="287" t="n">
        <f aca="false">Assumptions!E90-Assumptions!D90</f>
        <v>650000000</v>
      </c>
      <c r="F18" s="287" t="n">
        <f aca="false">Assumptions!F90-Assumptions!E90</f>
        <v>1265000000</v>
      </c>
    </row>
    <row r="19" customFormat="false" ht="30" hidden="false" customHeight="true" outlineLevel="0" collapsed="false">
      <c r="A19" s="286" t="s">
        <v>532</v>
      </c>
      <c r="B19" s="287" t="n">
        <f aca="false">15000000</f>
        <v>15000000</v>
      </c>
      <c r="C19" s="287" t="n">
        <f aca="false">'Balance Sheet'!C19-'Balance Sheet'!B19</f>
        <v>45000000</v>
      </c>
      <c r="D19" s="287" t="n">
        <f aca="false">'Balance Sheet'!D19-'Balance Sheet'!C19</f>
        <v>0</v>
      </c>
      <c r="E19" s="287" t="n">
        <f aca="false">'Balance Sheet'!E19-'Balance Sheet'!D19</f>
        <v>0</v>
      </c>
      <c r="F19" s="287" t="n">
        <f aca="false">'Balance Sheet'!F19-'Balance Sheet'!E19</f>
        <v>0</v>
      </c>
    </row>
    <row r="20" customFormat="false" ht="30" hidden="false" customHeight="true" outlineLevel="0" collapsed="false">
      <c r="A20" s="286" t="s">
        <v>533</v>
      </c>
      <c r="B20" s="287" t="n">
        <f aca="false">0</f>
        <v>0</v>
      </c>
      <c r="C20" s="287" t="n">
        <f aca="false">0</f>
        <v>0</v>
      </c>
      <c r="D20" s="287" t="n">
        <f aca="false">0</f>
        <v>0</v>
      </c>
      <c r="E20" s="287" t="n">
        <f aca="false">0</f>
        <v>0</v>
      </c>
      <c r="F20" s="287" t="n">
        <f aca="false">0</f>
        <v>0</v>
      </c>
    </row>
    <row r="21" customFormat="false" ht="15" hidden="false" customHeight="true" outlineLevel="0" collapsed="false">
      <c r="A21" s="286" t="s">
        <v>534</v>
      </c>
      <c r="B21" s="287" t="n">
        <f aca="false">SUM(B18:B20)</f>
        <v>15000000</v>
      </c>
      <c r="C21" s="287" t="n">
        <f aca="false">SUM(C18:C20)</f>
        <v>415000000</v>
      </c>
      <c r="D21" s="287" t="n">
        <f aca="false">SUM(D18:D20)</f>
        <v>315000000</v>
      </c>
      <c r="E21" s="287" t="n">
        <f aca="false">SUM(E18:E20)</f>
        <v>650000000</v>
      </c>
      <c r="F21" s="287" t="n">
        <f aca="false">SUM(F18:F20)</f>
        <v>1265000000</v>
      </c>
    </row>
    <row r="22" customFormat="false" ht="15" hidden="false" customHeight="true" outlineLevel="0" collapsed="false">
      <c r="A22" s="286"/>
      <c r="B22" s="287"/>
      <c r="C22" s="287"/>
      <c r="D22" s="287"/>
      <c r="E22" s="287"/>
      <c r="F22" s="287"/>
    </row>
    <row r="23" customFormat="false" ht="33.75" hidden="false" customHeight="true" outlineLevel="0" collapsed="false">
      <c r="A23" s="286" t="s">
        <v>454</v>
      </c>
      <c r="B23" s="287" t="n">
        <f aca="false">B11+B15+B21</f>
        <v>-11521005.73</v>
      </c>
      <c r="C23" s="287" t="n">
        <f aca="false">C11+C15+C21</f>
        <v>6281597.44684994</v>
      </c>
      <c r="D23" s="287" t="n">
        <f aca="false">D11+D15+D21</f>
        <v>3710973.06765991</v>
      </c>
      <c r="E23" s="287" t="n">
        <f aca="false">E11+E15+E21</f>
        <v>52591631.4073081</v>
      </c>
      <c r="F23" s="287" t="n">
        <f aca="false">F11+F15+F21</f>
        <v>174975457.558412</v>
      </c>
    </row>
    <row r="24" customFormat="false" ht="15" hidden="false" customHeight="true" outlineLevel="0" collapsed="false">
      <c r="A24" s="286" t="s">
        <v>535</v>
      </c>
      <c r="B24" s="287" t="n">
        <f aca="false">14741923.72</f>
        <v>14741923.72</v>
      </c>
      <c r="C24" s="287" t="n">
        <f aca="false">B25</f>
        <v>3220917.99</v>
      </c>
      <c r="D24" s="287" t="n">
        <f aca="false">C25</f>
        <v>9502515.43684994</v>
      </c>
      <c r="E24" s="287" t="n">
        <f aca="false">D25</f>
        <v>13213488.5045099</v>
      </c>
      <c r="F24" s="287" t="n">
        <f aca="false">E25</f>
        <v>65805119.911818</v>
      </c>
    </row>
    <row r="25" customFormat="false" ht="15" hidden="false" customHeight="true" outlineLevel="0" collapsed="false">
      <c r="A25" s="286" t="s">
        <v>536</v>
      </c>
      <c r="B25" s="287" t="n">
        <f aca="false">B24+B23</f>
        <v>3220917.99</v>
      </c>
      <c r="C25" s="287" t="n">
        <f aca="false">C24+C23</f>
        <v>9502515.43684994</v>
      </c>
      <c r="D25" s="287" t="n">
        <f aca="false">D24+D23</f>
        <v>13213488.5045099</v>
      </c>
      <c r="E25" s="287" t="n">
        <f aca="false">E24+E23</f>
        <v>65805119.911818</v>
      </c>
      <c r="F25" s="287" t="n">
        <f aca="false">F24+F23</f>
        <v>240780577.47023</v>
      </c>
    </row>
    <row r="26" customFormat="false" ht="15" hidden="false" customHeight="true" outlineLevel="0" collapsed="false">
      <c r="A26" s="286" t="s">
        <v>537</v>
      </c>
      <c r="B26" s="296" t="n">
        <f aca="false">B25-'Balance Sheet'!B5</f>
        <v>0</v>
      </c>
      <c r="C26" s="296" t="n">
        <f aca="false">C25-'Balance Sheet'!C5</f>
        <v>0</v>
      </c>
      <c r="D26" s="296" t="n">
        <f aca="false">D25-'Balance Sheet'!D5</f>
        <v>0</v>
      </c>
      <c r="E26" s="296" t="n">
        <f aca="false">E25-'Balance Sheet'!E5</f>
        <v>0</v>
      </c>
      <c r="F26" s="296" t="n">
        <f aca="false">F25-'Balance Sheet'!F5</f>
        <v>0</v>
      </c>
    </row>
    <row r="27" customFormat="false" ht="15" hidden="false" customHeight="true" outlineLevel="0" collapsed="false">
      <c r="A27" s="70" t="s">
        <v>449</v>
      </c>
      <c r="B27" s="297" t="n">
        <f aca="false">Assumptions!B101</f>
        <v>0</v>
      </c>
      <c r="C27" s="297" t="n">
        <f aca="false">Assumptions!C101</f>
        <v>420000000</v>
      </c>
      <c r="D27" s="297" t="n">
        <f aca="false">Assumptions!D101</f>
        <v>850000000</v>
      </c>
      <c r="E27" s="297" t="n">
        <f aca="false">Assumptions!E101</f>
        <v>1600000000</v>
      </c>
      <c r="F27" s="297" t="n">
        <f aca="false">Assumptions!F101</f>
        <v>3000000000</v>
      </c>
    </row>
    <row r="28" customFormat="false" ht="15" hidden="false" customHeight="true" outlineLevel="0" collapsed="false">
      <c r="A28" s="70" t="s">
        <v>538</v>
      </c>
      <c r="B28" s="297" t="n">
        <f aca="false">'Funding &amp; Liquidity'!B12</f>
        <v>0</v>
      </c>
      <c r="C28" s="297" t="n">
        <f aca="false">'Funding &amp; Liquidity'!C12</f>
        <v>71677562.91</v>
      </c>
      <c r="D28" s="297" t="n">
        <f aca="false">'Funding &amp; Liquidity'!D12</f>
        <v>292500000</v>
      </c>
      <c r="E28" s="297" t="n">
        <f aca="false">'Funding &amp; Liquidity'!E12</f>
        <v>615000000</v>
      </c>
      <c r="F28" s="297" t="n">
        <f aca="false">'Funding &amp; Liquidity'!F12</f>
        <v>1162500000</v>
      </c>
    </row>
    <row r="29" customFormat="false" ht="39.75" hidden="false" customHeight="true" outlineLevel="0" collapsed="false">
      <c r="A29" s="298" t="s">
        <v>539</v>
      </c>
      <c r="B29" s="298"/>
      <c r="C29" s="298"/>
      <c r="D29" s="298"/>
      <c r="E29" s="298"/>
      <c r="F29" s="298"/>
    </row>
  </sheetData>
  <mergeCells count="5">
    <mergeCell ref="A1:F1"/>
    <mergeCell ref="A4:F4"/>
    <mergeCell ref="A13:F13"/>
    <mergeCell ref="A17:F17"/>
    <mergeCell ref="A29:F29"/>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8"/>
    <col collapsed="false" customWidth="true" hidden="false" outlineLevel="0" max="8" min="2" style="1" width="16"/>
    <col collapsed="false" customWidth="true" hidden="false" outlineLevel="0" max="26" min="9" style="1" width="14"/>
  </cols>
  <sheetData>
    <row r="1" customFormat="false" ht="30.75" hidden="false" customHeight="true" outlineLevel="0" collapsed="false">
      <c r="A1" s="283" t="s">
        <v>540</v>
      </c>
      <c r="B1" s="283"/>
      <c r="C1" s="283"/>
      <c r="D1" s="283"/>
      <c r="E1" s="283"/>
      <c r="F1" s="283"/>
    </row>
    <row r="2" customFormat="false" ht="15" hidden="false" customHeight="true" outlineLevel="0" collapsed="false"/>
    <row r="3" customFormat="false" ht="15" hidden="false" customHeight="true" outlineLevel="0" collapsed="false">
      <c r="A3" s="284" t="s">
        <v>83</v>
      </c>
      <c r="B3" s="284" t="s">
        <v>84</v>
      </c>
      <c r="C3" s="284" t="s">
        <v>85</v>
      </c>
      <c r="D3" s="284" t="s">
        <v>86</v>
      </c>
      <c r="E3" s="284" t="s">
        <v>87</v>
      </c>
      <c r="F3" s="284" t="s">
        <v>88</v>
      </c>
    </row>
    <row r="4" customFormat="false" ht="15" hidden="false" customHeight="true" outlineLevel="0" collapsed="false">
      <c r="A4" s="290" t="s">
        <v>541</v>
      </c>
      <c r="B4" s="290" t="n">
        <v>2300000</v>
      </c>
      <c r="C4" s="290" t="n">
        <v>200000</v>
      </c>
      <c r="D4" s="290" t="n">
        <v>400000</v>
      </c>
      <c r="E4" s="290" t="n">
        <v>550000</v>
      </c>
      <c r="F4" s="290" t="n">
        <v>700000</v>
      </c>
    </row>
    <row r="5" customFormat="false" ht="15" hidden="false" customHeight="true" outlineLevel="0" collapsed="false">
      <c r="A5" s="290" t="s">
        <v>542</v>
      </c>
      <c r="B5" s="290" t="n">
        <v>600000</v>
      </c>
      <c r="C5" s="290" t="n">
        <v>100000</v>
      </c>
      <c r="D5" s="290" t="n">
        <v>150000</v>
      </c>
      <c r="E5" s="290" t="n">
        <v>200000</v>
      </c>
      <c r="F5" s="290" t="n">
        <v>250000</v>
      </c>
    </row>
    <row r="6" customFormat="false" ht="15" hidden="false" customHeight="true" outlineLevel="0" collapsed="false">
      <c r="A6" s="290" t="s">
        <v>543</v>
      </c>
      <c r="B6" s="290" t="n">
        <v>702000</v>
      </c>
      <c r="C6" s="290" t="n">
        <v>50000</v>
      </c>
      <c r="D6" s="290" t="n">
        <v>100000</v>
      </c>
      <c r="E6" s="290" t="n">
        <v>150000</v>
      </c>
      <c r="F6" s="290" t="n">
        <v>200000</v>
      </c>
    </row>
    <row r="7" customFormat="false" ht="15" hidden="false" customHeight="true" outlineLevel="0" collapsed="false">
      <c r="A7" s="290" t="s">
        <v>544</v>
      </c>
      <c r="B7" s="290" t="n">
        <v>500000</v>
      </c>
      <c r="C7" s="290" t="n">
        <v>50000</v>
      </c>
      <c r="D7" s="290" t="n">
        <v>200000</v>
      </c>
      <c r="E7" s="290" t="n">
        <v>400000</v>
      </c>
      <c r="F7" s="290" t="n">
        <v>650000</v>
      </c>
    </row>
    <row r="8" customFormat="false" ht="15" hidden="false" customHeight="true" outlineLevel="0" collapsed="false">
      <c r="A8" s="290" t="s">
        <v>545</v>
      </c>
      <c r="B8" s="290" t="n">
        <v>200000</v>
      </c>
      <c r="C8" s="290" t="n">
        <v>100000</v>
      </c>
      <c r="D8" s="290" t="n">
        <v>150000</v>
      </c>
      <c r="E8" s="290" t="n">
        <v>200000</v>
      </c>
      <c r="F8" s="290" t="n">
        <v>200000</v>
      </c>
    </row>
    <row r="9" customFormat="false" ht="15" hidden="false" customHeight="true" outlineLevel="0" collapsed="false">
      <c r="A9" s="290" t="s">
        <v>402</v>
      </c>
      <c r="B9" s="290" t="n">
        <v>0</v>
      </c>
      <c r="C9" s="290" t="n">
        <v>0</v>
      </c>
      <c r="D9" s="290" t="n">
        <v>0</v>
      </c>
      <c r="E9" s="290" t="n">
        <v>0</v>
      </c>
      <c r="F9" s="290" t="n">
        <v>0</v>
      </c>
    </row>
    <row r="10" customFormat="false" ht="15" hidden="false" customHeight="true" outlineLevel="0" collapsed="false">
      <c r="A10" s="290" t="s">
        <v>546</v>
      </c>
      <c r="B10" s="290" t="n">
        <f aca="false">SUM(B4:B9)</f>
        <v>4302000</v>
      </c>
      <c r="C10" s="290" t="n">
        <f aca="false">SUM(C4:C9)</f>
        <v>500000</v>
      </c>
      <c r="D10" s="290" t="n">
        <f aca="false">SUM(D4:D9)</f>
        <v>1000000</v>
      </c>
      <c r="E10" s="290" t="n">
        <f aca="false">SUM(E4:E9)</f>
        <v>1500000</v>
      </c>
      <c r="F10" s="290" t="n">
        <f aca="false">SUM(F4:F9)</f>
        <v>2000000</v>
      </c>
    </row>
    <row r="11" customFormat="false" ht="15" hidden="false" customHeight="true" outlineLevel="0" collapsed="false"/>
    <row r="12" customFormat="false" ht="37.5" hidden="false" customHeight="true" outlineLevel="0" collapsed="false">
      <c r="A12" s="61" t="s">
        <v>547</v>
      </c>
      <c r="B12" s="61"/>
      <c r="C12" s="61"/>
      <c r="D12" s="61"/>
      <c r="E12" s="61"/>
      <c r="F12" s="61"/>
    </row>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21.7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sheetData>
  <mergeCells count="2">
    <mergeCell ref="A1:F1"/>
    <mergeCell ref="A12:F12"/>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38"/>
    <col collapsed="false" customWidth="true" hidden="false" outlineLevel="0" max="2" min="2" style="1" width="18"/>
    <col collapsed="false" customWidth="true" hidden="false" outlineLevel="0" max="7" min="3" style="1" width="22"/>
    <col collapsed="false" customWidth="true" hidden="false" outlineLevel="0" max="8" min="8" style="1" width="16"/>
    <col collapsed="false" customWidth="true" hidden="false" outlineLevel="0" max="26" min="9" style="1" width="14"/>
  </cols>
  <sheetData>
    <row r="1" customFormat="false" ht="30.75" hidden="false" customHeight="true" outlineLevel="0" collapsed="false">
      <c r="A1" s="283" t="s">
        <v>548</v>
      </c>
      <c r="B1" s="283"/>
      <c r="C1" s="283"/>
      <c r="D1" s="283"/>
      <c r="E1" s="283"/>
      <c r="F1" s="283"/>
      <c r="G1" s="283"/>
    </row>
    <row r="2" customFormat="false" ht="15" hidden="false" customHeight="true" outlineLevel="0" collapsed="false"/>
    <row r="3" customFormat="false" ht="15" hidden="false" customHeight="true" outlineLevel="0" collapsed="false">
      <c r="A3" s="299" t="s">
        <v>83</v>
      </c>
      <c r="B3" s="299" t="s">
        <v>549</v>
      </c>
      <c r="C3" s="299" t="s">
        <v>84</v>
      </c>
      <c r="D3" s="299" t="s">
        <v>85</v>
      </c>
      <c r="E3" s="299" t="s">
        <v>86</v>
      </c>
      <c r="F3" s="299" t="s">
        <v>87</v>
      </c>
      <c r="G3" s="299" t="s">
        <v>88</v>
      </c>
    </row>
    <row r="4" customFormat="false" ht="15" hidden="false" customHeight="true" outlineLevel="0" collapsed="false">
      <c r="A4" s="286" t="s">
        <v>550</v>
      </c>
      <c r="B4" s="287" t="n">
        <v>-15258076.28</v>
      </c>
      <c r="C4" s="287" t="n">
        <v>-15000000</v>
      </c>
      <c r="D4" s="287" t="n">
        <v>-45000000</v>
      </c>
      <c r="E4" s="287" t="n">
        <v>0</v>
      </c>
      <c r="F4" s="287" t="n">
        <v>0</v>
      </c>
      <c r="G4" s="287" t="n">
        <v>0</v>
      </c>
    </row>
    <row r="5" customFormat="false" ht="15" hidden="false" customHeight="true" outlineLevel="0" collapsed="false">
      <c r="A5" s="286" t="s">
        <v>533</v>
      </c>
      <c r="B5" s="287" t="n">
        <v>0</v>
      </c>
      <c r="C5" s="287" t="n">
        <v>0</v>
      </c>
      <c r="D5" s="287" t="n">
        <v>0</v>
      </c>
      <c r="E5" s="287" t="n">
        <v>0</v>
      </c>
      <c r="F5" s="287" t="n">
        <v>0</v>
      </c>
      <c r="G5" s="287" t="n">
        <v>0</v>
      </c>
    </row>
    <row r="6" customFormat="false" ht="15" hidden="false" customHeight="true" outlineLevel="0" collapsed="false">
      <c r="A6" s="286" t="s">
        <v>551</v>
      </c>
      <c r="B6" s="287" t="n">
        <v>0</v>
      </c>
      <c r="C6" s="287" t="n">
        <v>0</v>
      </c>
      <c r="D6" s="287" t="n">
        <v>0</v>
      </c>
      <c r="E6" s="287" t="n">
        <v>0</v>
      </c>
      <c r="F6" s="287" t="n">
        <v>0</v>
      </c>
      <c r="G6" s="287" t="n">
        <f aca="false">'Income Statement'!F23*Assumptions!$B$40</f>
        <v>2318079835.52701</v>
      </c>
    </row>
    <row r="7" customFormat="false" ht="15" hidden="false" customHeight="true" outlineLevel="0" collapsed="false">
      <c r="A7" s="286" t="s">
        <v>552</v>
      </c>
      <c r="B7" s="287" t="n">
        <f aca="false">B4+B5+B6</f>
        <v>-15258076.28</v>
      </c>
      <c r="C7" s="287" t="n">
        <f aca="false">C4+C5+C6</f>
        <v>-15000000</v>
      </c>
      <c r="D7" s="287" t="n">
        <f aca="false">D4+D5+D6</f>
        <v>-45000000</v>
      </c>
      <c r="E7" s="287" t="n">
        <f aca="false">E4+E5+E6</f>
        <v>0</v>
      </c>
      <c r="F7" s="287" t="n">
        <f aca="false">F4+F5+F6</f>
        <v>0</v>
      </c>
      <c r="G7" s="287" t="n">
        <f aca="false">G4+G5+G6</f>
        <v>2318079835.52701</v>
      </c>
    </row>
    <row r="8" customFormat="false" ht="15" hidden="false" customHeight="true" outlineLevel="0" collapsed="false">
      <c r="A8" s="286" t="s">
        <v>553</v>
      </c>
      <c r="B8" s="287" t="n">
        <f aca="false">1</f>
        <v>1</v>
      </c>
      <c r="C8" s="287" t="n">
        <f aca="false">1/(1+$B$22)^1</f>
        <v>0.8</v>
      </c>
      <c r="D8" s="287" t="n">
        <f aca="false">1/(1+$B$22)^2</f>
        <v>0.64</v>
      </c>
      <c r="E8" s="287" t="n">
        <f aca="false">1/(1+$B$22)^3</f>
        <v>0.512</v>
      </c>
      <c r="F8" s="287" t="n">
        <f aca="false">1/(1+$B$22)^4</f>
        <v>0.4096</v>
      </c>
      <c r="G8" s="287" t="n">
        <f aca="false">1/(1+$B$22)^5</f>
        <v>0.32768</v>
      </c>
    </row>
    <row r="9" customFormat="false" ht="15" hidden="false" customHeight="true" outlineLevel="0" collapsed="false">
      <c r="A9" s="286" t="s">
        <v>554</v>
      </c>
      <c r="B9" s="287" t="n">
        <f aca="false">B7*B8</f>
        <v>-15258076.28</v>
      </c>
      <c r="C9" s="287" t="n">
        <f aca="false">C7*C8</f>
        <v>-12000000</v>
      </c>
      <c r="D9" s="287" t="n">
        <f aca="false">D7*D8</f>
        <v>-28800000</v>
      </c>
      <c r="E9" s="287" t="n">
        <f aca="false">E7*E8</f>
        <v>0</v>
      </c>
      <c r="F9" s="287" t="n">
        <f aca="false">F7*F8</f>
        <v>0</v>
      </c>
      <c r="G9" s="287" t="n">
        <f aca="false">G7*G8</f>
        <v>759588400.50549</v>
      </c>
    </row>
    <row r="10" customFormat="false" ht="15" hidden="false" customHeight="true" outlineLevel="0" collapsed="false">
      <c r="A10" s="286" t="s">
        <v>555</v>
      </c>
      <c r="B10" s="287" t="n">
        <f aca="false">B9</f>
        <v>-15258076.28</v>
      </c>
      <c r="C10" s="287" t="n">
        <f aca="false">B10+C9</f>
        <v>-27258076.28</v>
      </c>
      <c r="D10" s="287" t="n">
        <f aca="false">C10+D9</f>
        <v>-56058076.28</v>
      </c>
      <c r="E10" s="287" t="n">
        <f aca="false">D10+E9</f>
        <v>-56058076.28</v>
      </c>
      <c r="F10" s="287" t="n">
        <f aca="false">E10+F9</f>
        <v>-56058076.28</v>
      </c>
      <c r="G10" s="287" t="n">
        <f aca="false">F10+G9</f>
        <v>703530324.22549</v>
      </c>
    </row>
    <row r="11" customFormat="false" ht="15" hidden="false" customHeight="true" outlineLevel="0" collapsed="false">
      <c r="A11" s="289"/>
      <c r="B11" s="289"/>
      <c r="C11" s="289"/>
      <c r="D11" s="289"/>
      <c r="E11" s="289"/>
      <c r="F11" s="289"/>
      <c r="G11" s="289"/>
    </row>
    <row r="12" customFormat="false" ht="15" hidden="false" customHeight="true" outlineLevel="0" collapsed="false">
      <c r="A12" s="291" t="s">
        <v>556</v>
      </c>
      <c r="B12" s="291"/>
      <c r="C12" s="291"/>
      <c r="D12" s="291"/>
      <c r="E12" s="291"/>
      <c r="F12" s="291"/>
      <c r="G12" s="291"/>
    </row>
    <row r="13" customFormat="false" ht="21.75" hidden="false" customHeight="true" outlineLevel="0" collapsed="false">
      <c r="A13" s="286" t="s">
        <v>557</v>
      </c>
      <c r="B13" s="287" t="n">
        <f aca="false">SUM(B9:G9)</f>
        <v>703530324.22549</v>
      </c>
      <c r="C13" s="289"/>
      <c r="D13" s="289"/>
      <c r="E13" s="289"/>
      <c r="F13" s="289"/>
      <c r="G13" s="289"/>
    </row>
    <row r="14" customFormat="false" ht="15" hidden="false" customHeight="true" outlineLevel="0" collapsed="false">
      <c r="A14" s="286" t="s">
        <v>558</v>
      </c>
      <c r="B14" s="292" t="n">
        <f aca="false">IRR(B7:G7)</f>
        <v>1.39597523906409</v>
      </c>
      <c r="C14" s="289"/>
      <c r="D14" s="289"/>
      <c r="E14" s="289"/>
      <c r="F14" s="289"/>
      <c r="G14" s="289"/>
    </row>
    <row r="15" customFormat="false" ht="15" hidden="false" customHeight="true" outlineLevel="0" collapsed="false">
      <c r="A15" s="286" t="s">
        <v>559</v>
      </c>
      <c r="B15" s="300" t="n">
        <f aca="false">IF(B7&gt;=0,0,IF(SUM(B7:C7)&gt;=0,ABS(B7)/C7,IF(SUM(B7:D7)&gt;=0,1+ABS(SUM(B7:C7))/D7,IF(SUM(B7:E7)&gt;=0,2+ABS(SUM(B7:D7))/E7,IF(SUM(B7:F7)&gt;=0,3+ABS(SUM(B7:E7))/F7,IF(SUM(B7:G7)&gt;=0,4+ABS(SUM(B7:F7))/G7,"غير مسترد"))))))</f>
        <v>4.03246569644694</v>
      </c>
      <c r="C15" s="289"/>
      <c r="D15" s="289"/>
      <c r="E15" s="289"/>
      <c r="F15" s="289"/>
      <c r="G15" s="289"/>
    </row>
    <row r="16" customFormat="false" ht="15" hidden="false" customHeight="true" outlineLevel="0" collapsed="false">
      <c r="A16" s="286" t="s">
        <v>560</v>
      </c>
      <c r="B16" s="300" t="n">
        <f aca="false">IF(B9&gt;=0,0,IF(SUM(B9:C9)&gt;=0,ABS(B9)/C9,IF(SUM(B9:D9)&gt;=0,1+ABS(SUM(B9:C9))/D9,IF(SUM(B9:E9)&gt;=0,2+ABS(SUM(B9:D9))/E9,IF(SUM(B9:F9)&gt;=0,3+ABS(SUM(B9:E9))/F9,IF(SUM(B9:G9)&gt;=0,4+ABS(SUM(B9:F9))/G9,"غير مسترد"))))))</f>
        <v>4.07380059548394</v>
      </c>
      <c r="C16" s="289"/>
      <c r="D16" s="289"/>
      <c r="E16" s="289"/>
      <c r="F16" s="289"/>
      <c r="G16" s="289"/>
    </row>
    <row r="17" customFormat="false" ht="15" hidden="false" customHeight="true" outlineLevel="0" collapsed="false">
      <c r="A17" s="286" t="s">
        <v>561</v>
      </c>
      <c r="B17" s="292" t="n">
        <f aca="false">IFERROR(AVERAGE('Income Statement'!B23:F23)/AVERAGE('Balance Sheet'!B19:F19),0)</f>
        <v>1.59860263917131</v>
      </c>
      <c r="C17" s="289"/>
      <c r="D17" s="289"/>
      <c r="E17" s="289"/>
      <c r="F17" s="289"/>
      <c r="G17" s="289"/>
    </row>
    <row r="18" customFormat="false" ht="15" hidden="false" customHeight="true" outlineLevel="0" collapsed="false">
      <c r="A18" s="286" t="s">
        <v>562</v>
      </c>
      <c r="B18" s="301" t="n">
        <f aca="false">IFERROR(SUMIF(B9:G9,"&gt;0",B9:G9)/ABS(SUMIF(B9:G9,"&lt;0",B9:G9)),0)</f>
        <v>13.5500261677101</v>
      </c>
      <c r="C18" s="289"/>
      <c r="D18" s="289"/>
      <c r="E18" s="289"/>
      <c r="F18" s="289"/>
      <c r="G18" s="289"/>
    </row>
    <row r="19" customFormat="false" ht="15" hidden="false" customHeight="true" outlineLevel="0" collapsed="false">
      <c r="A19" s="286" t="s">
        <v>563</v>
      </c>
      <c r="B19" s="292" t="n">
        <f aca="false">SUMPRODUCT(Assumptions!B9:F9,'Balance Sheet'!B14:F14)/SUM('Balance Sheet'!B14:F14)*(1-Assumptions!$B$33)</f>
        <v>0.139888276553106</v>
      </c>
      <c r="C19" s="289"/>
      <c r="D19" s="289"/>
      <c r="E19" s="289"/>
      <c r="F19" s="289"/>
      <c r="G19" s="289"/>
    </row>
    <row r="20" customFormat="false" ht="15" hidden="false" customHeight="true" outlineLevel="0" collapsed="false">
      <c r="A20" s="286" t="s">
        <v>564</v>
      </c>
      <c r="B20" s="292" t="n">
        <f aca="false">('Balance Sheet'!F14/('Balance Sheet'!F14+'Balance Sheet'!F22))*Assumptions!F9*(1-Assumptions!$B$33)+('Balance Sheet'!F22/('Balance Sheet'!F14+'Balance Sheet'!F22))*$B$22</f>
        <v>0.153998042680728</v>
      </c>
      <c r="C20" s="289"/>
      <c r="D20" s="289"/>
      <c r="E20" s="289"/>
      <c r="F20" s="289"/>
      <c r="G20" s="289"/>
    </row>
    <row r="21" customFormat="false" ht="15" hidden="false" customHeight="true" outlineLevel="0" collapsed="false">
      <c r="A21" s="286" t="s">
        <v>565</v>
      </c>
      <c r="B21" s="286" t="str">
        <f aca="false">IF(B13&gt;0,"مجد استرشاديا وفق افتراض القيمة النهائية","غير مجد وفق الافتراضات الحالية")</f>
        <v>مجد استرشاديا وفق افتراض القيمة النهائية</v>
      </c>
      <c r="C21" s="289"/>
      <c r="D21" s="289"/>
      <c r="E21" s="289"/>
      <c r="F21" s="289"/>
      <c r="G21" s="289"/>
    </row>
    <row r="22" customFormat="false" ht="15" hidden="false" customHeight="true" outlineLevel="0" collapsed="false">
      <c r="A22" s="286" t="s">
        <v>142</v>
      </c>
      <c r="B22" s="292" t="n">
        <f aca="false">25%</f>
        <v>0.25</v>
      </c>
      <c r="C22" s="289"/>
      <c r="D22" s="289"/>
      <c r="E22" s="289"/>
      <c r="F22" s="289"/>
      <c r="G22" s="289"/>
    </row>
    <row r="23" customFormat="false" ht="15" hidden="false" customHeight="true" outlineLevel="0" collapsed="false">
      <c r="A23" s="289"/>
      <c r="B23" s="289"/>
      <c r="C23" s="289"/>
      <c r="D23" s="289"/>
      <c r="E23" s="289"/>
      <c r="F23" s="289"/>
      <c r="G23" s="289"/>
    </row>
    <row r="24" customFormat="false" ht="15" hidden="false" customHeight="true" outlineLevel="0" collapsed="false">
      <c r="A24" s="291" t="s">
        <v>566</v>
      </c>
      <c r="B24" s="291"/>
      <c r="C24" s="291"/>
      <c r="D24" s="291"/>
      <c r="E24" s="291"/>
      <c r="F24" s="291"/>
      <c r="G24" s="291"/>
    </row>
    <row r="25" customFormat="false" ht="21.75" hidden="false" customHeight="true" outlineLevel="0" collapsed="false">
      <c r="A25" s="302" t="s">
        <v>567</v>
      </c>
      <c r="B25" s="303" t="s">
        <v>568</v>
      </c>
      <c r="C25" s="302" t="s">
        <v>569</v>
      </c>
      <c r="D25" s="302" t="s">
        <v>570</v>
      </c>
      <c r="E25" s="302" t="s">
        <v>571</v>
      </c>
      <c r="F25" s="302" t="s">
        <v>572</v>
      </c>
      <c r="G25" s="302" t="s">
        <v>573</v>
      </c>
    </row>
    <row r="26" customFormat="false" ht="33.75" hidden="false" customHeight="true" outlineLevel="0" collapsed="false">
      <c r="A26" s="304" t="s">
        <v>574</v>
      </c>
      <c r="B26" s="305" t="n">
        <v>600000000</v>
      </c>
      <c r="C26" s="304" t="s">
        <v>575</v>
      </c>
      <c r="D26" s="304" t="s">
        <v>576</v>
      </c>
      <c r="E26" s="304" t="s">
        <v>577</v>
      </c>
      <c r="F26" s="304" t="s">
        <v>578</v>
      </c>
      <c r="G26" s="304" t="s">
        <v>579</v>
      </c>
    </row>
    <row r="27" customFormat="false" ht="33.75" hidden="false" customHeight="true" outlineLevel="0" collapsed="false">
      <c r="A27" s="304" t="s">
        <v>580</v>
      </c>
      <c r="B27" s="305" t="n">
        <v>1200000000</v>
      </c>
      <c r="C27" s="304" t="s">
        <v>581</v>
      </c>
      <c r="D27" s="304" t="s">
        <v>582</v>
      </c>
      <c r="E27" s="304" t="s">
        <v>583</v>
      </c>
      <c r="F27" s="304" t="s">
        <v>584</v>
      </c>
      <c r="G27" s="304" t="s">
        <v>585</v>
      </c>
    </row>
    <row r="28" customFormat="false" ht="33.75" hidden="false" customHeight="true" outlineLevel="0" collapsed="false">
      <c r="A28" s="304" t="s">
        <v>586</v>
      </c>
      <c r="B28" s="305" t="n">
        <v>1000000000</v>
      </c>
      <c r="C28" s="304" t="s">
        <v>587</v>
      </c>
      <c r="D28" s="304" t="s">
        <v>588</v>
      </c>
      <c r="E28" s="304" t="s">
        <v>589</v>
      </c>
      <c r="F28" s="304" t="s">
        <v>590</v>
      </c>
      <c r="G28" s="304" t="s">
        <v>591</v>
      </c>
    </row>
    <row r="29" customFormat="false" ht="33.75" hidden="false" customHeight="true" outlineLevel="0" collapsed="false">
      <c r="A29" s="304" t="s">
        <v>592</v>
      </c>
      <c r="B29" s="305" t="n">
        <v>2800000000</v>
      </c>
      <c r="C29" s="304"/>
      <c r="D29" s="304"/>
      <c r="E29" s="304"/>
      <c r="F29" s="304"/>
      <c r="G29" s="304"/>
    </row>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sheetData>
  <mergeCells count="3">
    <mergeCell ref="A1:G1"/>
    <mergeCell ref="A12:G12"/>
    <mergeCell ref="A24:G24"/>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8"/>
    <col collapsed="false" customWidth="true" hidden="false" outlineLevel="0" max="6" min="2" style="1" width="19"/>
    <col collapsed="false" customWidth="true" hidden="false" outlineLevel="0" max="8" min="7" style="1" width="16"/>
    <col collapsed="false" customWidth="true" hidden="false" outlineLevel="0" max="26" min="9" style="1" width="14"/>
  </cols>
  <sheetData>
    <row r="1" customFormat="false" ht="30.75" hidden="false" customHeight="true" outlineLevel="0" collapsed="false">
      <c r="A1" s="283" t="s">
        <v>593</v>
      </c>
      <c r="B1" s="283"/>
      <c r="C1" s="283"/>
      <c r="D1" s="283"/>
      <c r="E1" s="283"/>
      <c r="F1" s="283"/>
    </row>
    <row r="2" customFormat="false" ht="15" hidden="false" customHeight="true" outlineLevel="0" collapsed="false"/>
    <row r="3" customFormat="false" ht="15" hidden="false" customHeight="true" outlineLevel="0" collapsed="false">
      <c r="A3" s="284" t="s">
        <v>83</v>
      </c>
      <c r="B3" s="284" t="s">
        <v>84</v>
      </c>
      <c r="C3" s="284" t="s">
        <v>85</v>
      </c>
      <c r="D3" s="284" t="s">
        <v>86</v>
      </c>
      <c r="E3" s="284" t="s">
        <v>87</v>
      </c>
      <c r="F3" s="284" t="s">
        <v>88</v>
      </c>
    </row>
    <row r="4" customFormat="false" ht="21.75" hidden="false" customHeight="true" outlineLevel="0" collapsed="false">
      <c r="A4" s="285" t="s">
        <v>594</v>
      </c>
      <c r="B4" s="285"/>
      <c r="C4" s="285"/>
      <c r="D4" s="285"/>
      <c r="E4" s="285"/>
      <c r="F4" s="285"/>
    </row>
    <row r="5" customFormat="false" ht="15" hidden="false" customHeight="true" outlineLevel="0" collapsed="false">
      <c r="A5" s="286" t="s">
        <v>595</v>
      </c>
      <c r="B5" s="292" t="n">
        <f aca="false">'Funding &amp; Liquidity'!B21</f>
        <v>4.53990589561574</v>
      </c>
      <c r="C5" s="292" t="n">
        <f aca="false">'Funding &amp; Liquidity'!C21</f>
        <v>1.10731387549798</v>
      </c>
      <c r="D5" s="292" t="n">
        <f aca="false">'Funding &amp; Liquidity'!D21</f>
        <v>1.34692002612802</v>
      </c>
      <c r="E5" s="292" t="n">
        <f aca="false">'Funding &amp; Liquidity'!E21</f>
        <v>4.64894494552536</v>
      </c>
      <c r="F5" s="292" t="n">
        <f aca="false">'Funding &amp; Liquidity'!F21</f>
        <v>9.69741599892725</v>
      </c>
    </row>
    <row r="6" customFormat="false" ht="15" hidden="false" customHeight="true" outlineLevel="0" collapsed="false">
      <c r="A6" s="286" t="s">
        <v>596</v>
      </c>
      <c r="B6" s="292" t="n">
        <f aca="false">'Funding &amp; Liquidity'!B35</f>
        <v>1.09847090318191</v>
      </c>
      <c r="C6" s="292" t="n">
        <f aca="false">'Funding &amp; Liquidity'!C35</f>
        <v>1.07785194045871</v>
      </c>
      <c r="D6" s="292" t="n">
        <f aca="false">'Funding &amp; Liquidity'!D35</f>
        <v>1.09144938707704</v>
      </c>
      <c r="E6" s="292" t="n">
        <f aca="false">'Funding &amp; Liquidity'!E35</f>
        <v>1.11906457965729</v>
      </c>
      <c r="F6" s="292" t="n">
        <f aca="false">'Funding &amp; Liquidity'!F35</f>
        <v>1.16149116948356</v>
      </c>
    </row>
    <row r="7" customFormat="false" ht="15" hidden="false" customHeight="true" outlineLevel="0" collapsed="false">
      <c r="A7" s="286" t="s">
        <v>597</v>
      </c>
      <c r="B7" s="292" t="n">
        <f aca="false">IFERROR('Balance Sheet'!B5/'Balance Sheet'!B11,0)</f>
        <v>0.115722452999771</v>
      </c>
      <c r="C7" s="292" t="n">
        <f aca="false">IFERROR('Balance Sheet'!C5/'Balance Sheet'!C11,0)</f>
        <v>0.0209497202797179</v>
      </c>
      <c r="D7" s="292" t="n">
        <f aca="false">IFERROR('Balance Sheet'!D5/'Balance Sheet'!D11,0)</f>
        <v>0.0153853085546475</v>
      </c>
      <c r="E7" s="292" t="n">
        <f aca="false">IFERROR('Balance Sheet'!E5/'Balance Sheet'!E11,0)</f>
        <v>0.0389776358892402</v>
      </c>
      <c r="F7" s="292" t="n">
        <f aca="false">IFERROR('Balance Sheet'!F5/'Balance Sheet'!F11,0)</f>
        <v>0.0734638358086545</v>
      </c>
    </row>
    <row r="8" customFormat="false" ht="15" hidden="false" customHeight="true" outlineLevel="0" collapsed="false">
      <c r="A8" s="286" t="s">
        <v>598</v>
      </c>
      <c r="B8" s="306" t="n">
        <f aca="false">IFERROR('Balance Sheet'!B5/(('Income Statement'!B15+'Income Statement'!B17+'Income Statement'!B18)/12),0)</f>
        <v>2.47900984086522</v>
      </c>
      <c r="C8" s="306" t="n">
        <f aca="false">IFERROR('Balance Sheet'!C5/(('Income Statement'!C15+'Income Statement'!C17+'Income Statement'!C18)/12),0)</f>
        <v>1.89193828276392</v>
      </c>
      <c r="D8" s="306" t="n">
        <f aca="false">IFERROR('Balance Sheet'!D5/(('Income Statement'!D15+'Income Statement'!D17+'Income Statement'!D18)/12),0)</f>
        <v>1.19199899058746</v>
      </c>
      <c r="E8" s="306" t="n">
        <f aca="false">IFERROR('Balance Sheet'!E5/(('Income Statement'!E15+'Income Statement'!E17+'Income Statement'!E18)/12),0)</f>
        <v>3.67869209854106</v>
      </c>
      <c r="F8" s="306" t="n">
        <f aca="false">IFERROR('Balance Sheet'!F5/(('Income Statement'!F15+'Income Statement'!F17+'Income Statement'!F18)/12),0)</f>
        <v>7.7369112619112</v>
      </c>
    </row>
    <row r="9" customFormat="false" ht="21.75" hidden="false" customHeight="true" outlineLevel="0" collapsed="false">
      <c r="A9" s="289"/>
      <c r="B9" s="289"/>
      <c r="C9" s="289"/>
      <c r="D9" s="289"/>
      <c r="E9" s="289"/>
      <c r="F9" s="289"/>
    </row>
    <row r="10" customFormat="false" ht="15" hidden="false" customHeight="true" outlineLevel="0" collapsed="false">
      <c r="A10" s="291" t="s">
        <v>599</v>
      </c>
      <c r="B10" s="291"/>
      <c r="C10" s="291"/>
      <c r="D10" s="291"/>
      <c r="E10" s="291"/>
      <c r="F10" s="291"/>
    </row>
    <row r="11" customFormat="false" ht="15" hidden="false" customHeight="true" outlineLevel="0" collapsed="false">
      <c r="A11" s="286" t="s">
        <v>600</v>
      </c>
      <c r="B11" s="292" t="n">
        <f aca="false">IFERROR('Income Statement'!B23/AVERAGE(15000000,'Balance Sheet'!B11),0)</f>
        <v>-0.381334303989544</v>
      </c>
      <c r="C11" s="292" t="n">
        <f aca="false">IFERROR('Income Statement'!C23/AVERAGE('Balance Sheet'!B11,'Balance Sheet'!C11),0)</f>
        <v>0.0384430164302428</v>
      </c>
      <c r="D11" s="292" t="n">
        <f aca="false">IFERROR('Income Statement'!D23/AVERAGE('Balance Sheet'!C11,'Balance Sheet'!D11),0)</f>
        <v>0.116961080739065</v>
      </c>
      <c r="E11" s="292" t="n">
        <f aca="false">IFERROR('Income Statement'!E23/AVERAGE('Balance Sheet'!D11,'Balance Sheet'!E11),0)</f>
        <v>0.125585780145312</v>
      </c>
      <c r="F11" s="292" t="n">
        <f aca="false">IFERROR('Income Statement'!F23/AVERAGE('Balance Sheet'!E11,'Balance Sheet'!F11),0)</f>
        <v>0.116701817627767</v>
      </c>
    </row>
    <row r="12" customFormat="false" ht="15" hidden="false" customHeight="true" outlineLevel="0" collapsed="false">
      <c r="A12" s="286" t="s">
        <v>601</v>
      </c>
      <c r="B12" s="292" t="n">
        <f aca="false">IFERROR('Income Statement'!B23/AVERAGE(15000000,'Balance Sheet'!B22),0)</f>
        <v>-0.44345245336525</v>
      </c>
      <c r="C12" s="292" t="n">
        <f aca="false">IFERROR('Income Statement'!C23/AVERAGE('Balance Sheet'!B22,'Balance Sheet'!C22),0)</f>
        <v>0.189003838418925</v>
      </c>
      <c r="D12" s="292" t="n">
        <f aca="false">IFERROR('Income Statement'!D23/AVERAGE('Balance Sheet'!C22,'Balance Sheet'!D22),0)</f>
        <v>0.670537319461373</v>
      </c>
      <c r="E12" s="292" t="n">
        <f aca="false">IFERROR('Income Statement'!E23/AVERAGE('Balance Sheet'!D22,'Balance Sheet'!E22),0)</f>
        <v>0.687006068336759</v>
      </c>
      <c r="F12" s="292" t="n">
        <f aca="false">IFERROR('Income Statement'!F23/AVERAGE('Balance Sheet'!E22,'Balance Sheet'!F22),0)</f>
        <v>0.63313527026342</v>
      </c>
    </row>
    <row r="13" customFormat="false" ht="15" hidden="false" customHeight="true" outlineLevel="0" collapsed="false">
      <c r="A13" s="286" t="s">
        <v>602</v>
      </c>
      <c r="B13" s="292" t="n">
        <f aca="false">IFERROR('Income Statement'!B27/AVERAGE('Balance Sheet'!B22+'Balance Sheet'!B14-'Balance Sheet'!B5,1),0)</f>
        <v>-0.877581950408366</v>
      </c>
      <c r="C13" s="292" t="n">
        <f aca="false">IFERROR('Income Statement'!C27/AVERAGE('Balance Sheet'!C22+'Balance Sheet'!C14-'Balance Sheet'!C5,1),0)</f>
        <v>0.214435700909268</v>
      </c>
      <c r="D13" s="292" t="n">
        <f aca="false">IFERROR('Income Statement'!D27/AVERAGE('Balance Sheet'!D22+'Balance Sheet'!D14-'Balance Sheet'!D5,1),0)</f>
        <v>0.489571759008736</v>
      </c>
      <c r="E13" s="292" t="n">
        <f aca="false">IFERROR('Income Statement'!E27/AVERAGE('Balance Sheet'!E22+'Balance Sheet'!E14-'Balance Sheet'!E5,1),0)</f>
        <v>0.484461597308098</v>
      </c>
      <c r="F13" s="292" t="n">
        <f aca="false">IFERROR('Income Statement'!F27/AVERAGE('Balance Sheet'!F22+'Balance Sheet'!F14-'Balance Sheet'!F5,1),0)</f>
        <v>0.472164943877162</v>
      </c>
    </row>
    <row r="14" customFormat="false" ht="15" hidden="false" customHeight="true" outlineLevel="0" collapsed="false">
      <c r="A14" s="286" t="s">
        <v>487</v>
      </c>
      <c r="B14" s="292" t="n">
        <f aca="false">'Income Statement'!B28</f>
        <v>-1.65779413655141</v>
      </c>
      <c r="C14" s="292" t="n">
        <f aca="false">'Income Statement'!C28</f>
        <v>0.111760483559781</v>
      </c>
      <c r="D14" s="292" t="n">
        <f aca="false">'Income Statement'!D28</f>
        <v>0.319964402718377</v>
      </c>
      <c r="E14" s="292" t="n">
        <f aca="false">'Income Statement'!E28</f>
        <v>0.367039036543141</v>
      </c>
      <c r="F14" s="292" t="n">
        <f aca="false">'Income Statement'!F28</f>
        <v>0.374813937124686</v>
      </c>
    </row>
    <row r="15" customFormat="false" ht="21.75" hidden="false" customHeight="true" outlineLevel="0" collapsed="false">
      <c r="A15" s="286" t="s">
        <v>603</v>
      </c>
      <c r="B15" s="301" t="n">
        <f aca="false">IFERROR(('Income Statement'!B21+'Income Statement'!B15)/'Income Statement'!B15,0)</f>
        <v>0</v>
      </c>
      <c r="C15" s="301" t="n">
        <f aca="false">IFERROR(('Income Statement'!C21+'Income Statement'!C15)/'Income Statement'!C15,0)</f>
        <v>1.25695473413891</v>
      </c>
      <c r="D15" s="301" t="n">
        <f aca="false">IFERROR(('Income Statement'!D21+'Income Statement'!D15)/'Income Statement'!D15,0)</f>
        <v>1.96315446998857</v>
      </c>
      <c r="E15" s="301" t="n">
        <f aca="false">IFERROR(('Income Statement'!E21+'Income Statement'!E15)/'Income Statement'!E15,0)</f>
        <v>2.16709940693795</v>
      </c>
      <c r="F15" s="301" t="n">
        <f aca="false">IFERROR(('Income Statement'!F21+'Income Statement'!F15)/'Income Statement'!F15,0)</f>
        <v>2.14922591630203</v>
      </c>
    </row>
    <row r="16" customFormat="false" ht="15" hidden="false" customHeight="true" outlineLevel="0" collapsed="false">
      <c r="A16" s="289"/>
      <c r="B16" s="289"/>
      <c r="C16" s="289"/>
      <c r="D16" s="289"/>
      <c r="E16" s="289"/>
      <c r="F16" s="289"/>
    </row>
    <row r="17" customFormat="false" ht="15" hidden="false" customHeight="true" outlineLevel="0" collapsed="false">
      <c r="A17" s="291" t="s">
        <v>604</v>
      </c>
      <c r="B17" s="291"/>
      <c r="C17" s="291"/>
      <c r="D17" s="291"/>
      <c r="E17" s="291"/>
      <c r="F17" s="291"/>
    </row>
    <row r="18" customFormat="false" ht="15" hidden="false" customHeight="true" outlineLevel="0" collapsed="false">
      <c r="A18" s="286" t="s">
        <v>605</v>
      </c>
      <c r="B18" s="301" t="n">
        <f aca="false">'Regulatory Capital Plan'!B13</f>
        <v>0</v>
      </c>
      <c r="C18" s="301" t="n">
        <f aca="false">'Regulatory Capital Plan'!C13</f>
        <v>4.86287064177048</v>
      </c>
      <c r="D18" s="301" t="n">
        <f aca="false">'Regulatory Capital Plan'!D13</f>
        <v>4.56798051102073</v>
      </c>
      <c r="E18" s="301" t="n">
        <f aca="false">'Regulatory Capital Plan'!E13</f>
        <v>4.30787332942035</v>
      </c>
      <c r="F18" s="301" t="n">
        <f aca="false">'Regulatory Capital Plan'!F13</f>
        <v>4.33580712139099</v>
      </c>
    </row>
    <row r="19" customFormat="false" ht="15" hidden="false" customHeight="true" outlineLevel="0" collapsed="false">
      <c r="A19" s="286" t="s">
        <v>606</v>
      </c>
      <c r="B19" s="301" t="n">
        <f aca="false">'Regulatory Capital Plan'!B14</f>
        <v>4</v>
      </c>
      <c r="C19" s="301" t="n">
        <f aca="false">'Regulatory Capital Plan'!C14</f>
        <v>4</v>
      </c>
      <c r="D19" s="301" t="n">
        <f aca="false">'Regulatory Capital Plan'!D14</f>
        <v>9</v>
      </c>
      <c r="E19" s="301" t="n">
        <f aca="false">'Regulatory Capital Plan'!E14</f>
        <v>9</v>
      </c>
      <c r="F19" s="301" t="n">
        <f aca="false">'Regulatory Capital Plan'!F14</f>
        <v>9</v>
      </c>
    </row>
    <row r="20" customFormat="false" ht="15" hidden="false" customHeight="true" outlineLevel="0" collapsed="false">
      <c r="A20" s="286" t="s">
        <v>607</v>
      </c>
      <c r="B20" s="292" t="n">
        <f aca="false">IFERROR('Balance Sheet'!B22/'Balance Sheet'!B11,0)</f>
        <v>0.784429556991414</v>
      </c>
      <c r="C20" s="292" t="n">
        <f aca="false">IFERROR('Balance Sheet'!C22/'Balance Sheet'!C11,0)</f>
        <v>0.167744640021848</v>
      </c>
      <c r="D20" s="292" t="n">
        <f aca="false">IFERROR('Balance Sheet'!D22/'Balance Sheet'!D11,0)</f>
        <v>0.177959110807575</v>
      </c>
      <c r="E20" s="292" t="n">
        <f aca="false">IFERROR('Balance Sheet'!E22/'Balance Sheet'!E11,0)</f>
        <v>0.185264942340431</v>
      </c>
      <c r="F20" s="292" t="n">
        <f aca="false">IFERROR('Balance Sheet'!F22/'Balance Sheet'!F11,0)</f>
        <v>0.183838817678523</v>
      </c>
    </row>
    <row r="21" customFormat="false" ht="33.75" hidden="false" customHeight="true" outlineLevel="0" collapsed="false">
      <c r="A21" s="286" t="s">
        <v>608</v>
      </c>
      <c r="B21" s="301" t="n">
        <f aca="false">IFERROR('Balance Sheet'!B14/'Balance Sheet'!B22,0)</f>
        <v>0</v>
      </c>
      <c r="C21" s="301" t="n">
        <f aca="false">IFERROR('Balance Sheet'!C14/'Balance Sheet'!C22,0)</f>
        <v>4.86287064177048</v>
      </c>
      <c r="D21" s="301" t="n">
        <f aca="false">IFERROR('Balance Sheet'!D14/'Balance Sheet'!D22,0)</f>
        <v>4.48186802233971</v>
      </c>
      <c r="E21" s="301" t="n">
        <f aca="false">IFERROR('Balance Sheet'!E14/'Balance Sheet'!E22,0)</f>
        <v>4.26819084132861</v>
      </c>
      <c r="F21" s="301" t="n">
        <f aca="false">IFERROR('Balance Sheet'!F14/'Balance Sheet'!F22,0)</f>
        <v>4.31507430549989</v>
      </c>
    </row>
    <row r="22" customFormat="false" ht="15" hidden="false" customHeight="true" outlineLevel="0" collapsed="false">
      <c r="A22" s="286" t="s">
        <v>609</v>
      </c>
      <c r="B22" s="292" t="n">
        <f aca="false">'Regulatory Capital Plan'!B31</f>
        <v>0.398280956375838</v>
      </c>
      <c r="C22" s="292" t="n">
        <f aca="false">'Regulatory Capital Plan'!C31</f>
        <v>0.144327394961383</v>
      </c>
      <c r="D22" s="292" t="n">
        <f aca="false">'Regulatory Capital Plan'!D31</f>
        <v>0.159763521005685</v>
      </c>
      <c r="E22" s="292" t="n">
        <f aca="false">'Regulatory Capital Plan'!E31</f>
        <v>0.172007504825977</v>
      </c>
      <c r="F22" s="292" t="n">
        <f aca="false">'Regulatory Capital Plan'!F31</f>
        <v>0.177928765545992</v>
      </c>
    </row>
    <row r="23" customFormat="false" ht="15" hidden="false" customHeight="true" outlineLevel="0" collapsed="false">
      <c r="A23" s="286" t="s">
        <v>610</v>
      </c>
      <c r="B23" s="292" t="n">
        <f aca="false">B22-'Regulatory Capital Plan'!B32</f>
        <v>0.278280956375838</v>
      </c>
      <c r="C23" s="292" t="n">
        <f aca="false">C22-'Regulatory Capital Plan'!C32</f>
        <v>0.024327394961383</v>
      </c>
      <c r="D23" s="292" t="n">
        <f aca="false">D22-'Regulatory Capital Plan'!D32</f>
        <v>0.0397635210056848</v>
      </c>
      <c r="E23" s="292" t="n">
        <f aca="false">E22-'Regulatory Capital Plan'!E32</f>
        <v>0.0520075048259771</v>
      </c>
      <c r="F23" s="292" t="n">
        <f aca="false">F22-'Regulatory Capital Plan'!F32</f>
        <v>0.0579287655459919</v>
      </c>
    </row>
    <row r="24" customFormat="false" ht="33.75" hidden="false" customHeight="true" outlineLevel="0" collapsed="false">
      <c r="A24" s="289"/>
      <c r="B24" s="289"/>
      <c r="C24" s="289"/>
      <c r="D24" s="289"/>
      <c r="E24" s="289"/>
      <c r="F24" s="289"/>
    </row>
    <row r="25" customFormat="false" ht="33.75" hidden="false" customHeight="true" outlineLevel="0" collapsed="false">
      <c r="A25" s="291" t="s">
        <v>611</v>
      </c>
      <c r="B25" s="291"/>
      <c r="C25" s="291"/>
      <c r="D25" s="291"/>
      <c r="E25" s="291"/>
      <c r="F25" s="291"/>
    </row>
    <row r="26" customFormat="false" ht="33.75" hidden="false" customHeight="true" outlineLevel="0" collapsed="false">
      <c r="A26" s="286" t="s">
        <v>612</v>
      </c>
      <c r="B26" s="292" t="n">
        <f aca="false">IFERROR('Balance Sheet'!B7/'Balance Sheet'!B6,0)</f>
        <v>0.03</v>
      </c>
      <c r="C26" s="292" t="n">
        <f aca="false">IFERROR('Balance Sheet'!C7/'Balance Sheet'!C6,0)</f>
        <v>0.03</v>
      </c>
      <c r="D26" s="292" t="n">
        <f aca="false">IFERROR('Balance Sheet'!D7/'Balance Sheet'!D6,0)</f>
        <v>0.03</v>
      </c>
      <c r="E26" s="292" t="n">
        <f aca="false">IFERROR('Balance Sheet'!E7/'Balance Sheet'!E6,0)</f>
        <v>0.03</v>
      </c>
      <c r="F26" s="292" t="n">
        <f aca="false">IFERROR('Balance Sheet'!F7/'Balance Sheet'!F6,0)</f>
        <v>0.03</v>
      </c>
    </row>
    <row r="27" customFormat="false" ht="33.75" hidden="false" customHeight="true" outlineLevel="0" collapsed="false">
      <c r="A27" s="286" t="s">
        <v>613</v>
      </c>
      <c r="B27" s="287" t="n">
        <f aca="false">'Regulatory Capital Plan'!B36</f>
        <v>5775578.77119</v>
      </c>
      <c r="C27" s="287" t="n">
        <f aca="false">'Regulatory Capital Plan'!C36</f>
        <v>21961663.593255</v>
      </c>
      <c r="D27" s="287" t="n">
        <f aca="false">'Regulatory Capital Plan'!D36</f>
        <v>44987057.082273</v>
      </c>
      <c r="E27" s="287" t="n">
        <f aca="false">'Regulatory Capital Plan'!E36</f>
        <v>92969307.4456974</v>
      </c>
      <c r="F27" s="287" t="n">
        <f aca="false">'Regulatory Capital Plan'!F36</f>
        <v>179897301.27796</v>
      </c>
    </row>
    <row r="28" customFormat="false" ht="33.75" hidden="false" customHeight="true" outlineLevel="0" collapsed="false">
      <c r="A28" s="286" t="s">
        <v>614</v>
      </c>
      <c r="B28" s="287" t="n">
        <f aca="false">'Regulatory Capital Plan'!B37</f>
        <v>4812982.309325</v>
      </c>
      <c r="C28" s="287" t="n">
        <f aca="false">'Regulatory Capital Plan'!C37</f>
        <v>18301386.3277125</v>
      </c>
      <c r="D28" s="287" t="n">
        <f aca="false">'Regulatory Capital Plan'!D37</f>
        <v>37489214.2352275</v>
      </c>
      <c r="E28" s="287" t="n">
        <f aca="false">'Regulatory Capital Plan'!E37</f>
        <v>77474422.8714145</v>
      </c>
      <c r="F28" s="287" t="n">
        <f aca="false">'Regulatory Capital Plan'!F37</f>
        <v>149914417.731633</v>
      </c>
    </row>
    <row r="29" customFormat="false" ht="33.75" hidden="false" customHeight="true" outlineLevel="0" collapsed="false">
      <c r="A29" s="286" t="s">
        <v>615</v>
      </c>
      <c r="B29" s="286" t="str">
        <f aca="false">'Regulatory Capital Plan'!B39</f>
        <v>بيانات معلقة - سجل تركز العملاء/الأطراف المرتبطة مطلوب</v>
      </c>
      <c r="C29" s="286" t="str">
        <f aca="false">'Regulatory Capital Plan'!C39</f>
        <v>بيانات معلقة - سجل تركز العملاء/الأطراف المرتبطة مطلوب</v>
      </c>
      <c r="D29" s="286" t="str">
        <f aca="false">'Regulatory Capital Plan'!D39</f>
        <v>بيانات معلقة - سجل تركز العملاء/الأطراف المرتبطة مطلوب</v>
      </c>
      <c r="E29" s="286" t="str">
        <f aca="false">'Regulatory Capital Plan'!E39</f>
        <v>بيانات معلقة - سجل تركز العملاء/الأطراف المرتبطة مطلوب</v>
      </c>
      <c r="F29" s="286" t="str">
        <f aca="false">'Regulatory Capital Plan'!F39</f>
        <v>بيانات معلقة - سجل تركز العملاء/الأطراف المرتبطة مطلوب</v>
      </c>
    </row>
    <row r="30" customFormat="false" ht="33.75" hidden="false" customHeight="true" outlineLevel="0" collapsed="false"/>
    <row r="31" customFormat="false" ht="27.75" hidden="false" customHeight="true" outlineLevel="0" collapsed="false"/>
    <row r="32" customFormat="false" ht="27.75" hidden="false" customHeight="true" outlineLevel="0" collapsed="false"/>
    <row r="33" customFormat="false" ht="43.5" hidden="false" customHeight="true" outlineLevel="0" collapsed="false"/>
  </sheetData>
  <mergeCells count="5">
    <mergeCell ref="A1:F1"/>
    <mergeCell ref="A4:F4"/>
    <mergeCell ref="A10:F10"/>
    <mergeCell ref="A17:F17"/>
    <mergeCell ref="A25:F25"/>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8"/>
    <col collapsed="false" customWidth="true" hidden="false" outlineLevel="0" max="8" min="2" style="1" width="16"/>
    <col collapsed="false" customWidth="true" hidden="false" outlineLevel="0" max="26" min="9" style="1" width="14"/>
  </cols>
  <sheetData>
    <row r="1" customFormat="false" ht="30.75" hidden="false" customHeight="true" outlineLevel="0" collapsed="false">
      <c r="A1" s="283" t="s">
        <v>616</v>
      </c>
      <c r="B1" s="283"/>
      <c r="C1" s="283"/>
      <c r="D1" s="283"/>
      <c r="E1" s="283"/>
      <c r="F1" s="283"/>
    </row>
    <row r="2" customFormat="false" ht="15" hidden="false" customHeight="true" outlineLevel="0" collapsed="false"/>
    <row r="3" customFormat="false" ht="15" hidden="false" customHeight="true" outlineLevel="0" collapsed="false">
      <c r="A3" s="307" t="s">
        <v>617</v>
      </c>
      <c r="B3" s="307" t="s">
        <v>618</v>
      </c>
      <c r="C3" s="307" t="s">
        <v>619</v>
      </c>
      <c r="D3" s="307" t="s">
        <v>620</v>
      </c>
      <c r="E3" s="289"/>
      <c r="F3" s="289"/>
    </row>
    <row r="4" customFormat="false" ht="15" hidden="false" customHeight="true" outlineLevel="0" collapsed="false">
      <c r="A4" s="289" t="s">
        <v>621</v>
      </c>
      <c r="B4" s="308" t="n">
        <v>1.15</v>
      </c>
      <c r="C4" s="308" t="n">
        <v>1</v>
      </c>
      <c r="D4" s="308" t="n">
        <v>0.8</v>
      </c>
      <c r="E4" s="289"/>
      <c r="F4" s="289"/>
    </row>
    <row r="5" customFormat="false" ht="15" hidden="false" customHeight="true" outlineLevel="0" collapsed="false">
      <c r="A5" s="289" t="s">
        <v>622</v>
      </c>
      <c r="B5" s="308" t="n">
        <v>0.02</v>
      </c>
      <c r="C5" s="308" t="n">
        <v>0</v>
      </c>
      <c r="D5" s="308" t="n">
        <v>-0.03</v>
      </c>
      <c r="E5" s="289"/>
      <c r="F5" s="289"/>
    </row>
    <row r="6" customFormat="false" ht="15" hidden="false" customHeight="true" outlineLevel="0" collapsed="false">
      <c r="A6" s="289" t="s">
        <v>623</v>
      </c>
      <c r="B6" s="308" t="n">
        <v>-0.02</v>
      </c>
      <c r="C6" s="308" t="n">
        <v>0</v>
      </c>
      <c r="D6" s="308" t="n">
        <v>0.03</v>
      </c>
      <c r="E6" s="289"/>
      <c r="F6" s="289"/>
    </row>
    <row r="7" customFormat="false" ht="15" hidden="false" customHeight="true" outlineLevel="0" collapsed="false">
      <c r="A7" s="289" t="s">
        <v>624</v>
      </c>
      <c r="B7" s="308" t="n">
        <v>0.75</v>
      </c>
      <c r="C7" s="308" t="n">
        <v>1</v>
      </c>
      <c r="D7" s="308" t="n">
        <v>1.5</v>
      </c>
      <c r="E7" s="289"/>
      <c r="F7" s="289"/>
    </row>
    <row r="8" customFormat="false" ht="15" hidden="false" customHeight="true" outlineLevel="0" collapsed="false">
      <c r="A8" s="289" t="s">
        <v>625</v>
      </c>
      <c r="B8" s="308" t="n">
        <v>0.95</v>
      </c>
      <c r="C8" s="308" t="n">
        <v>1</v>
      </c>
      <c r="D8" s="308" t="n">
        <v>1.1</v>
      </c>
      <c r="E8" s="289"/>
      <c r="F8" s="289"/>
    </row>
    <row r="9" customFormat="false" ht="15" hidden="false" customHeight="true" outlineLevel="0" collapsed="false">
      <c r="A9" s="289"/>
      <c r="B9" s="289"/>
      <c r="C9" s="289"/>
      <c r="D9" s="289"/>
      <c r="E9" s="289"/>
      <c r="F9" s="289"/>
    </row>
    <row r="10" customFormat="false" ht="15" hidden="false" customHeight="true" outlineLevel="0" collapsed="false">
      <c r="A10" s="291" t="s">
        <v>626</v>
      </c>
      <c r="B10" s="291"/>
      <c r="C10" s="291"/>
      <c r="D10" s="291"/>
      <c r="E10" s="291"/>
      <c r="F10" s="291"/>
    </row>
    <row r="11" customFormat="false" ht="21.75" hidden="false" customHeight="true" outlineLevel="0" collapsed="false">
      <c r="A11" s="307" t="s">
        <v>627</v>
      </c>
      <c r="B11" s="307" t="s">
        <v>84</v>
      </c>
      <c r="C11" s="307" t="s">
        <v>85</v>
      </c>
      <c r="D11" s="307" t="s">
        <v>86</v>
      </c>
      <c r="E11" s="307" t="s">
        <v>87</v>
      </c>
      <c r="F11" s="307" t="s">
        <v>88</v>
      </c>
    </row>
    <row r="12" customFormat="false" ht="15" hidden="false" customHeight="true" outlineLevel="0" collapsed="false">
      <c r="A12" s="289" t="s">
        <v>618</v>
      </c>
      <c r="B12" s="290" t="n">
        <f aca="false">MAX(0,(('Income Statement'!B9*(1+$B$5/Assumptions!B6)+'Income Statement'!B10+'Income Statement'!B13)*$B$4-'Income Statement'!B15-('Income Statement'!B16*$B$7)-('Income Statement'!B17+'Income Statement'!B18+'Income Statement'!B19)*$B$8)*(1-Assumptions!$B$33))+MIN(0,(('Income Statement'!B9*(1+$B$5/Assumptions!B6)+'Income Statement'!B10+'Income Statement'!B13)*$B$4-'Income Statement'!B15-('Income Statement'!B16*$B$7)-('Income Statement'!B17+'Income Statement'!B18+'Income Statement'!B19)*$B$8))</f>
        <v>-5786178.67190735</v>
      </c>
      <c r="C12" s="290" t="n">
        <f aca="false">MAX(0,(('Income Statement'!C9*(1+$B$5/Assumptions!C6)+'Income Statement'!C10+'Income Statement'!C13)*$B$4-'Income Statement'!C15-('Income Statement'!C16*$B$7)-('Income Statement'!C17+'Income Statement'!C18+'Income Statement'!C19)*$B$8)*(1-Assumptions!$B$33))+MIN(0,(('Income Statement'!C9*(1+$B$5/Assumptions!C6)+'Income Statement'!C10+'Income Statement'!C13)*$B$4-'Income Statement'!C15-('Income Statement'!C16*$B$7)-('Income Statement'!C17+'Income Statement'!C18+'Income Statement'!C19)*$B$8))</f>
        <v>22999765.7371647</v>
      </c>
      <c r="D12" s="290" t="n">
        <f aca="false">MAX(0,(('Income Statement'!D9*(1+$B$5/Assumptions!D6)+'Income Statement'!D10+'Income Statement'!D13)*$B$4-'Income Statement'!D15-('Income Statement'!D16*$B$7)-('Income Statement'!D17+'Income Statement'!D18+'Income Statement'!D19)*$B$8)*(1-Assumptions!$B$33))+MIN(0,(('Income Statement'!D9*(1+$B$5/Assumptions!D6)+'Income Statement'!D10+'Income Statement'!D13)*$B$4-'Income Statement'!D15-('Income Statement'!D16*$B$7)-('Income Statement'!D17+'Income Statement'!D18+'Income Statement'!D19)*$B$8))</f>
        <v>120659881.795477</v>
      </c>
      <c r="E12" s="290" t="n">
        <f aca="false">MAX(0,(('Income Statement'!E9*(1+$B$5/Assumptions!E6)+'Income Statement'!E10+'Income Statement'!E13)*$B$4-'Income Statement'!E15-('Income Statement'!E16*$B$7)-('Income Statement'!E17+'Income Statement'!E18+'Income Statement'!E19)*$B$8)*(1-Assumptions!$B$33))+MIN(0,(('Income Statement'!E9*(1+$B$5/Assumptions!E6)+'Income Statement'!E10+'Income Statement'!E13)*$B$4-'Income Statement'!E15-('Income Statement'!E16*$B$7)-('Income Statement'!E17+'Income Statement'!E18+'Income Statement'!E19)*$B$8))</f>
        <v>240616815.912005</v>
      </c>
      <c r="F12" s="290" t="n">
        <f aca="false">MAX(0,(('Income Statement'!F9*(1+$B$5/Assumptions!F6)+'Income Statement'!F10+'Income Statement'!F13)*$B$4-'Income Statement'!F15-('Income Statement'!F16*$B$7)-('Income Statement'!F17+'Income Statement'!F18+'Income Statement'!F19)*$B$8)*(1-Assumptions!$B$33))+MIN(0,(('Income Statement'!F9*(1+$B$5/Assumptions!F6)+'Income Statement'!F10+'Income Statement'!F13)*$B$4-'Income Statement'!F15-('Income Statement'!F16*$B$7)-('Income Statement'!F17+'Income Statement'!F18+'Income Statement'!F19)*$B$8))</f>
        <v>435088675.907084</v>
      </c>
    </row>
    <row r="13" customFormat="false" ht="15" hidden="false" customHeight="true" outlineLevel="0" collapsed="false">
      <c r="A13" s="289" t="s">
        <v>619</v>
      </c>
      <c r="B13" s="290" t="n">
        <f aca="false">'Income Statement'!B23</f>
        <v>-8166870.7627</v>
      </c>
      <c r="C13" s="290" t="n">
        <f aca="false">'Income Statement'!C23</f>
        <v>9253616.07354998</v>
      </c>
      <c r="D13" s="290" t="n">
        <f aca="false">'Income Statement'!D23</f>
        <v>76751311.63006</v>
      </c>
      <c r="E13" s="290" t="n">
        <f aca="false">'Income Statement'!E23</f>
        <v>159940834.544748</v>
      </c>
      <c r="F13" s="290" t="n">
        <f aca="false">'Income Statement'!F23</f>
        <v>289759979.440876</v>
      </c>
    </row>
    <row r="14" customFormat="false" ht="15" hidden="false" customHeight="true" outlineLevel="0" collapsed="false">
      <c r="A14" s="289" t="s">
        <v>620</v>
      </c>
      <c r="B14" s="290" t="n">
        <f aca="false">MAX(0,(('Income Statement'!B9*(1+$D$5/Assumptions!B6)+'Income Statement'!B10+'Income Statement'!B13)*$D$4-'Income Statement'!B15-('Income Statement'!B16*$D$7)-('Income Statement'!B17+'Income Statement'!B18+'Income Statement'!B19)*$D$8)*(1-Assumptions!$B$33))+MIN(0,(('Income Statement'!B9*(1+$D$5/Assumptions!B6)+'Income Statement'!B10+'Income Statement'!B13)*$D$4-'Income Statement'!B15-('Income Statement'!B16*$D$7)-('Income Statement'!B17+'Income Statement'!B18+'Income Statement'!B19)*$D$8))</f>
        <v>-11894809.6285206</v>
      </c>
      <c r="C14" s="290" t="n">
        <f aca="false">MAX(0,(('Income Statement'!C9*(1+$D$5/Assumptions!C6)+'Income Statement'!C10+'Income Statement'!C13)*$D$4-'Income Statement'!C15-('Income Statement'!C16*$D$7)-('Income Statement'!C17+'Income Statement'!C18+'Income Statement'!C19)*$D$8)*(1-Assumptions!$B$33))+MIN(0,(('Income Statement'!C9*(1+$D$5/Assumptions!C6)+'Income Statement'!C10+'Income Statement'!C13)*$D$4-'Income Statement'!C15-('Income Statement'!C16*$D$7)-('Income Statement'!C17+'Income Statement'!C18+'Income Statement'!C19)*$D$8))</f>
        <v>-19213189.03645</v>
      </c>
      <c r="D14" s="290" t="n">
        <f aca="false">MAX(0,(('Income Statement'!D9*(1+$D$5/Assumptions!D6)+'Income Statement'!D10+'Income Statement'!D13)*$D$4-'Income Statement'!D15-('Income Statement'!D16*$D$7)-('Income Statement'!D17+'Income Statement'!D18+'Income Statement'!D19)*$D$8)*(1-Assumptions!$B$33))+MIN(0,(('Income Statement'!D9*(1+$D$5/Assumptions!D6)+'Income Statement'!D10+'Income Statement'!D13)*$D$4-'Income Statement'!D15-('Income Statement'!D16*$D$7)-('Income Statement'!D17+'Income Statement'!D18+'Income Statement'!D19)*$D$8))</f>
        <v>19204316.878474</v>
      </c>
      <c r="E14" s="290" t="n">
        <f aca="false">MAX(0,(('Income Statement'!E9*(1+$D$5/Assumptions!E6)+'Income Statement'!E10+'Income Statement'!E13)*$D$4-'Income Statement'!E15-('Income Statement'!E16*$D$7)-('Income Statement'!E17+'Income Statement'!E18+'Income Statement'!E19)*$D$8)*(1-Assumptions!$B$33))+MIN(0,(('Income Statement'!E9*(1+$D$5/Assumptions!E6)+'Income Statement'!E10+'Income Statement'!E13)*$D$4-'Income Statement'!E15-('Income Statement'!E16*$D$7)-('Income Statement'!E17+'Income Statement'!E18+'Income Statement'!E19)*$D$8))</f>
        <v>54799585.605954</v>
      </c>
      <c r="F14" s="290" t="n">
        <f aca="false">MAX(0,(('Income Statement'!F9*(1+$D$5/Assumptions!F6)+'Income Statement'!F10+'Income Statement'!F13)*$D$4-'Income Statement'!F15-('Income Statement'!F16*$D$7)-('Income Statement'!F17+'Income Statement'!F18+'Income Statement'!F19)*$D$8)*(1-Assumptions!$B$33))+MIN(0,(('Income Statement'!F9*(1+$D$5/Assumptions!F6)+'Income Statement'!F10+'Income Statement'!F13)*$D$4-'Income Statement'!F15-('Income Statement'!F16*$D$7)-('Income Statement'!F17+'Income Statement'!F18+'Income Statement'!F19)*$D$8))</f>
        <v>101425505.654794</v>
      </c>
    </row>
    <row r="15" customFormat="false" ht="15" hidden="false" customHeight="true" outlineLevel="0" collapsed="false">
      <c r="A15" s="289"/>
      <c r="B15" s="290"/>
      <c r="C15" s="290"/>
      <c r="D15" s="290"/>
      <c r="E15" s="290"/>
      <c r="F15" s="290"/>
    </row>
    <row r="16" customFormat="false" ht="15" hidden="false" customHeight="true" outlineLevel="0" collapsed="false">
      <c r="A16" s="291" t="s">
        <v>628</v>
      </c>
      <c r="B16" s="291"/>
      <c r="C16" s="291"/>
      <c r="D16" s="291"/>
      <c r="E16" s="291"/>
      <c r="F16" s="291"/>
    </row>
    <row r="17" customFormat="false" ht="21.75" hidden="false" customHeight="true" outlineLevel="0" collapsed="false">
      <c r="A17" s="289" t="s">
        <v>629</v>
      </c>
      <c r="B17" s="290" t="s">
        <v>618</v>
      </c>
      <c r="C17" s="290" t="s">
        <v>619</v>
      </c>
      <c r="D17" s="290" t="s">
        <v>620</v>
      </c>
      <c r="E17" s="290"/>
      <c r="F17" s="290"/>
    </row>
    <row r="18" customFormat="false" ht="15" hidden="false" customHeight="true" outlineLevel="0" collapsed="false">
      <c r="A18" s="289" t="s">
        <v>630</v>
      </c>
      <c r="B18" s="290" t="n">
        <f aca="false">SUM(B12:F12)</f>
        <v>813578960.679823</v>
      </c>
      <c r="C18" s="290" t="n">
        <f aca="false">SUM(B13:F13)</f>
        <v>527538870.926534</v>
      </c>
      <c r="D18" s="290" t="n">
        <f aca="false">SUM(B14:F14)</f>
        <v>144321409.474251</v>
      </c>
      <c r="E18" s="290"/>
      <c r="F18" s="290"/>
    </row>
    <row r="19" customFormat="false" ht="15" hidden="false" customHeight="true" outlineLevel="0" collapsed="false">
      <c r="A19" s="289" t="s">
        <v>631</v>
      </c>
      <c r="B19" s="290" t="n">
        <f aca="false">F12</f>
        <v>435088675.907084</v>
      </c>
      <c r="C19" s="290" t="n">
        <f aca="false">F13</f>
        <v>289759979.440876</v>
      </c>
      <c r="D19" s="290" t="n">
        <f aca="false">F14</f>
        <v>101425505.654794</v>
      </c>
      <c r="E19" s="290"/>
      <c r="F19" s="290"/>
    </row>
    <row r="20" customFormat="false" ht="15" hidden="false" customHeight="true" outlineLevel="0" collapsed="false">
      <c r="A20" s="289" t="s">
        <v>632</v>
      </c>
      <c r="B20" s="289" t="str">
        <f aca="false">IF(B18&gt;0,"موجب - يلزم إعادة اختبار التمويل والسيولة وCAR","سالب - يلزم إعادة اختبار التمويل والسيولة وCAR")</f>
        <v>موجب - يلزم إعادة اختبار التمويل والسيولة وCAR</v>
      </c>
      <c r="C20" s="289" t="str">
        <f aca="false">IF(C18&gt;0,"موجب - يلزم إعادة اختبار التمويل والسيولة وCAR","سالب - يلزم إعادة اختبار التمويل والسيولة وCAR")</f>
        <v>موجب - يلزم إعادة اختبار التمويل والسيولة وCAR</v>
      </c>
      <c r="D20" s="289" t="str">
        <f aca="false">IF(D18&gt;0,"موجب - يلزم إعادة اختبار التمويل والسيولة وCAR","سالب - يلزم إعادة اختبار التمويل والسيولة وCAR")</f>
        <v>موجب - يلزم إعادة اختبار التمويل والسيولة وCAR</v>
      </c>
      <c r="E20" s="289"/>
      <c r="F20" s="289"/>
    </row>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21.7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sheetData>
  <mergeCells count="3">
    <mergeCell ref="A1:F1"/>
    <mergeCell ref="A10:F10"/>
    <mergeCell ref="A16:F16"/>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8"/>
    <col collapsed="false" customWidth="true" hidden="false" outlineLevel="0" max="8" min="2" style="1" width="16"/>
    <col collapsed="false" customWidth="true" hidden="false" outlineLevel="0" max="26" min="9" style="1" width="14"/>
  </cols>
  <sheetData>
    <row r="1" customFormat="false" ht="30.75" hidden="false" customHeight="true" outlineLevel="0" collapsed="false">
      <c r="A1" s="283" t="s">
        <v>633</v>
      </c>
      <c r="B1" s="283"/>
      <c r="C1" s="283"/>
      <c r="D1" s="283"/>
      <c r="E1" s="283"/>
      <c r="F1" s="283"/>
      <c r="G1" s="283"/>
    </row>
    <row r="2" customFormat="false" ht="15" hidden="false" customHeight="true" outlineLevel="0" collapsed="false"/>
    <row r="3" customFormat="false" ht="15" hidden="false" customHeight="true" outlineLevel="0" collapsed="false">
      <c r="A3" s="309" t="s">
        <v>634</v>
      </c>
      <c r="B3" s="309" t="s">
        <v>635</v>
      </c>
      <c r="C3" s="309" t="s">
        <v>636</v>
      </c>
      <c r="D3" s="309" t="s">
        <v>637</v>
      </c>
      <c r="E3" s="309" t="s">
        <v>638</v>
      </c>
      <c r="F3" s="309" t="s">
        <v>639</v>
      </c>
    </row>
    <row r="4" customFormat="false" ht="15" hidden="false" customHeight="true" outlineLevel="0" collapsed="false">
      <c r="A4" s="308" t="n">
        <v>-0.04</v>
      </c>
      <c r="B4" s="290" t="n">
        <f aca="false">MAX(0,(('Income Statement'!F9*(1+$A4/Assumptions!F6)+'Income Statement'!F10+'Income Statement'!F13)*0.8-'Income Statement'!F15-'Income Statement'!F16-'Income Statement'!F17-'Income Statement'!F18-'Income Statement'!F19)*(1-Assumptions!$B$33))+MIN(0,(('Income Statement'!F9*(1+$A4/Assumptions!F6)+'Income Statement'!F10+'Income Statement'!F13)*0.8-'Income Statement'!F15-'Income Statement'!F16-'Income Statement'!F17-'Income Statement'!F18-'Income Statement'!F19))</f>
        <v>107401120.93479</v>
      </c>
      <c r="C4" s="290" t="n">
        <f aca="false">MAX(0,(('Income Statement'!F9*(1+$A4/Assumptions!F6)+'Income Statement'!F10+'Income Statement'!F13)*0.9-'Income Statement'!F15-'Income Statement'!F16-'Income Statement'!F17-'Income Statement'!F18-'Income Statement'!F19)*(1-Assumptions!$B$33))+MIN(0,(('Income Statement'!F9*(1+$A4/Assumptions!F6)+'Income Statement'!F10+'Income Statement'!F13)*0.9-'Income Statement'!F15-'Income Statement'!F16-'Income Statement'!F17-'Income Statement'!F18-'Income Statement'!F19))</f>
        <v>161435583.87686</v>
      </c>
      <c r="D4" s="290" t="n">
        <f aca="false">MAX(0,(('Income Statement'!F9*(1+$A4/Assumptions!F6)+'Income Statement'!F10+'Income Statement'!F13)*1-'Income Statement'!F15-'Income Statement'!F16-'Income Statement'!F17-'Income Statement'!F18-'Income Statement'!F19)*(1-Assumptions!$B$33))+MIN(0,(('Income Statement'!F9*(1+$A4/Assumptions!F6)+'Income Statement'!F10+'Income Statement'!F13)*1-'Income Statement'!F15-'Income Statement'!F16-'Income Statement'!F17-'Income Statement'!F18-'Income Statement'!F19))</f>
        <v>215470046.81893</v>
      </c>
      <c r="E4" s="290" t="n">
        <f aca="false">MAX(0,(('Income Statement'!F9*(1+$A4/Assumptions!F6)+'Income Statement'!F10+'Income Statement'!F13)*1.1-'Income Statement'!F15-'Income Statement'!F16-'Income Statement'!F17-'Income Statement'!F18-'Income Statement'!F19)*(1-Assumptions!$B$33))+MIN(0,(('Income Statement'!F9*(1+$A4/Assumptions!F6)+'Income Statement'!F10+'Income Statement'!F13)*1.1-'Income Statement'!F15-'Income Statement'!F16-'Income Statement'!F17-'Income Statement'!F18-'Income Statement'!F19))</f>
        <v>269504509.761</v>
      </c>
      <c r="F4" s="290" t="n">
        <f aca="false">MAX(0,(('Income Statement'!F9*(1+$A4/Assumptions!F6)+'Income Statement'!F10+'Income Statement'!F13)*1.2-'Income Statement'!F15-'Income Statement'!F16-'Income Statement'!F17-'Income Statement'!F18-'Income Statement'!F19)*(1-Assumptions!$B$33))+MIN(0,(('Income Statement'!F9*(1+$A4/Assumptions!F6)+'Income Statement'!F10+'Income Statement'!F13)*1.2-'Income Statement'!F15-'Income Statement'!F16-'Income Statement'!F17-'Income Statement'!F18-'Income Statement'!F19))</f>
        <v>323538972.70307</v>
      </c>
    </row>
    <row r="5" customFormat="false" ht="15" hidden="false" customHeight="true" outlineLevel="0" collapsed="false">
      <c r="A5" s="308" t="n">
        <v>-0.02</v>
      </c>
      <c r="B5" s="290" t="n">
        <f aca="false">MAX(0,(('Income Statement'!F9*(1+$A5/Assumptions!F6)+'Income Statement'!F10+'Income Statement'!F13)*0.8-'Income Statement'!F15-'Income Statement'!F16-'Income Statement'!F17-'Income Statement'!F18-'Income Statement'!F19)*(1-Assumptions!$B$33))+MIN(0,(('Income Statement'!F9*(1+$A5/Assumptions!F6)+'Income Statement'!F10+'Income Statement'!F13)*0.8-'Income Statement'!F15-'Income Statement'!F16-'Income Statement'!F17-'Income Statement'!F18-'Income Statement'!F19))</f>
        <v>137117093.983568</v>
      </c>
      <c r="C5" s="290" t="n">
        <f aca="false">MAX(0,(('Income Statement'!F9*(1+$A5/Assumptions!F6)+'Income Statement'!F10+'Income Statement'!F13)*0.9-'Income Statement'!F15-'Income Statement'!F16-'Income Statement'!F17-'Income Statement'!F18-'Income Statement'!F19)*(1-Assumptions!$B$33))+MIN(0,(('Income Statement'!F9*(1+$A5/Assumptions!F6)+'Income Statement'!F10+'Income Statement'!F13)*0.9-'Income Statement'!F15-'Income Statement'!F16-'Income Statement'!F17-'Income Statement'!F18-'Income Statement'!F19))</f>
        <v>194866053.556736</v>
      </c>
      <c r="D5" s="290" t="n">
        <f aca="false">MAX(0,(('Income Statement'!F9*(1+$A5/Assumptions!F6)+'Income Statement'!F10+'Income Statement'!F13)*1-'Income Statement'!F15-'Income Statement'!F16-'Income Statement'!F17-'Income Statement'!F18-'Income Statement'!F19)*(1-Assumptions!$B$33))+MIN(0,(('Income Statement'!F9*(1+$A5/Assumptions!F6)+'Income Statement'!F10+'Income Statement'!F13)*1-'Income Statement'!F15-'Income Statement'!F16-'Income Statement'!F17-'Income Statement'!F18-'Income Statement'!F19))</f>
        <v>252615013.129903</v>
      </c>
      <c r="E5" s="290" t="n">
        <f aca="false">MAX(0,(('Income Statement'!F9*(1+$A5/Assumptions!F6)+'Income Statement'!F10+'Income Statement'!F13)*1.1-'Income Statement'!F15-'Income Statement'!F16-'Income Statement'!F17-'Income Statement'!F18-'Income Statement'!F19)*(1-Assumptions!$B$33))+MIN(0,(('Income Statement'!F9*(1+$A5/Assumptions!F6)+'Income Statement'!F10+'Income Statement'!F13)*1.1-'Income Statement'!F15-'Income Statement'!F16-'Income Statement'!F17-'Income Statement'!F18-'Income Statement'!F19))</f>
        <v>310363972.70307</v>
      </c>
      <c r="F5" s="290" t="n">
        <f aca="false">MAX(0,(('Income Statement'!F9*(1+$A5/Assumptions!F6)+'Income Statement'!F10+'Income Statement'!F13)*1.2-'Income Statement'!F15-'Income Statement'!F16-'Income Statement'!F17-'Income Statement'!F18-'Income Statement'!F19)*(1-Assumptions!$B$33))+MIN(0,(('Income Statement'!F9*(1+$A5/Assumptions!F6)+'Income Statement'!F10+'Income Statement'!F13)*1.2-'Income Statement'!F15-'Income Statement'!F16-'Income Statement'!F17-'Income Statement'!F18-'Income Statement'!F19))</f>
        <v>368112932.276238</v>
      </c>
    </row>
    <row r="6" customFormat="false" ht="15" hidden="false" customHeight="true" outlineLevel="0" collapsed="false">
      <c r="A6" s="308" t="n">
        <v>0</v>
      </c>
      <c r="B6" s="290" t="n">
        <f aca="false">MAX(0,(('Income Statement'!F9*(1+$A6/Assumptions!F6)+'Income Statement'!F10+'Income Statement'!F13)*0.8-'Income Statement'!F15-'Income Statement'!F16-'Income Statement'!F17-'Income Statement'!F18-'Income Statement'!F19)*(1-Assumptions!$B$33))+MIN(0,(('Income Statement'!F9*(1+$A6/Assumptions!F6)+'Income Statement'!F10+'Income Statement'!F13)*0.8-'Income Statement'!F15-'Income Statement'!F16-'Income Statement'!F17-'Income Statement'!F18-'Income Statement'!F19))</f>
        <v>166833067.032347</v>
      </c>
      <c r="C6" s="290" t="n">
        <f aca="false">MAX(0,(('Income Statement'!F9*(1+$A6/Assumptions!F6)+'Income Statement'!F10+'Income Statement'!F13)*0.9-'Income Statement'!F15-'Income Statement'!F16-'Income Statement'!F17-'Income Statement'!F18-'Income Statement'!F19)*(1-Assumptions!$B$33))+MIN(0,(('Income Statement'!F9*(1+$A6/Assumptions!F6)+'Income Statement'!F10+'Income Statement'!F13)*0.9-'Income Statement'!F15-'Income Statement'!F16-'Income Statement'!F17-'Income Statement'!F18-'Income Statement'!F19))</f>
        <v>228296523.236611</v>
      </c>
      <c r="D6" s="290" t="n">
        <f aca="false">MAX(0,(('Income Statement'!F9*(1+$A6/Assumptions!F6)+'Income Statement'!F10+'Income Statement'!F13)*1-'Income Statement'!F15-'Income Statement'!F16-'Income Statement'!F17-'Income Statement'!F18-'Income Statement'!F19)*(1-Assumptions!$B$33))+MIN(0,(('Income Statement'!F9*(1+$A6/Assumptions!F6)+'Income Statement'!F10+'Income Statement'!F13)*1-'Income Statement'!F15-'Income Statement'!F16-'Income Statement'!F17-'Income Statement'!F18-'Income Statement'!F19))</f>
        <v>289759979.440876</v>
      </c>
      <c r="E6" s="290" t="n">
        <f aca="false">MAX(0,(('Income Statement'!F9*(1+$A6/Assumptions!F6)+'Income Statement'!F10+'Income Statement'!F13)*1.1-'Income Statement'!F15-'Income Statement'!F16-'Income Statement'!F17-'Income Statement'!F18-'Income Statement'!F19)*(1-Assumptions!$B$33))+MIN(0,(('Income Statement'!F9*(1+$A6/Assumptions!F6)+'Income Statement'!F10+'Income Statement'!F13)*1.1-'Income Statement'!F15-'Income Statement'!F16-'Income Statement'!F17-'Income Statement'!F18-'Income Statement'!F19))</f>
        <v>351223435.64514</v>
      </c>
      <c r="F6" s="290" t="n">
        <f aca="false">MAX(0,(('Income Statement'!F9*(1+$A6/Assumptions!F6)+'Income Statement'!F10+'Income Statement'!F13)*1.2-'Income Statement'!F15-'Income Statement'!F16-'Income Statement'!F17-'Income Statement'!F18-'Income Statement'!F19)*(1-Assumptions!$B$33))+MIN(0,(('Income Statement'!F9*(1+$A6/Assumptions!F6)+'Income Statement'!F10+'Income Statement'!F13)*1.2-'Income Statement'!F15-'Income Statement'!F16-'Income Statement'!F17-'Income Statement'!F18-'Income Statement'!F19))</f>
        <v>412686891.849405</v>
      </c>
    </row>
    <row r="7" customFormat="false" ht="15" hidden="false" customHeight="true" outlineLevel="0" collapsed="false">
      <c r="A7" s="308" t="n">
        <v>0.02</v>
      </c>
      <c r="B7" s="290" t="n">
        <f aca="false">MAX(0,(('Income Statement'!F9*(1+$A7/Assumptions!F6)+'Income Statement'!F10+'Income Statement'!F13)*0.8-'Income Statement'!F15-'Income Statement'!F16-'Income Statement'!F17-'Income Statement'!F18-'Income Statement'!F19)*(1-Assumptions!$B$33))+MIN(0,(('Income Statement'!F9*(1+$A7/Assumptions!F6)+'Income Statement'!F10+'Income Statement'!F13)*0.8-'Income Statement'!F15-'Income Statement'!F16-'Income Statement'!F17-'Income Statement'!F18-'Income Statement'!F19))</f>
        <v>196549040.081125</v>
      </c>
      <c r="C7" s="290" t="n">
        <f aca="false">MAX(0,(('Income Statement'!F9*(1+$A7/Assumptions!F6)+'Income Statement'!F10+'Income Statement'!F13)*0.9-'Income Statement'!F15-'Income Statement'!F16-'Income Statement'!F17-'Income Statement'!F18-'Income Statement'!F19)*(1-Assumptions!$B$33))+MIN(0,(('Income Statement'!F9*(1+$A7/Assumptions!F6)+'Income Statement'!F10+'Income Statement'!F13)*0.9-'Income Statement'!F15-'Income Statement'!F16-'Income Statement'!F17-'Income Statement'!F18-'Income Statement'!F19))</f>
        <v>261726992.916487</v>
      </c>
      <c r="D7" s="290" t="n">
        <f aca="false">MAX(0,(('Income Statement'!F9*(1+$A7/Assumptions!F6)+'Income Statement'!F10+'Income Statement'!F13)*1-'Income Statement'!F15-'Income Statement'!F16-'Income Statement'!F17-'Income Statement'!F18-'Income Statement'!F19)*(1-Assumptions!$B$33))+MIN(0,(('Income Statement'!F9*(1+$A7/Assumptions!F6)+'Income Statement'!F10+'Income Statement'!F13)*1-'Income Statement'!F15-'Income Statement'!F16-'Income Statement'!F17-'Income Statement'!F18-'Income Statement'!F19))</f>
        <v>326904945.751849</v>
      </c>
      <c r="E7" s="290" t="n">
        <f aca="false">MAX(0,(('Income Statement'!F9*(1+$A7/Assumptions!F6)+'Income Statement'!F10+'Income Statement'!F13)*1.1-'Income Statement'!F15-'Income Statement'!F16-'Income Statement'!F17-'Income Statement'!F18-'Income Statement'!F19)*(1-Assumptions!$B$33))+MIN(0,(('Income Statement'!F9*(1+$A7/Assumptions!F6)+'Income Statement'!F10+'Income Statement'!F13)*1.1-'Income Statement'!F15-'Income Statement'!F16-'Income Statement'!F17-'Income Statement'!F18-'Income Statement'!F19))</f>
        <v>392082898.587211</v>
      </c>
      <c r="F7" s="290" t="n">
        <f aca="false">MAX(0,(('Income Statement'!F9*(1+$A7/Assumptions!F6)+'Income Statement'!F10+'Income Statement'!F13)*1.2-'Income Statement'!F15-'Income Statement'!F16-'Income Statement'!F17-'Income Statement'!F18-'Income Statement'!F19)*(1-Assumptions!$B$33))+MIN(0,(('Income Statement'!F9*(1+$A7/Assumptions!F6)+'Income Statement'!F10+'Income Statement'!F13)*1.2-'Income Statement'!F15-'Income Statement'!F16-'Income Statement'!F17-'Income Statement'!F18-'Income Statement'!F19))</f>
        <v>457260851.422572</v>
      </c>
    </row>
    <row r="8" customFormat="false" ht="15" hidden="false" customHeight="true" outlineLevel="0" collapsed="false">
      <c r="A8" s="308" t="n">
        <v>0.04</v>
      </c>
      <c r="B8" s="290" t="n">
        <f aca="false">MAX(0,(('Income Statement'!F9*(1+$A8/Assumptions!F6)+'Income Statement'!F10+'Income Statement'!F13)*0.8-'Income Statement'!F15-'Income Statement'!F16-'Income Statement'!F17-'Income Statement'!F18-'Income Statement'!F19)*(1-Assumptions!$B$33))+MIN(0,(('Income Statement'!F9*(1+$A8/Assumptions!F6)+'Income Statement'!F10+'Income Statement'!F13)*0.8-'Income Statement'!F15-'Income Statement'!F16-'Income Statement'!F17-'Income Statement'!F18-'Income Statement'!F19))</f>
        <v>226265013.129903</v>
      </c>
      <c r="C8" s="290" t="n">
        <f aca="false">MAX(0,(('Income Statement'!F9*(1+$A8/Assumptions!F6)+'Income Statement'!F10+'Income Statement'!F13)*0.9-'Income Statement'!F15-'Income Statement'!F16-'Income Statement'!F17-'Income Statement'!F18-'Income Statement'!F19)*(1-Assumptions!$B$33))+MIN(0,(('Income Statement'!F9*(1+$A8/Assumptions!F6)+'Income Statement'!F10+'Income Statement'!F13)*0.9-'Income Statement'!F15-'Income Statement'!F16-'Income Statement'!F17-'Income Statement'!F18-'Income Statement'!F19))</f>
        <v>295157462.596362</v>
      </c>
      <c r="D8" s="290" t="n">
        <f aca="false">MAX(0,(('Income Statement'!F9*(1+$A8/Assumptions!F6)+'Income Statement'!F10+'Income Statement'!F13)*1-'Income Statement'!F15-'Income Statement'!F16-'Income Statement'!F17-'Income Statement'!F18-'Income Statement'!F19)*(1-Assumptions!$B$33))+MIN(0,(('Income Statement'!F9*(1+$A8/Assumptions!F6)+'Income Statement'!F10+'Income Statement'!F13)*1-'Income Statement'!F15-'Income Statement'!F16-'Income Statement'!F17-'Income Statement'!F18-'Income Statement'!F19))</f>
        <v>364049912.062821</v>
      </c>
      <c r="E8" s="290" t="n">
        <f aca="false">MAX(0,(('Income Statement'!F9*(1+$A8/Assumptions!F6)+'Income Statement'!F10+'Income Statement'!F13)*1.1-'Income Statement'!F15-'Income Statement'!F16-'Income Statement'!F17-'Income Statement'!F18-'Income Statement'!F19)*(1-Assumptions!$B$33))+MIN(0,(('Income Statement'!F9*(1+$A8/Assumptions!F6)+'Income Statement'!F10+'Income Statement'!F13)*1.1-'Income Statement'!F15-'Income Statement'!F16-'Income Statement'!F17-'Income Statement'!F18-'Income Statement'!F19))</f>
        <v>432942361.529281</v>
      </c>
      <c r="F8" s="290" t="n">
        <f aca="false">MAX(0,(('Income Statement'!F9*(1+$A8/Assumptions!F6)+'Income Statement'!F10+'Income Statement'!F13)*1.2-'Income Statement'!F15-'Income Statement'!F16-'Income Statement'!F17-'Income Statement'!F18-'Income Statement'!F19)*(1-Assumptions!$B$33))+MIN(0,(('Income Statement'!F9*(1+$A8/Assumptions!F6)+'Income Statement'!F10+'Income Statement'!F13)*1.2-'Income Statement'!F15-'Income Statement'!F16-'Income Statement'!F17-'Income Statement'!F18-'Income Statement'!F19))</f>
        <v>501834810.99574</v>
      </c>
    </row>
    <row r="9" customFormat="false" ht="15" hidden="false" customHeight="true" outlineLevel="0" collapsed="false"/>
    <row r="10" customFormat="false" ht="43.5" hidden="false" customHeight="true" outlineLevel="0" collapsed="false">
      <c r="A10" s="73" t="s">
        <v>640</v>
      </c>
      <c r="B10" s="73"/>
      <c r="C10" s="73"/>
      <c r="D10" s="73"/>
      <c r="E10" s="73"/>
      <c r="F10" s="73"/>
    </row>
    <row r="11" customFormat="false" ht="15" hidden="false" customHeight="true" outlineLevel="0" collapsed="false"/>
    <row r="12" customFormat="false" ht="15" hidden="false" customHeight="true" outlineLevel="0" collapsed="false"/>
    <row r="13" customFormat="false" ht="15" hidden="false" customHeight="true" outlineLevel="0" collapsed="false"/>
  </sheetData>
  <mergeCells count="2">
    <mergeCell ref="A1:G1"/>
    <mergeCell ref="A10:F10"/>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8"/>
    <col collapsed="false" customWidth="true" hidden="false" outlineLevel="0" max="6" min="2" style="1" width="19"/>
    <col collapsed="false" customWidth="true" hidden="false" outlineLevel="0" max="8" min="7" style="1" width="16"/>
    <col collapsed="false" customWidth="true" hidden="false" outlineLevel="0" max="26" min="9" style="1" width="14"/>
  </cols>
  <sheetData>
    <row r="1" customFormat="false" ht="30.75" hidden="false" customHeight="true" outlineLevel="0" collapsed="false">
      <c r="A1" s="283" t="s">
        <v>641</v>
      </c>
      <c r="B1" s="283"/>
      <c r="C1" s="283"/>
      <c r="D1" s="283"/>
      <c r="E1" s="283"/>
      <c r="F1" s="283"/>
    </row>
    <row r="2" customFormat="false" ht="15" hidden="false" customHeight="true" outlineLevel="0" collapsed="false"/>
    <row r="3" customFormat="false" ht="15" hidden="false" customHeight="true" outlineLevel="0" collapsed="false">
      <c r="A3" s="284" t="s">
        <v>83</v>
      </c>
      <c r="B3" s="284" t="s">
        <v>84</v>
      </c>
      <c r="C3" s="284" t="s">
        <v>85</v>
      </c>
      <c r="D3" s="284" t="s">
        <v>86</v>
      </c>
      <c r="E3" s="284" t="s">
        <v>87</v>
      </c>
      <c r="F3" s="284" t="s">
        <v>88</v>
      </c>
    </row>
    <row r="4" customFormat="false" ht="21.75" hidden="false" customHeight="true" outlineLevel="0" collapsed="false">
      <c r="A4" s="285" t="s">
        <v>642</v>
      </c>
      <c r="B4" s="285"/>
      <c r="C4" s="285"/>
      <c r="D4" s="285"/>
      <c r="E4" s="285"/>
      <c r="F4" s="285"/>
    </row>
    <row r="5" customFormat="false" ht="15" hidden="false" customHeight="true" outlineLevel="0" collapsed="false">
      <c r="A5" s="286" t="s">
        <v>643</v>
      </c>
      <c r="B5" s="292" t="n">
        <f aca="false">Assumptions!B6</f>
        <v>0.34</v>
      </c>
      <c r="C5" s="292" t="n">
        <f aca="false">Assumptions!C6</f>
        <v>0.32</v>
      </c>
      <c r="D5" s="292" t="n">
        <f aca="false">Assumptions!D6</f>
        <v>0.3</v>
      </c>
      <c r="E5" s="292" t="n">
        <f aca="false">Assumptions!E6</f>
        <v>0.28</v>
      </c>
      <c r="F5" s="292" t="n">
        <f aca="false">Assumptions!F6</f>
        <v>0.26</v>
      </c>
    </row>
    <row r="6" customFormat="false" ht="15" hidden="false" customHeight="true" outlineLevel="0" collapsed="false">
      <c r="A6" s="286" t="s">
        <v>644</v>
      </c>
      <c r="B6" s="292" t="n">
        <f aca="false">Assumptions!B9*IFERROR(AVERAGE(0,'Balance Sheet'!B14)/AVERAGE(0,'Balance Sheet'!B6),0)</f>
        <v>0</v>
      </c>
      <c r="C6" s="292" t="n">
        <f aca="false">Assumptions!C9*IFERROR(AVERAGE('Balance Sheet'!B14,'Balance Sheet'!C14)/AVERAGE('Balance Sheet'!B6,'Balance Sheet'!C6),0)</f>
        <v>0.171993200187809</v>
      </c>
      <c r="D6" s="292" t="n">
        <f aca="false">Assumptions!D9*IFERROR(AVERAGE('Balance Sheet'!C14,'Balance Sheet'!D14)/AVERAGE('Balance Sheet'!C6,'Balance Sheet'!D6),0)</f>
        <v>0.159949840661468</v>
      </c>
      <c r="E6" s="292" t="n">
        <f aca="false">Assumptions!E9*IFERROR(AVERAGE('Balance Sheet'!D14,'Balance Sheet'!E14)/AVERAGE('Balance Sheet'!D6,'Balance Sheet'!E6),0)</f>
        <v>0.143488661453852</v>
      </c>
      <c r="F6" s="292" t="n">
        <f aca="false">Assumptions!F9*IFERROR(AVERAGE('Balance Sheet'!E14,'Balance Sheet'!F14)/AVERAGE('Balance Sheet'!E6,'Balance Sheet'!F6),0)</f>
        <v>0.139571064800468</v>
      </c>
    </row>
    <row r="7" customFormat="false" ht="15" hidden="false" customHeight="true" outlineLevel="0" collapsed="false">
      <c r="A7" s="286" t="s">
        <v>645</v>
      </c>
      <c r="B7" s="292" t="n">
        <f aca="false">IFERROR('Income Statement'!B16/AVERAGE(0,'Balance Sheet'!B6),0)</f>
        <v>0.06</v>
      </c>
      <c r="C7" s="292" t="n">
        <f aca="false">IFERROR('Income Statement'!C16/AVERAGE('Balance Sheet'!B6,'Balance Sheet'!C6),0)</f>
        <v>0.0547584829449219</v>
      </c>
      <c r="D7" s="292" t="n">
        <f aca="false">IFERROR('Income Statement'!D16/AVERAGE('Balance Sheet'!C6,'Balance Sheet'!D6),0)</f>
        <v>0.0188282542157252</v>
      </c>
      <c r="E7" s="292" t="n">
        <f aca="false">IFERROR('Income Statement'!E16/AVERAGE('Balance Sheet'!D6,'Balance Sheet'!E6),0)</f>
        <v>0.0189631268602094</v>
      </c>
      <c r="F7" s="292" t="n">
        <f aca="false">IFERROR('Income Statement'!F16/AVERAGE('Balance Sheet'!E6,'Balance Sheet'!F6),0)</f>
        <v>0.0182523184880404</v>
      </c>
    </row>
    <row r="8" customFormat="false" ht="15" hidden="false" customHeight="true" outlineLevel="0" collapsed="false">
      <c r="A8" s="286" t="s">
        <v>646</v>
      </c>
      <c r="B8" s="292" t="n">
        <f aca="false">0.2%</f>
        <v>0.002</v>
      </c>
      <c r="C8" s="292" t="n">
        <f aca="false">0.2%</f>
        <v>0.002</v>
      </c>
      <c r="D8" s="292" t="n">
        <f aca="false">0.2%</f>
        <v>0.002</v>
      </c>
      <c r="E8" s="292" t="n">
        <f aca="false">0.2%</f>
        <v>0.002</v>
      </c>
      <c r="F8" s="292" t="n">
        <f aca="false">0.2%</f>
        <v>0.002</v>
      </c>
    </row>
    <row r="9" customFormat="false" ht="15" hidden="false" customHeight="true" outlineLevel="0" collapsed="false">
      <c r="A9" s="286" t="s">
        <v>647</v>
      </c>
      <c r="B9" s="292" t="n">
        <f aca="false">B5-B6-B7-B8</f>
        <v>0.278</v>
      </c>
      <c r="C9" s="292" t="n">
        <f aca="false">C5-C6-C7-C8</f>
        <v>0.0912483168672692</v>
      </c>
      <c r="D9" s="292" t="n">
        <f aca="false">D5-D6-D7-D8</f>
        <v>0.119221905122807</v>
      </c>
      <c r="E9" s="292" t="n">
        <f aca="false">E5-E6-E7-E8</f>
        <v>0.115548211685939</v>
      </c>
      <c r="F9" s="292" t="n">
        <f aca="false">F5-F6-F7-F8</f>
        <v>0.100176616711491</v>
      </c>
    </row>
    <row r="10" customFormat="false" ht="15" hidden="false" customHeight="true" outlineLevel="0" collapsed="false">
      <c r="A10" s="289"/>
      <c r="B10" s="289"/>
      <c r="C10" s="289"/>
      <c r="D10" s="289"/>
      <c r="E10" s="289"/>
      <c r="F10" s="289"/>
    </row>
    <row r="11" customFormat="false" ht="21.75" hidden="false" customHeight="true" outlineLevel="0" collapsed="false">
      <c r="A11" s="291" t="s">
        <v>648</v>
      </c>
      <c r="B11" s="291"/>
      <c r="C11" s="291"/>
      <c r="D11" s="291"/>
      <c r="E11" s="291"/>
      <c r="F11" s="291"/>
    </row>
    <row r="12" customFormat="false" ht="15" hidden="false" customHeight="true" outlineLevel="0" collapsed="false">
      <c r="A12" s="286" t="s">
        <v>649</v>
      </c>
      <c r="B12" s="287" t="n">
        <f aca="false">'Income Statement'!B17</f>
        <v>11156112</v>
      </c>
      <c r="C12" s="287" t="n">
        <f aca="false">'Income Statement'!C17</f>
        <v>15618000</v>
      </c>
      <c r="D12" s="287" t="n">
        <f aca="false">'Income Statement'!D17</f>
        <v>21893869</v>
      </c>
      <c r="E12" s="287" t="n">
        <f aca="false">'Income Statement'!E17</f>
        <v>25061090</v>
      </c>
      <c r="F12" s="287" t="n">
        <f aca="false">'Income Statement'!F17</f>
        <v>30073308</v>
      </c>
    </row>
    <row r="13" customFormat="false" ht="15" hidden="false" customHeight="true" outlineLevel="0" collapsed="false">
      <c r="A13" s="286" t="s">
        <v>650</v>
      </c>
      <c r="B13" s="287" t="n">
        <f aca="false">'Income Statement'!B18</f>
        <v>4435200</v>
      </c>
      <c r="C13" s="287" t="n">
        <f aca="false">'Income Statement'!C18</f>
        <v>7413120</v>
      </c>
      <c r="D13" s="287" t="n">
        <f aca="false">'Income Statement'!D18</f>
        <v>8305440</v>
      </c>
      <c r="E13" s="287" t="n">
        <f aca="false">'Income Statement'!E18</f>
        <v>12769614</v>
      </c>
      <c r="F13" s="287" t="n">
        <f aca="false">'Income Statement'!F18</f>
        <v>18043568.4</v>
      </c>
    </row>
    <row r="14" customFormat="false" ht="15" hidden="false" customHeight="true" outlineLevel="0" collapsed="false">
      <c r="A14" s="286" t="s">
        <v>442</v>
      </c>
      <c r="B14" s="287" t="n">
        <f aca="false">'Income Statement'!B19</f>
        <v>0</v>
      </c>
      <c r="C14" s="287" t="n">
        <f aca="false">'Income Statement'!C19</f>
        <v>0</v>
      </c>
      <c r="D14" s="287" t="n">
        <f aca="false">'Income Statement'!D19</f>
        <v>1000000</v>
      </c>
      <c r="E14" s="287" t="n">
        <f aca="false">'Income Statement'!E19</f>
        <v>1500000</v>
      </c>
      <c r="F14" s="287" t="n">
        <f aca="false">'Income Statement'!F19</f>
        <v>2000000</v>
      </c>
    </row>
    <row r="15" customFormat="false" ht="15" hidden="false" customHeight="true" outlineLevel="0" collapsed="false">
      <c r="A15" s="286" t="s">
        <v>651</v>
      </c>
      <c r="B15" s="287" t="n">
        <f aca="false">SUM(B12:B14)</f>
        <v>15591312</v>
      </c>
      <c r="C15" s="287" t="n">
        <f aca="false">SUM(C12:C14)</f>
        <v>23031120</v>
      </c>
      <c r="D15" s="287" t="n">
        <f aca="false">SUM(D12:D14)</f>
        <v>31199309</v>
      </c>
      <c r="E15" s="287" t="n">
        <f aca="false">SUM(E12:E14)</f>
        <v>39330704</v>
      </c>
      <c r="F15" s="287" t="n">
        <f aca="false">SUM(F12:F14)</f>
        <v>50116876.4</v>
      </c>
    </row>
    <row r="16" customFormat="false" ht="15" hidden="false" customHeight="true" outlineLevel="0" collapsed="false">
      <c r="A16" s="289"/>
      <c r="B16" s="290"/>
      <c r="C16" s="290"/>
      <c r="D16" s="290"/>
      <c r="E16" s="290"/>
      <c r="F16" s="290"/>
    </row>
    <row r="17" customFormat="false" ht="21.75" hidden="false" customHeight="true" outlineLevel="0" collapsed="false">
      <c r="A17" s="291" t="s">
        <v>652</v>
      </c>
      <c r="B17" s="291"/>
      <c r="C17" s="291"/>
      <c r="D17" s="291"/>
      <c r="E17" s="291"/>
      <c r="F17" s="291"/>
    </row>
    <row r="18" customFormat="false" ht="15" hidden="false" customHeight="true" outlineLevel="0" collapsed="false">
      <c r="A18" s="286" t="s">
        <v>653</v>
      </c>
      <c r="B18" s="287" t="n">
        <f aca="false">IFERROR(B15/B9,0)</f>
        <v>56083856.1151079</v>
      </c>
      <c r="C18" s="287" t="n">
        <f aca="false">IFERROR(C15/C9,0)</f>
        <v>252400491.216746</v>
      </c>
      <c r="D18" s="287" t="n">
        <f aca="false">IFERROR(D15/D9,0)</f>
        <v>261691079.066909</v>
      </c>
      <c r="E18" s="287" t="n">
        <f aca="false">IFERROR(E15/E9,0)</f>
        <v>340383493.834602</v>
      </c>
      <c r="F18" s="287" t="n">
        <f aca="false">IFERROR(F15/F9,0)</f>
        <v>500285176.772706</v>
      </c>
    </row>
    <row r="19" customFormat="false" ht="15" hidden="false" customHeight="true" outlineLevel="0" collapsed="false">
      <c r="A19" s="286" t="s">
        <v>654</v>
      </c>
      <c r="B19" s="287" t="n">
        <f aca="false">B18/(1-Assumptions!$B$25)*(12/Assumptions!$B$29)</f>
        <v>26392402.8776978</v>
      </c>
      <c r="C19" s="287" t="n">
        <f aca="false">C18/(1-Assumptions!$B$25)*(12/Assumptions!$B$29)</f>
        <v>118776701.749057</v>
      </c>
      <c r="D19" s="287" t="n">
        <f aca="false">D18/(1-Assumptions!$B$25)*(12/Assumptions!$B$29)</f>
        <v>123148743.09031</v>
      </c>
      <c r="E19" s="287" t="n">
        <f aca="false">E18/(1-Assumptions!$B$25)*(12/Assumptions!$B$29)</f>
        <v>160180467.686871</v>
      </c>
      <c r="F19" s="287" t="n">
        <f aca="false">F18/(1-Assumptions!$B$25)*(12/Assumptions!$B$29)</f>
        <v>235428318.481274</v>
      </c>
    </row>
    <row r="20" customFormat="false" ht="15" hidden="false" customHeight="true" outlineLevel="0" collapsed="false">
      <c r="A20" s="286" t="s">
        <v>655</v>
      </c>
      <c r="B20" s="287" t="n">
        <f aca="false">AVERAGE(0,'Balance Sheet'!B6)</f>
        <v>10336152.045</v>
      </c>
      <c r="C20" s="287" t="n">
        <f aca="false">AVERAGE('Balance Sheet'!B6,'Balance Sheet'!C6)</f>
        <v>236637262.145</v>
      </c>
      <c r="D20" s="287" t="n">
        <f aca="false">AVERAGE('Balance Sheet'!C6,'Balance Sheet'!D6)</f>
        <v>659581776.16</v>
      </c>
      <c r="E20" s="287" t="n">
        <f aca="false">AVERAGE('Balance Sheet'!D6,'Balance Sheet'!E6)</f>
        <v>1266999065.696</v>
      </c>
      <c r="F20" s="287" t="n">
        <f aca="false">AVERAGE('Balance Sheet'!E6,'Balance Sheet'!F6)</f>
        <v>2396449439.4176</v>
      </c>
    </row>
    <row r="21" customFormat="false" ht="15" hidden="false" customHeight="true" outlineLevel="0" collapsed="false">
      <c r="A21" s="286" t="s">
        <v>656</v>
      </c>
      <c r="B21" s="292" t="n">
        <f aca="false">IFERROR(1-B18/B20,0)</f>
        <v>-4.42598985298769</v>
      </c>
      <c r="C21" s="292" t="n">
        <f aca="false">IFERROR(1-C18/C20,0)</f>
        <v>-0.0666134696153085</v>
      </c>
      <c r="D21" s="292" t="n">
        <f aca="false">IFERROR(1-D18/D20,0)</f>
        <v>0.60324695356133</v>
      </c>
      <c r="E21" s="292" t="n">
        <f aca="false">IFERROR(1-E18/E20,0)</f>
        <v>0.731346689156697</v>
      </c>
      <c r="F21" s="292" t="n">
        <f aca="false">IFERROR(1-F18/F20,0)</f>
        <v>0.791239001940183</v>
      </c>
    </row>
    <row r="22" customFormat="false" ht="15" hidden="false" customHeight="true" outlineLevel="0" collapsed="false">
      <c r="A22" s="286" t="s">
        <v>657</v>
      </c>
      <c r="B22" s="286" t="str">
        <f aca="false">IF(B20&gt;=B18,"فوق التعادل","دون التعادل")</f>
        <v>دون التعادل</v>
      </c>
      <c r="C22" s="286" t="str">
        <f aca="false">IF(C20&gt;=C18,"فوق التعادل","دون التعادل")</f>
        <v>دون التعادل</v>
      </c>
      <c r="D22" s="286" t="str">
        <f aca="false">IF(D20&gt;=D18,"فوق التعادل","دون التعادل")</f>
        <v>فوق التعادل</v>
      </c>
      <c r="E22" s="286" t="str">
        <f aca="false">IF(E20&gt;=E18,"فوق التعادل","دون التعادل")</f>
        <v>فوق التعادل</v>
      </c>
      <c r="F22" s="286" t="str">
        <f aca="false">IF(F20&gt;=F18,"فوق التعادل","دون التعادل")</f>
        <v>فوق التعادل</v>
      </c>
    </row>
  </sheetData>
  <mergeCells count="4">
    <mergeCell ref="A1:F1"/>
    <mergeCell ref="A4:F4"/>
    <mergeCell ref="A11:F11"/>
    <mergeCell ref="A17:F17"/>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8"/>
    <col collapsed="false" customWidth="true" hidden="false" outlineLevel="0" max="7" min="2" style="1" width="16"/>
    <col collapsed="false" customWidth="true" hidden="false" outlineLevel="0" max="8" min="8" style="1" width="36"/>
    <col collapsed="false" customWidth="true" hidden="false" outlineLevel="0" max="26" min="9" style="1" width="14"/>
  </cols>
  <sheetData>
    <row r="1" customFormat="false" ht="30.75" hidden="false" customHeight="true" outlineLevel="0" collapsed="false">
      <c r="A1" s="283" t="s">
        <v>658</v>
      </c>
      <c r="B1" s="283"/>
      <c r="C1" s="283"/>
      <c r="D1" s="283"/>
      <c r="E1" s="283"/>
      <c r="F1" s="283"/>
      <c r="G1" s="283"/>
      <c r="H1" s="283"/>
    </row>
    <row r="2" customFormat="false" ht="15" hidden="false" customHeight="true" outlineLevel="0" collapsed="false"/>
    <row r="3" customFormat="false" ht="15" hidden="false" customHeight="true" outlineLevel="0" collapsed="false">
      <c r="A3" s="302" t="s">
        <v>659</v>
      </c>
      <c r="B3" s="302" t="s">
        <v>660</v>
      </c>
      <c r="C3" s="302" t="s">
        <v>84</v>
      </c>
      <c r="D3" s="302" t="s">
        <v>85</v>
      </c>
      <c r="E3" s="302" t="s">
        <v>86</v>
      </c>
      <c r="F3" s="302" t="s">
        <v>87</v>
      </c>
      <c r="G3" s="302" t="s">
        <v>88</v>
      </c>
      <c r="H3" s="302" t="s">
        <v>661</v>
      </c>
    </row>
    <row r="4" customFormat="false" ht="30" hidden="false" customHeight="true" outlineLevel="0" collapsed="false">
      <c r="A4" s="286" t="s">
        <v>662</v>
      </c>
      <c r="B4" s="286" t="s">
        <v>663</v>
      </c>
      <c r="C4" s="286" t="s">
        <v>664</v>
      </c>
      <c r="D4" s="286" t="s">
        <v>664</v>
      </c>
      <c r="E4" s="286" t="s">
        <v>664</v>
      </c>
      <c r="F4" s="286" t="s">
        <v>664</v>
      </c>
      <c r="G4" s="286" t="s">
        <v>664</v>
      </c>
      <c r="H4" s="286" t="s">
        <v>40</v>
      </c>
    </row>
    <row r="5" customFormat="false" ht="30" hidden="false" customHeight="true" outlineLevel="0" collapsed="false">
      <c r="A5" s="286" t="s">
        <v>665</v>
      </c>
      <c r="B5" s="286" t="s">
        <v>666</v>
      </c>
      <c r="C5" s="286" t="s">
        <v>664</v>
      </c>
      <c r="D5" s="286" t="s">
        <v>664</v>
      </c>
      <c r="E5" s="286" t="s">
        <v>664</v>
      </c>
      <c r="F5" s="286" t="s">
        <v>664</v>
      </c>
      <c r="G5" s="286" t="s">
        <v>664</v>
      </c>
      <c r="H5" s="286" t="s">
        <v>667</v>
      </c>
    </row>
    <row r="6" customFormat="false" ht="30" hidden="false" customHeight="true" outlineLevel="0" collapsed="false">
      <c r="A6" s="286" t="s">
        <v>668</v>
      </c>
      <c r="B6" s="286" t="s">
        <v>669</v>
      </c>
      <c r="C6" s="286" t="s">
        <v>664</v>
      </c>
      <c r="D6" s="286" t="s">
        <v>664</v>
      </c>
      <c r="E6" s="286" t="s">
        <v>664</v>
      </c>
      <c r="F6" s="286" t="s">
        <v>664</v>
      </c>
      <c r="G6" s="286" t="s">
        <v>664</v>
      </c>
      <c r="H6" s="286" t="s">
        <v>670</v>
      </c>
    </row>
    <row r="7" customFormat="false" ht="30" hidden="false" customHeight="true" outlineLevel="0" collapsed="false">
      <c r="A7" s="286" t="s">
        <v>671</v>
      </c>
      <c r="B7" s="286" t="s">
        <v>672</v>
      </c>
      <c r="C7" s="286" t="str">
        <f aca="false">'Regulatory Capital Plan'!B16</f>
        <v>متوافق</v>
      </c>
      <c r="D7" s="286" t="str">
        <f aca="false">'Regulatory Capital Plan'!C16</f>
        <v>فجوة</v>
      </c>
      <c r="E7" s="286" t="str">
        <f aca="false">'Regulatory Capital Plan'!D16</f>
        <v>متوافق</v>
      </c>
      <c r="F7" s="286" t="str">
        <f aca="false">'Regulatory Capital Plan'!E16</f>
        <v>متوافق</v>
      </c>
      <c r="G7" s="286" t="str">
        <f aca="false">'Regulatory Capital Plan'!F16</f>
        <v>متوافق</v>
      </c>
      <c r="H7" s="286" t="s">
        <v>673</v>
      </c>
    </row>
    <row r="8" customFormat="false" ht="30" hidden="false" customHeight="true" outlineLevel="0" collapsed="false">
      <c r="A8" s="286" t="s">
        <v>609</v>
      </c>
      <c r="B8" s="286" t="s">
        <v>674</v>
      </c>
      <c r="C8" s="286" t="str">
        <f aca="false">IF('Regulatory Capital Plan'!B31&lt;12%,"فجوة تخطيطية","استرشادي - يتطلب اعتماد المدخلات الرقابية")</f>
        <v>استرشادي - يتطلب اعتماد المدخلات الرقابية</v>
      </c>
      <c r="D8" s="286" t="str">
        <f aca="false">IF('Regulatory Capital Plan'!C31&lt;12%,"فجوة تخطيطية","استرشادي - يتطلب اعتماد المدخلات الرقابية")</f>
        <v>استرشادي - يتطلب اعتماد المدخلات الرقابية</v>
      </c>
      <c r="E8" s="286" t="str">
        <f aca="false">IF('Regulatory Capital Plan'!D31&lt;12%,"فجوة تخطيطية","استرشادي - يتطلب اعتماد المدخلات الرقابية")</f>
        <v>استرشادي - يتطلب اعتماد المدخلات الرقابية</v>
      </c>
      <c r="F8" s="286" t="str">
        <f aca="false">IF('Regulatory Capital Plan'!E31&lt;12%,"فجوة تخطيطية","استرشادي - يتطلب اعتماد المدخلات الرقابية")</f>
        <v>استرشادي - يتطلب اعتماد المدخلات الرقابية</v>
      </c>
      <c r="G8" s="286" t="str">
        <f aca="false">IF('Regulatory Capital Plan'!F31&lt;12%,"فجوة تخطيطية","استرشادي - يتطلب اعتماد المدخلات الرقابية")</f>
        <v>استرشادي - يتطلب اعتماد المدخلات الرقابية</v>
      </c>
      <c r="H8" s="286" t="s">
        <v>66</v>
      </c>
    </row>
    <row r="9" customFormat="false" ht="30" hidden="false" customHeight="true" outlineLevel="0" collapsed="false">
      <c r="A9" s="286" t="s">
        <v>675</v>
      </c>
      <c r="B9" s="286" t="s">
        <v>676</v>
      </c>
      <c r="C9" s="286" t="str">
        <f aca="false">'Funding &amp; Liquidity'!B22</f>
        <v>استرشادي - بيانات آجال تعاقدية مطلوبة</v>
      </c>
      <c r="D9" s="286" t="str">
        <f aca="false">'Funding &amp; Liquidity'!C22</f>
        <v>استرشادي - بيانات آجال تعاقدية مطلوبة</v>
      </c>
      <c r="E9" s="286" t="str">
        <f aca="false">'Funding &amp; Liquidity'!D22</f>
        <v>استرشادي - بيانات آجال تعاقدية مطلوبة</v>
      </c>
      <c r="F9" s="286" t="str">
        <f aca="false">'Funding &amp; Liquidity'!E22</f>
        <v>استرشادي - بيانات آجال تعاقدية مطلوبة</v>
      </c>
      <c r="G9" s="286" t="str">
        <f aca="false">'Funding &amp; Liquidity'!F22</f>
        <v>استرشادي - بيانات آجال تعاقدية مطلوبة</v>
      </c>
      <c r="H9" s="286" t="s">
        <v>68</v>
      </c>
    </row>
    <row r="10" customFormat="false" ht="30" hidden="false" customHeight="true" outlineLevel="0" collapsed="false">
      <c r="A10" s="286" t="s">
        <v>677</v>
      </c>
      <c r="B10" s="286" t="s">
        <v>676</v>
      </c>
      <c r="C10" s="286" t="str">
        <f aca="false">'Funding &amp; Liquidity'!B36</f>
        <v>استرشادي - جداول ASF/RSF الفعلية مطلوبة</v>
      </c>
      <c r="D10" s="286" t="str">
        <f aca="false">'Funding &amp; Liquidity'!C36</f>
        <v>استرشادي - جداول ASF/RSF الفعلية مطلوبة</v>
      </c>
      <c r="E10" s="286" t="str">
        <f aca="false">'Funding &amp; Liquidity'!D36</f>
        <v>استرشادي - جداول ASF/RSF الفعلية مطلوبة</v>
      </c>
      <c r="F10" s="286" t="str">
        <f aca="false">'Funding &amp; Liquidity'!E36</f>
        <v>استرشادي - جداول ASF/RSF الفعلية مطلوبة</v>
      </c>
      <c r="G10" s="286" t="str">
        <f aca="false">'Funding &amp; Liquidity'!F36</f>
        <v>استرشادي - جداول ASF/RSF الفعلية مطلوبة</v>
      </c>
      <c r="H10" s="286" t="s">
        <v>68</v>
      </c>
    </row>
    <row r="11" customFormat="false" ht="30" hidden="false" customHeight="true" outlineLevel="0" collapsed="false">
      <c r="A11" s="286" t="s">
        <v>613</v>
      </c>
      <c r="B11" s="286" t="s">
        <v>678</v>
      </c>
      <c r="C11" s="286" t="str">
        <f aca="false">'Regulatory Capital Plan'!B39</f>
        <v>بيانات معلقة - سجل تركز العملاء/الأطراف المرتبطة مطلوب</v>
      </c>
      <c r="D11" s="286" t="str">
        <f aca="false">'Regulatory Capital Plan'!C39</f>
        <v>بيانات معلقة - سجل تركز العملاء/الأطراف المرتبطة مطلوب</v>
      </c>
      <c r="E11" s="286" t="str">
        <f aca="false">'Regulatory Capital Plan'!D39</f>
        <v>بيانات معلقة - سجل تركز العملاء/الأطراف المرتبطة مطلوب</v>
      </c>
      <c r="F11" s="286" t="str">
        <f aca="false">'Regulatory Capital Plan'!E39</f>
        <v>بيانات معلقة - سجل تركز العملاء/الأطراف المرتبطة مطلوب</v>
      </c>
      <c r="G11" s="286" t="str">
        <f aca="false">'Regulatory Capital Plan'!F39</f>
        <v>بيانات معلقة - سجل تركز العملاء/الأطراف المرتبطة مطلوب</v>
      </c>
      <c r="H11" s="286" t="s">
        <v>66</v>
      </c>
    </row>
    <row r="12" customFormat="false" ht="30" hidden="false" customHeight="true" outlineLevel="0" collapsed="false">
      <c r="A12" s="286" t="s">
        <v>679</v>
      </c>
      <c r="B12" s="286" t="s">
        <v>680</v>
      </c>
      <c r="C12" s="286" t="s">
        <v>664</v>
      </c>
      <c r="D12" s="286" t="s">
        <v>664</v>
      </c>
      <c r="E12" s="286" t="s">
        <v>664</v>
      </c>
      <c r="F12" s="286" t="s">
        <v>664</v>
      </c>
      <c r="G12" s="286" t="s">
        <v>664</v>
      </c>
      <c r="H12" s="286" t="s">
        <v>30</v>
      </c>
    </row>
    <row r="13" customFormat="false" ht="30" hidden="false" customHeight="true" outlineLevel="0" collapsed="false">
      <c r="A13" s="286" t="s">
        <v>681</v>
      </c>
      <c r="B13" s="286" t="s">
        <v>682</v>
      </c>
      <c r="C13" s="286" t="s">
        <v>664</v>
      </c>
      <c r="D13" s="286" t="s">
        <v>664</v>
      </c>
      <c r="E13" s="286" t="s">
        <v>664</v>
      </c>
      <c r="F13" s="286" t="s">
        <v>664</v>
      </c>
      <c r="G13" s="286" t="s">
        <v>664</v>
      </c>
      <c r="H13" s="286" t="s">
        <v>683</v>
      </c>
    </row>
    <row r="14" customFormat="false" ht="30" hidden="false" customHeight="true" outlineLevel="0" collapsed="false">
      <c r="A14" s="286" t="s">
        <v>684</v>
      </c>
      <c r="B14" s="286" t="s">
        <v>685</v>
      </c>
      <c r="C14" s="286" t="s">
        <v>664</v>
      </c>
      <c r="D14" s="286" t="s">
        <v>664</v>
      </c>
      <c r="E14" s="286" t="s">
        <v>664</v>
      </c>
      <c r="F14" s="286" t="s">
        <v>664</v>
      </c>
      <c r="G14" s="286" t="s">
        <v>664</v>
      </c>
      <c r="H14" s="286" t="s">
        <v>686</v>
      </c>
    </row>
    <row r="15" customFormat="false" ht="30" hidden="false" customHeight="true" outlineLevel="0" collapsed="false"/>
    <row r="16" customFormat="false" ht="42" hidden="false" customHeight="true" outlineLevel="0" collapsed="false">
      <c r="A16" s="61" t="s">
        <v>687</v>
      </c>
      <c r="B16" s="61"/>
      <c r="C16" s="61"/>
      <c r="D16" s="61"/>
      <c r="E16" s="61"/>
      <c r="F16" s="61"/>
      <c r="G16" s="61"/>
      <c r="H16" s="61"/>
    </row>
    <row r="17" customFormat="false" ht="30" hidden="false" customHeight="true" outlineLevel="0" collapsed="false"/>
    <row r="18" customFormat="false" ht="30" hidden="false" customHeight="true" outlineLevel="0" collapsed="false"/>
    <row r="19" customFormat="false" ht="30" hidden="false" customHeight="true" outlineLevel="0" collapsed="false"/>
    <row r="20" customFormat="false" ht="30" hidden="false" customHeight="true" outlineLevel="0" collapsed="false"/>
    <row r="21" customFormat="false" ht="30" hidden="false" customHeight="true" outlineLevel="0" collapsed="false"/>
    <row r="22" customFormat="false" ht="30" hidden="false" customHeight="true" outlineLevel="0" collapsed="false"/>
    <row r="23" customFormat="false" ht="51.75" hidden="false" customHeight="true" outlineLevel="0" collapsed="false"/>
    <row r="24" customFormat="false" ht="51.75" hidden="false" customHeight="true" outlineLevel="0" collapsed="false"/>
    <row r="25" customFormat="false" ht="51.75" hidden="false" customHeight="true" outlineLevel="0" collapsed="false"/>
    <row r="26" customFormat="false" ht="51.75" hidden="false" customHeight="true" outlineLevel="0" collapsed="false"/>
    <row r="27" customFormat="false" ht="51.75" hidden="false" customHeight="true" outlineLevel="0" collapsed="false"/>
    <row r="28" customFormat="false" ht="51.75" hidden="false" customHeight="true" outlineLevel="0" collapsed="false"/>
    <row r="29" customFormat="false" ht="51.75" hidden="false" customHeight="true" outlineLevel="0" collapsed="false"/>
    <row r="30" customFormat="false" ht="54" hidden="false" customHeight="true" outlineLevel="0" collapsed="false"/>
    <row r="31" customFormat="false" ht="57.75" hidden="false" customHeight="true" outlineLevel="0" collapsed="false"/>
  </sheetData>
  <mergeCells count="2">
    <mergeCell ref="A1:H1"/>
    <mergeCell ref="A16:H16"/>
  </mergeCells>
  <conditionalFormatting sqref="D4:D24">
    <cfRule type="containsText" priority="2" operator="containsText" aboveAverage="0" equalAverage="0" bottom="0" percent="0" rank="0" text="مستوفى" dxfId="0">
      <formula>NOT(ISERROR(SEARCH("مستوفى",D4)))</formula>
    </cfRule>
    <cfRule type="containsText" priority="3" operator="containsText" aboveAverage="0" equalAverage="0" bottom="0" percent="0" rank="0" text="افتراض" dxfId="1">
      <formula>NOT(ISERROR(SEARCH("افتراض",D4)))</formula>
    </cfRule>
  </conditionalFormatting>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2"/>
    <col collapsed="false" customWidth="true" hidden="false" outlineLevel="0" max="6" min="2" style="1" width="20"/>
    <col collapsed="false" customWidth="true" hidden="false" outlineLevel="0" max="26" min="9" style="1" width="14"/>
  </cols>
  <sheetData>
    <row r="1" customFormat="false" ht="15" hidden="false" customHeight="true" outlineLevel="0" collapsed="false">
      <c r="A1" s="310" t="s">
        <v>688</v>
      </c>
      <c r="B1" s="310"/>
      <c r="C1" s="310"/>
      <c r="D1" s="310"/>
      <c r="E1" s="310"/>
      <c r="F1" s="310"/>
    </row>
    <row r="2" customFormat="false" ht="15" hidden="false" customHeight="true" outlineLevel="0" collapsed="false">
      <c r="A2" s="113"/>
      <c r="B2" s="113"/>
      <c r="C2" s="113"/>
      <c r="D2" s="113"/>
      <c r="E2" s="113"/>
      <c r="F2" s="113"/>
    </row>
    <row r="3" customFormat="false" ht="15" hidden="false" customHeight="true" outlineLevel="0" collapsed="false">
      <c r="A3" s="302" t="s">
        <v>689</v>
      </c>
      <c r="B3" s="302" t="s">
        <v>84</v>
      </c>
      <c r="C3" s="302" t="s">
        <v>85</v>
      </c>
      <c r="D3" s="302" t="s">
        <v>86</v>
      </c>
      <c r="E3" s="302" t="s">
        <v>87</v>
      </c>
      <c r="F3" s="302" t="s">
        <v>88</v>
      </c>
    </row>
    <row r="4" customFormat="false" ht="15" hidden="false" customHeight="true" outlineLevel="0" collapsed="false">
      <c r="A4" s="304" t="s">
        <v>690</v>
      </c>
      <c r="B4" s="304" t="str">
        <f aca="false">IF(ABS('Balance Sheet'!B24)&lt;1,"OK","ERROR")</f>
        <v>OK</v>
      </c>
      <c r="C4" s="304" t="str">
        <f aca="false">IF(ABS('Balance Sheet'!C24)&lt;1,"OK","ERROR")</f>
        <v>OK</v>
      </c>
      <c r="D4" s="304" t="str">
        <f aca="false">IF(ABS('Balance Sheet'!D24)&lt;1,"OK","ERROR")</f>
        <v>OK</v>
      </c>
      <c r="E4" s="304" t="str">
        <f aca="false">IF(ABS('Balance Sheet'!E24)&lt;1,"OK","ERROR")</f>
        <v>OK</v>
      </c>
      <c r="F4" s="304" t="str">
        <f aca="false">IF(ABS('Balance Sheet'!F24)&lt;1,"OK","ERROR")</f>
        <v>OK</v>
      </c>
    </row>
    <row r="5" customFormat="false" ht="15" hidden="false" customHeight="true" outlineLevel="0" collapsed="false">
      <c r="A5" s="304" t="s">
        <v>691</v>
      </c>
      <c r="B5" s="304" t="str">
        <f aca="false">IF(ABS('Cash Flow'!B26)&lt;1,"OK","ERROR")</f>
        <v>OK</v>
      </c>
      <c r="C5" s="304" t="str">
        <f aca="false">IF(ABS('Cash Flow'!C26)&lt;1,"OK","ERROR")</f>
        <v>OK</v>
      </c>
      <c r="D5" s="304" t="str">
        <f aca="false">IF(ABS('Cash Flow'!D26)&lt;1,"OK","ERROR")</f>
        <v>OK</v>
      </c>
      <c r="E5" s="304" t="str">
        <f aca="false">IF(ABS('Cash Flow'!E26)&lt;1,"OK","ERROR")</f>
        <v>OK</v>
      </c>
      <c r="F5" s="304" t="str">
        <f aca="false">IF(ABS('Cash Flow'!F26)&lt;1,"OK","ERROR")</f>
        <v>OK</v>
      </c>
    </row>
    <row r="6" customFormat="false" ht="15" hidden="false" customHeight="true" outlineLevel="0" collapsed="false">
      <c r="A6" s="304" t="s">
        <v>692</v>
      </c>
      <c r="B6" s="304" t="str">
        <f aca="false">IF(ABS('Income Statement'!B5-Assumptions!B4)&lt;1,"OK","ERROR")</f>
        <v>OK</v>
      </c>
      <c r="C6" s="304" t="str">
        <f aca="false">IF(ABS('Income Statement'!C5-Assumptions!C4)&lt;1,"OK","ERROR")</f>
        <v>OK</v>
      </c>
      <c r="D6" s="304" t="str">
        <f aca="false">IF(ABS('Income Statement'!D5-Assumptions!D4)&lt;1,"OK","ERROR")</f>
        <v>OK</v>
      </c>
      <c r="E6" s="304" t="str">
        <f aca="false">IF(ABS('Income Statement'!E5-Assumptions!E4)&lt;1,"OK","ERROR")</f>
        <v>OK</v>
      </c>
      <c r="F6" s="304" t="str">
        <f aca="false">IF(ABS('Income Statement'!F5-Assumptions!F4)&lt;1,"OK","ERROR")</f>
        <v>OK</v>
      </c>
    </row>
    <row r="7" customFormat="false" ht="15" hidden="false" customHeight="true" outlineLevel="0" collapsed="false">
      <c r="A7" s="304" t="s">
        <v>693</v>
      </c>
      <c r="B7" s="304" t="str">
        <f aca="false">IF(ABS(SUMIFS(Originations!$B$7:$BI$7,Originations!$B$4:$BI$4,2027)-Assumptions!B4)&lt;1,"OK","ERROR")</f>
        <v>OK</v>
      </c>
      <c r="C7" s="304" t="str">
        <f aca="false">IF(ABS(SUMIFS(Originations!$B$7:$BI$7,Originations!$B$4:$BI$4,2028)-Assumptions!C4)&lt;1,"OK","ERROR")</f>
        <v>OK</v>
      </c>
      <c r="D7" s="304" t="str">
        <f aca="false">IF(ABS(SUMIFS(Originations!$B$7:$BI$7,Originations!$B$4:$BI$4,2029)-Assumptions!D4)&lt;1,"OK","ERROR")</f>
        <v>OK</v>
      </c>
      <c r="E7" s="304" t="str">
        <f aca="false">IF(ABS(SUMIFS(Originations!$B$7:$BI$7,Originations!$B$4:$BI$4,2030)-Assumptions!E4)&lt;1,"OK","ERROR")</f>
        <v>OK</v>
      </c>
      <c r="F7" s="304" t="str">
        <f aca="false">IF(ABS(SUMIFS(Originations!$B$7:$BI$7,Originations!$B$4:$BI$4,2031)-Assumptions!F4)&lt;1,"OK","ERROR")</f>
        <v>OK</v>
      </c>
    </row>
    <row r="8" customFormat="false" ht="33.75" hidden="false" customHeight="true" outlineLevel="0" collapsed="false">
      <c r="A8" s="304" t="s">
        <v>694</v>
      </c>
      <c r="B8" s="304" t="str">
        <f aca="false">IF(COUNTIF('Monthly Model'!B36:M36,"فجوة")=0,"متوافق تخطيطيا","فجوة")</f>
        <v>متوافق تخطيطيا</v>
      </c>
      <c r="C8" s="304" t="str">
        <f aca="false">IF(COUNTIF('Monthly Model'!N36:Y36,"فجوة")=0,"متوافق تخطيطيا","فجوة")</f>
        <v>فجوة</v>
      </c>
      <c r="D8" s="304" t="str">
        <f aca="false">IF(COUNTIF('Monthly Model'!Z36:AK36,"فجوة")=0,"متوافق تخطيطيا","فجوة")</f>
        <v>متوافق تخطيطيا</v>
      </c>
      <c r="E8" s="304" t="str">
        <f aca="false">IF(COUNTIF('Monthly Model'!AL36:AW36,"فجوة")=0,"متوافق تخطيطيا","فجوة")</f>
        <v>متوافق تخطيطيا</v>
      </c>
      <c r="F8" s="304" t="str">
        <f aca="false">IF(COUNTIF('Monthly Model'!AX36:BI36,"فجوة")=0,"متوافق تخطيطيا","فجوة")</f>
        <v>متوافق تخطيطيا</v>
      </c>
    </row>
    <row r="9" customFormat="false" ht="33.75" hidden="false" customHeight="true" outlineLevel="0" collapsed="false">
      <c r="A9" s="304" t="s">
        <v>695</v>
      </c>
      <c r="B9" s="304" t="str">
        <f aca="false">IF('Regulatory Capital Plan'!B31&lt;12%,"فجوة تخطيطية","استرشادي - اعتماد خارجي مطلوب")</f>
        <v>استرشادي - اعتماد خارجي مطلوب</v>
      </c>
      <c r="C9" s="304" t="str">
        <f aca="false">IF('Regulatory Capital Plan'!C31&lt;12%,"فجوة تخطيطية","استرشادي - اعتماد خارجي مطلوب")</f>
        <v>استرشادي - اعتماد خارجي مطلوب</v>
      </c>
      <c r="D9" s="304" t="str">
        <f aca="false">IF('Regulatory Capital Plan'!D31&lt;12%,"فجوة تخطيطية","استرشادي - اعتماد خارجي مطلوب")</f>
        <v>استرشادي - اعتماد خارجي مطلوب</v>
      </c>
      <c r="E9" s="304" t="str">
        <f aca="false">IF('Regulatory Capital Plan'!E31&lt;12%,"فجوة تخطيطية","استرشادي - اعتماد خارجي مطلوب")</f>
        <v>استرشادي - اعتماد خارجي مطلوب</v>
      </c>
      <c r="F9" s="304" t="str">
        <f aca="false">IF('Regulatory Capital Plan'!F31&lt;12%,"فجوة تخطيطية","استرشادي - اعتماد خارجي مطلوب")</f>
        <v>استرشادي - اعتماد خارجي مطلوب</v>
      </c>
    </row>
    <row r="10" customFormat="false" ht="33.75" hidden="false" customHeight="true" outlineLevel="0" collapsed="false">
      <c r="A10" s="304" t="s">
        <v>696</v>
      </c>
      <c r="B10" s="304" t="str">
        <f aca="false">IF('Funding &amp; Liquidity'!B21&lt;100%,"فجوة تخطيطية","استرشادي - بيانات آجال مطلوبة")</f>
        <v>استرشادي - بيانات آجال مطلوبة</v>
      </c>
      <c r="C10" s="304" t="str">
        <f aca="false">IF('Funding &amp; Liquidity'!C21&lt;100%,"فجوة تخطيطية","استرشادي - بيانات آجال مطلوبة")</f>
        <v>استرشادي - بيانات آجال مطلوبة</v>
      </c>
      <c r="D10" s="304" t="str">
        <f aca="false">IF('Funding &amp; Liquidity'!D21&lt;100%,"فجوة تخطيطية","استرشادي - بيانات آجال مطلوبة")</f>
        <v>استرشادي - بيانات آجال مطلوبة</v>
      </c>
      <c r="E10" s="304" t="str">
        <f aca="false">IF('Funding &amp; Liquidity'!E21&lt;100%,"فجوة تخطيطية","استرشادي - بيانات آجال مطلوبة")</f>
        <v>استرشادي - بيانات آجال مطلوبة</v>
      </c>
      <c r="F10" s="304" t="str">
        <f aca="false">IF('Funding &amp; Liquidity'!F21&lt;100%,"فجوة تخطيطية","استرشادي - بيانات آجال مطلوبة")</f>
        <v>استرشادي - بيانات آجال مطلوبة</v>
      </c>
    </row>
    <row r="11" customFormat="false" ht="33.75" hidden="false" customHeight="true" outlineLevel="0" collapsed="false">
      <c r="A11" s="304" t="s">
        <v>697</v>
      </c>
      <c r="B11" s="304" t="str">
        <f aca="false">IF('Funding &amp; Liquidity'!B35&lt;100%,"فجوة تخطيطية","استرشادي - بيانات آجال مطلوبة")</f>
        <v>استرشادي - بيانات آجال مطلوبة</v>
      </c>
      <c r="C11" s="304" t="str">
        <f aca="false">IF('Funding &amp; Liquidity'!C35&lt;100%,"فجوة تخطيطية","استرشادي - بيانات آجال مطلوبة")</f>
        <v>استرشادي - بيانات آجال مطلوبة</v>
      </c>
      <c r="D11" s="304" t="str">
        <f aca="false">IF('Funding &amp; Liquidity'!D35&lt;100%,"فجوة تخطيطية","استرشادي - بيانات آجال مطلوبة")</f>
        <v>استرشادي - بيانات آجال مطلوبة</v>
      </c>
      <c r="E11" s="304" t="str">
        <f aca="false">IF('Funding &amp; Liquidity'!E35&lt;100%,"فجوة تخطيطية","استرشادي - بيانات آجال مطلوبة")</f>
        <v>استرشادي - بيانات آجال مطلوبة</v>
      </c>
      <c r="F11" s="304" t="str">
        <f aca="false">IF('Funding &amp; Liquidity'!F35&lt;100%,"فجوة تخطيطية","استرشادي - بيانات آجال مطلوبة")</f>
        <v>استرشادي - بيانات آجال مطلوبة</v>
      </c>
    </row>
    <row r="12" customFormat="false" ht="33.75" hidden="false" customHeight="true" outlineLevel="0" collapsed="false">
      <c r="A12" s="304" t="s">
        <v>613</v>
      </c>
      <c r="B12" s="304" t="str">
        <f aca="false">'Regulatory Capital Plan'!B39</f>
        <v>بيانات معلقة - سجل تركز العملاء/الأطراف المرتبطة مطلوب</v>
      </c>
      <c r="C12" s="304" t="str">
        <f aca="false">'Regulatory Capital Plan'!C39</f>
        <v>بيانات معلقة - سجل تركز العملاء/الأطراف المرتبطة مطلوب</v>
      </c>
      <c r="D12" s="304" t="str">
        <f aca="false">'Regulatory Capital Plan'!D39</f>
        <v>بيانات معلقة - سجل تركز العملاء/الأطراف المرتبطة مطلوب</v>
      </c>
      <c r="E12" s="304" t="str">
        <f aca="false">'Regulatory Capital Plan'!E39</f>
        <v>بيانات معلقة - سجل تركز العملاء/الأطراف المرتبطة مطلوب</v>
      </c>
      <c r="F12" s="304" t="str">
        <f aca="false">'Regulatory Capital Plan'!F39</f>
        <v>بيانات معلقة - سجل تركز العملاء/الأطراف المرتبطة مطلوب</v>
      </c>
    </row>
    <row r="13" customFormat="false" ht="15" hidden="false" customHeight="true" outlineLevel="0" collapsed="false">
      <c r="A13" s="304" t="s">
        <v>698</v>
      </c>
      <c r="B13" s="304" t="str">
        <f aca="false">IF('Balance Sheet'!B19&lt;=Assumptions!$B$20,"OK","ERROR")</f>
        <v>OK</v>
      </c>
      <c r="C13" s="304" t="str">
        <f aca="false">IF('Balance Sheet'!C19&lt;=Assumptions!$B$20,"OK","ERROR")</f>
        <v>OK</v>
      </c>
      <c r="D13" s="304" t="str">
        <f aca="false">IF('Balance Sheet'!D19&lt;=Assumptions!$B$20,"OK","ERROR")</f>
        <v>OK</v>
      </c>
      <c r="E13" s="304" t="str">
        <f aca="false">IF('Balance Sheet'!E19&lt;=Assumptions!$B$20,"OK","ERROR")</f>
        <v>OK</v>
      </c>
      <c r="F13" s="304" t="str">
        <f aca="false">IF('Balance Sheet'!F19&lt;=Assumptions!$B$20,"OK","ERROR")</f>
        <v>OK</v>
      </c>
    </row>
    <row r="14" customFormat="false" ht="15" hidden="false" customHeight="true" outlineLevel="0" collapsed="false">
      <c r="A14" s="113" t="s">
        <v>699</v>
      </c>
      <c r="B14" s="113" t="str">
        <f aca="false">IF(Staff!C21=36,"OK","ERROR")</f>
        <v>OK</v>
      </c>
      <c r="C14" s="113" t="str">
        <f aca="false">IF(Staff!D21=36,"OK","ERROR")</f>
        <v>OK</v>
      </c>
      <c r="D14" s="113" t="str">
        <f aca="false">IF(Staff!E21=36,"OK","ERROR")</f>
        <v>OK</v>
      </c>
      <c r="E14" s="113" t="str">
        <f aca="false">IF(Staff!F21=36,"OK","ERROR")</f>
        <v>OK</v>
      </c>
      <c r="F14" s="113" t="str">
        <f aca="false">IF(Staff!G21=36,"OK","ERROR")</f>
        <v>OK</v>
      </c>
    </row>
    <row r="15" customFormat="false" ht="15" hidden="false" customHeight="true" outlineLevel="0" collapsed="false">
      <c r="A15" s="311" t="s">
        <v>700</v>
      </c>
      <c r="B15" s="311" t="str">
        <f aca="false">IF(AND(ABS(Staff!H21-Staff!H22)&lt;1,ABS('Income Statement'!B17-Staff!H21)&lt;1),"OK","ERROR")</f>
        <v>OK</v>
      </c>
      <c r="C15" s="311" t="str">
        <f aca="false">IF(AND(ABS(Staff!I21-Staff!I22)&lt;1,ABS('Income Statement'!C17-Staff!I21)&lt;1),"OK","ERROR")</f>
        <v>OK</v>
      </c>
      <c r="D15" s="311" t="str">
        <f aca="false">IF(AND(ABS(Staff!J21-Staff!J22)&lt;1,ABS('Income Statement'!D17-Staff!J21)&lt;1),"OK","ERROR")</f>
        <v>OK</v>
      </c>
      <c r="E15" s="311" t="str">
        <f aca="false">IF(AND(ABS(Staff!K21-Staff!K22)&lt;1,ABS('Income Statement'!E17-Staff!K21)&lt;1),"OK","ERROR")</f>
        <v>OK</v>
      </c>
      <c r="F15" s="311" t="str">
        <f aca="false">IF(AND(ABS(Staff!L21-Staff!L22)&lt;1,ABS('Income Statement'!F17-Staff!L21)&lt;1),"OK","ERROR")</f>
        <v>OK</v>
      </c>
    </row>
    <row r="16" customFormat="false" ht="15" hidden="false" customHeight="true" outlineLevel="0" collapsed="false">
      <c r="A16" s="113" t="s">
        <v>701</v>
      </c>
      <c r="B16" s="113" t="str">
        <f aca="false">IF(ABS(0+'Funding &amp; Liquidity'!B7-'Funding &amp; Liquidity'!B12-'Balance Sheet'!B14)&lt;1,"OK","ERROR")</f>
        <v>OK</v>
      </c>
      <c r="C16" s="113" t="str">
        <f aca="false">IF(ABS('Balance Sheet'!B14+'Funding &amp; Liquidity'!C7-'Funding &amp; Liquidity'!C12-'Balance Sheet'!C14)&lt;1,"OK","ERROR")</f>
        <v>OK</v>
      </c>
      <c r="D16" s="113" t="str">
        <f aca="false">IF(ABS('Balance Sheet'!C14+'Funding &amp; Liquidity'!D7-'Funding &amp; Liquidity'!D12-'Balance Sheet'!D14)&lt;1,"OK","ERROR")</f>
        <v>OK</v>
      </c>
      <c r="E16" s="113" t="str">
        <f aca="false">IF(ABS('Balance Sheet'!D14+'Funding &amp; Liquidity'!E7-'Funding &amp; Liquidity'!E12-'Balance Sheet'!E14)&lt;1,"OK","ERROR")</f>
        <v>OK</v>
      </c>
      <c r="F16" s="113" t="str">
        <f aca="false">IF(ABS('Balance Sheet'!E14+'Funding &amp; Liquidity'!F7-'Funding &amp; Liquidity'!F12-'Balance Sheet'!F14)&lt;1,"OK","ERROR")</f>
        <v>OK</v>
      </c>
    </row>
    <row r="17" customFormat="false" ht="15" hidden="false" customHeight="true" outlineLevel="0" collapsed="false">
      <c r="A17" s="113" t="s">
        <v>702</v>
      </c>
      <c r="B17" s="113" t="str">
        <f aca="false">IF(AND(MAX('Monthly Model'!B33:M33)&lt;=Assumptions!B101+1,MIN('Monthly Model'!B27:M27)&gt;=0),"OK","ERROR")</f>
        <v>OK</v>
      </c>
      <c r="C17" s="113" t="str">
        <f aca="false">IF(AND(MAX('Monthly Model'!N33:Y33)&lt;=Assumptions!C101+1,MIN('Monthly Model'!N27:Y27)&gt;=0),"OK","ERROR")</f>
        <v>OK</v>
      </c>
      <c r="D17" s="113" t="str">
        <f aca="false">IF(AND(MAX('Monthly Model'!Z33:AK33)&lt;=Assumptions!D101+1,MIN('Monthly Model'!Z27:AK27)&gt;=0),"OK","ERROR")</f>
        <v>OK</v>
      </c>
      <c r="E17" s="113" t="str">
        <f aca="false">IF(AND(MAX('Monthly Model'!AL33:AW33)&lt;=Assumptions!E101+1,MIN('Monthly Model'!AL27:AW27)&gt;=0),"OK","ERROR")</f>
        <v>OK</v>
      </c>
      <c r="F17" s="113" t="str">
        <f aca="false">IF(AND(MAX('Monthly Model'!AX33:BI33)&lt;=Assumptions!F101+1,MIN('Monthly Model'!AX27:BI27)&gt;=0),"OK","ERROR")</f>
        <v>OK</v>
      </c>
    </row>
    <row r="18" customFormat="false" ht="33.75" hidden="false" customHeight="true" outlineLevel="0" collapsed="false">
      <c r="A18" s="113" t="s">
        <v>703</v>
      </c>
      <c r="B18" s="113" t="str">
        <f aca="false">IF('Basel III'!B54&gt;=3%,"OK - استرشادي","ERROR")</f>
        <v>OK - استرشادي</v>
      </c>
      <c r="C18" s="113" t="str">
        <f aca="false">IF('Basel III'!C54&gt;=3%,"OK - استرشادي","ERROR")</f>
        <v>OK - استرشادي</v>
      </c>
      <c r="D18" s="113" t="str">
        <f aca="false">IF('Basel III'!D54&gt;=3%,"OK - استرشادي","ERROR")</f>
        <v>OK - استرشادي</v>
      </c>
      <c r="E18" s="113" t="str">
        <f aca="false">IF('Basel III'!E54&gt;=3%,"OK - استرشادي","ERROR")</f>
        <v>OK - استرشادي</v>
      </c>
      <c r="F18" s="113" t="str">
        <f aca="false">IF('Basel III'!F54&gt;=3%,"OK - استرشادي","ERROR")</f>
        <v>OK - استرشادي</v>
      </c>
    </row>
    <row r="19" customFormat="false" ht="15" hidden="false" customHeight="true" outlineLevel="0" collapsed="false">
      <c r="A19" s="113" t="s">
        <v>704</v>
      </c>
      <c r="B19" s="113" t="str">
        <f aca="false">IF(ABS('Income Statement'!B16-'Balance Sheet'!B7)&lt;1,"OK","ERROR")</f>
        <v>OK</v>
      </c>
      <c r="C19" s="113" t="str">
        <f aca="false">IF(ABS('Income Statement'!C16-('Balance Sheet'!C7-'Balance Sheet'!B7))&lt;1,"OK","ERROR")</f>
        <v>OK</v>
      </c>
      <c r="D19" s="113" t="str">
        <f aca="false">IF(ABS('Income Statement'!D16-('Balance Sheet'!D7-'Balance Sheet'!C7))&lt;1,"OK","ERROR")</f>
        <v>OK</v>
      </c>
      <c r="E19" s="113" t="str">
        <f aca="false">IF(ABS('Income Statement'!E16-('Balance Sheet'!E7-'Balance Sheet'!D7))&lt;1,"OK","ERROR")</f>
        <v>OK</v>
      </c>
      <c r="F19" s="113" t="str">
        <f aca="false">IF(ABS('Income Statement'!F16-('Balance Sheet'!F7-'Balance Sheet'!E7))&lt;1,"OK","ERROR")</f>
        <v>OK</v>
      </c>
    </row>
    <row r="20" customFormat="false" ht="43.5" hidden="false" customHeight="true" outlineLevel="0" collapsed="false">
      <c r="A20" s="113" t="s">
        <v>705</v>
      </c>
      <c r="B20" s="113"/>
      <c r="C20" s="113"/>
      <c r="D20" s="113"/>
      <c r="E20" s="113"/>
      <c r="F20" s="113"/>
    </row>
    <row r="21" customFormat="false" ht="36" hidden="false" customHeight="true" outlineLevel="0" collapsed="false">
      <c r="A21" s="113" t="s">
        <v>706</v>
      </c>
      <c r="B21" s="113" t="str">
        <f aca="false">IF(ABS(Scenarios!B13-'Income Statement'!B23)&lt;1,"OK","ERROR")</f>
        <v>OK</v>
      </c>
      <c r="C21" s="113" t="str">
        <f aca="false">IF(ABS(Scenarios!C13-'Income Statement'!C23)&lt;1,"OK","ERROR")</f>
        <v>OK</v>
      </c>
      <c r="D21" s="113" t="str">
        <f aca="false">IF(ABS(Scenarios!D13-'Income Statement'!D23)&lt;1,"OK","ERROR")</f>
        <v>OK</v>
      </c>
      <c r="E21" s="113" t="str">
        <f aca="false">IF(ABS(Scenarios!E13-'Income Statement'!E23)&lt;1,"OK","ERROR")</f>
        <v>OK</v>
      </c>
      <c r="F21" s="113" t="str">
        <f aca="false">IF(ABS(Scenarios!F13-'Income Statement'!F23)&lt;1,"OK","ERROR")</f>
        <v>OK</v>
      </c>
    </row>
    <row r="22" customFormat="false" ht="36" hidden="false" customHeight="true" outlineLevel="0" collapsed="false">
      <c r="A22" s="113" t="s">
        <v>707</v>
      </c>
      <c r="B22" s="113" t="str">
        <f aca="false">IF(ABS(Sensitivity!D6-'Income Statement'!F23)&lt;1,"OK","ERROR")</f>
        <v>OK</v>
      </c>
      <c r="C22" s="113" t="s">
        <v>708</v>
      </c>
      <c r="D22" s="113" t="s">
        <v>708</v>
      </c>
      <c r="E22" s="113" t="s">
        <v>708</v>
      </c>
      <c r="F22" s="113" t="s">
        <v>708</v>
      </c>
    </row>
    <row r="23" customFormat="false" ht="36" hidden="false" customHeight="true" outlineLevel="0" collapsed="false">
      <c r="A23" s="113" t="s">
        <v>709</v>
      </c>
      <c r="B23" s="113" t="str">
        <f aca="false">IF(ABS(Feasibility!G6-('Income Statement'!F23*Assumptions!$B$40))&lt;1,"OK","ERROR")</f>
        <v>OK</v>
      </c>
      <c r="C23" s="113" t="s">
        <v>708</v>
      </c>
      <c r="D23" s="113" t="s">
        <v>708</v>
      </c>
      <c r="E23" s="113" t="s">
        <v>708</v>
      </c>
      <c r="F23" s="113" t="s">
        <v>708</v>
      </c>
    </row>
    <row r="24" customFormat="false" ht="33.75" hidden="false" customHeight="true" outlineLevel="0" collapsed="false">
      <c r="A24" s="202" t="s">
        <v>710</v>
      </c>
      <c r="B24" s="113" t="s">
        <v>711</v>
      </c>
      <c r="C24" s="113" t="s">
        <v>711</v>
      </c>
      <c r="D24" s="113" t="s">
        <v>712</v>
      </c>
      <c r="E24" s="113" t="s">
        <v>712</v>
      </c>
      <c r="F24" s="113" t="s">
        <v>712</v>
      </c>
    </row>
    <row r="25" customFormat="false" ht="33.75" hidden="false" customHeight="true" outlineLevel="0" collapsed="false">
      <c r="A25" s="202" t="s">
        <v>713</v>
      </c>
      <c r="B25" s="113" t="str">
        <f aca="false">IF(ABS(SUMIFS('Monthly Model'!$B$24:$BI$24,'Monthly Model'!$B$4:$BI$4,2027)-'Funding &amp; Liquidity'!B12)&lt;1,"OK","ERROR")</f>
        <v>OK</v>
      </c>
      <c r="C25" s="113" t="str">
        <f aca="false">IF(ABS(SUMIFS('Monthly Model'!$B$24:$BI$24,'Monthly Model'!$B$4:$BI$4,2028)-'Funding &amp; Liquidity'!C12)&lt;1,"OK","ERROR")</f>
        <v>OK</v>
      </c>
      <c r="D25" s="113" t="str">
        <f aca="false">IF(ABS(SUMIFS('Monthly Model'!$B$24:$BI$24,'Monthly Model'!$B$4:$BI$4,2029)-'Funding &amp; Liquidity'!D12)&lt;1,"OK","ERROR")</f>
        <v>OK</v>
      </c>
      <c r="E25" s="113" t="str">
        <f aca="false">IF(ABS(SUMIFS('Monthly Model'!$B$24:$BI$24,'Monthly Model'!$B$4:$BI$4,2030)-'Funding &amp; Liquidity'!E12)&lt;1,"OK","ERROR")</f>
        <v>OK</v>
      </c>
      <c r="F25" s="113" t="str">
        <f aca="false">IF(ABS(SUMIFS('Monthly Model'!$B$24:$BI$24,'Monthly Model'!$B$4:$BI$4,2031)-'Funding &amp; Liquidity'!F12)&lt;1,"OK","ERROR")</f>
        <v>OK</v>
      </c>
    </row>
    <row r="26" customFormat="false" ht="33.75" hidden="false" customHeight="true" outlineLevel="0" collapsed="false">
      <c r="A26" s="202" t="s">
        <v>714</v>
      </c>
      <c r="B26" s="113" t="str">
        <f aca="false">IF(ABS(SUMIFS('Monthly Model'!$B$41:$BI$41,'Monthly Model'!$B$4:$BI$4,2027)-'Income Statement'!B15)&lt;1,"OK","ERROR")</f>
        <v>OK</v>
      </c>
      <c r="C26" s="113" t="str">
        <f aca="false">IF(ABS(SUMIFS('Monthly Model'!$B$41:$BI$41,'Monthly Model'!$B$4:$BI$4,2028)-'Income Statement'!C15)&lt;1,"OK","ERROR")</f>
        <v>OK</v>
      </c>
      <c r="D26" s="113" t="str">
        <f aca="false">IF(ABS(SUMIFS('Monthly Model'!$B$41:$BI$41,'Monthly Model'!$B$4:$BI$4,2029)-'Income Statement'!D15)&lt;1,"OK","ERROR")</f>
        <v>OK</v>
      </c>
      <c r="E26" s="113" t="str">
        <f aca="false">IF(ABS(SUMIFS('Monthly Model'!$B$41:$BI$41,'Monthly Model'!$B$4:$BI$4,2030)-'Income Statement'!E15)&lt;1,"OK","ERROR")</f>
        <v>OK</v>
      </c>
      <c r="F26" s="113" t="str">
        <f aca="false">IF(ABS(SUMIFS('Monthly Model'!$B$41:$BI$41,'Monthly Model'!$B$4:$BI$4,2031)-'Income Statement'!F15)&lt;1,"OK","ERROR")</f>
        <v>OK</v>
      </c>
    </row>
    <row r="27" customFormat="false" ht="33.75" hidden="false" customHeight="true" outlineLevel="0" collapsed="false">
      <c r="A27" s="202" t="s">
        <v>715</v>
      </c>
      <c r="B27" s="113" t="str">
        <f aca="false">IF(COUNTIF('Monthly Model'!B45:M45,"GAP")=0,"OK","GAP")</f>
        <v>OK</v>
      </c>
      <c r="C27" s="113" t="str">
        <f aca="false">IF(COUNTIF('Monthly Model'!N45:Y45,"GAP")=0,"OK","GAP")</f>
        <v>OK</v>
      </c>
      <c r="D27" s="113" t="str">
        <f aca="false">IF(COUNTIF('Monthly Model'!Z45:AK45,"GAP")=0,"OK","GAP")</f>
        <v>OK</v>
      </c>
      <c r="E27" s="113" t="str">
        <f aca="false">IF(COUNTIF('Monthly Model'!AL45:AW45,"GAP")=0,"OK","GAP")</f>
        <v>OK</v>
      </c>
      <c r="F27" s="113" t="str">
        <f aca="false">IF(COUNTIF('Monthly Model'!AX45:BI45,"GAP")=0,"OK","GAP")</f>
        <v>OK</v>
      </c>
    </row>
    <row r="28" customFormat="false" ht="33.75" hidden="false" customHeight="true" outlineLevel="0" collapsed="false">
      <c r="A28" s="113" t="s">
        <v>716</v>
      </c>
      <c r="B28" s="113" t="str">
        <f aca="false">IF(ABS(SUM(Originations!B11:M11)-Assumptions!B77)&lt;0.5,"OK","فجوة")</f>
        <v>OK</v>
      </c>
      <c r="C28" s="113" t="str">
        <f aca="false">IF(ABS(SUM(Originations!N11:Y11)-Assumptions!C77)&lt;0.5,"OK","فجوة")</f>
        <v>OK</v>
      </c>
      <c r="D28" s="113" t="str">
        <f aca="false">IF(ABS(SUM(Originations!Z11:AK11)-Assumptions!D77)&lt;0.5,"OK","فجوة")</f>
        <v>OK</v>
      </c>
      <c r="E28" s="113" t="str">
        <f aca="false">IF(ABS(SUM(Originations!AL11:AW11)-Assumptions!E77)&lt;0.5,"OK","فجوة")</f>
        <v>OK</v>
      </c>
      <c r="F28" s="113" t="str">
        <f aca="false">IF(ABS(SUM(Originations!AX11:BI11)-Assumptions!F77)&lt;0.5,"OK","فجوة")</f>
        <v>OK</v>
      </c>
    </row>
    <row r="29" customFormat="false" ht="33.75" hidden="false" customHeight="true" outlineLevel="0" collapsed="false">
      <c r="A29" s="113" t="s">
        <v>717</v>
      </c>
      <c r="B29" s="113" t="str">
        <f aca="false">IF(ABS('Cohort Fees'!B6-'Income Statement'!B10)&lt;1,"OK","ERROR")</f>
        <v>OK</v>
      </c>
      <c r="C29" s="113" t="str">
        <f aca="false">IF(ABS('Cohort Fees'!C6-'Income Statement'!C10)&lt;1,"OK","ERROR")</f>
        <v>OK</v>
      </c>
      <c r="D29" s="113" t="str">
        <f aca="false">IF(ABS('Cohort Fees'!D6-'Income Statement'!D10)&lt;1,"OK","ERROR")</f>
        <v>OK</v>
      </c>
      <c r="E29" s="113" t="str">
        <f aca="false">IF(ABS('Cohort Fees'!E6-'Income Statement'!E10)&lt;1,"OK","ERROR")</f>
        <v>OK</v>
      </c>
      <c r="F29" s="113" t="str">
        <f aca="false">IF(ABS('Cohort Fees'!F6-'Income Statement'!F10)&lt;1,"OK","ERROR")</f>
        <v>OK</v>
      </c>
    </row>
    <row r="30" customFormat="false" ht="33.75" hidden="false" customHeight="true" outlineLevel="0" collapsed="false">
      <c r="A30" s="113" t="s">
        <v>718</v>
      </c>
      <c r="B30" s="113" t="str">
        <f aca="false">IF(ABS(Opex!H19-'Income Statement'!B18)&lt;1,"OK","ERROR")</f>
        <v>OK</v>
      </c>
      <c r="C30" s="113" t="str">
        <f aca="false">IF(ABS(Opex!I19-'Income Statement'!C18)&lt;1,"OK","ERROR")</f>
        <v>OK</v>
      </c>
      <c r="D30" s="113" t="str">
        <f aca="false">IF(ABS(Opex!J19-'Income Statement'!D18)&lt;1,"OK","ERROR")</f>
        <v>OK</v>
      </c>
      <c r="E30" s="113" t="str">
        <f aca="false">IF(ABS(Opex!K19-'Income Statement'!E18)&lt;1,"OK","ERROR")</f>
        <v>OK</v>
      </c>
      <c r="F30" s="113" t="str">
        <f aca="false">IF(ABS(Opex!L19-'Income Statement'!F18)&lt;1,"OK","ERROR")</f>
        <v>OK</v>
      </c>
    </row>
    <row r="31" customFormat="false" ht="33.75" hidden="false" customHeight="true" outlineLevel="0" collapsed="false"/>
    <row r="32" customFormat="false" ht="15" hidden="false" customHeight="true" outlineLevel="0" collapsed="false"/>
    <row r="33" customFormat="false" ht="37.5" hidden="false" customHeight="true" outlineLevel="0" collapsed="false"/>
    <row r="34" customFormat="false" ht="37.5" hidden="false" customHeight="true" outlineLevel="0" collapsed="false"/>
    <row r="35" customFormat="false" ht="37.5" hidden="false" customHeight="true" outlineLevel="0" collapsed="false"/>
    <row r="36" customFormat="false" ht="37.5" hidden="false" customHeight="true" outlineLevel="0" collapsed="false"/>
    <row r="37" customFormat="false" ht="51.75" hidden="false" customHeight="true" outlineLevel="0" collapsed="false"/>
    <row r="38" customFormat="false" ht="37.5" hidden="false" customHeight="true" outlineLevel="0" collapsed="false"/>
    <row r="39" customFormat="false" ht="37.5" hidden="false" customHeight="true" outlineLevel="0" collapsed="false"/>
    <row r="40" customFormat="false" ht="37.5" hidden="false" customHeight="true" outlineLevel="0" collapsed="false"/>
    <row r="41" customFormat="false" ht="37.5" hidden="false" customHeight="true" outlineLevel="0" collapsed="false"/>
    <row r="42" customFormat="false" ht="37.5" hidden="false" customHeight="true" outlineLevel="0" collapsed="false"/>
    <row r="43" customFormat="false" ht="51.75" hidden="false" customHeight="true" outlineLevel="0" collapsed="false"/>
    <row r="44" customFormat="false" ht="15" hidden="false" customHeight="true" outlineLevel="0" collapsed="false"/>
    <row r="45" customFormat="false" ht="37.5" hidden="false" customHeight="true" outlineLevel="0" collapsed="false"/>
    <row r="46" customFormat="false" ht="37.5" hidden="false" customHeight="true" outlineLevel="0" collapsed="false"/>
    <row r="47" customFormat="false" ht="37.5" hidden="false" customHeight="true" outlineLevel="0" collapsed="false"/>
    <row r="48" customFormat="false" ht="37.5" hidden="false" customHeight="true" outlineLevel="0" collapsed="false"/>
    <row r="49" customFormat="false" ht="51.75" hidden="false" customHeight="true" outlineLevel="0" collapsed="false"/>
  </sheetData>
  <mergeCells count="1">
    <mergeCell ref="A1:F1"/>
  </mergeCells>
  <conditionalFormatting sqref="E4:E17">
    <cfRule type="containsText" priority="2" operator="containsText" aboveAverage="0" equalAverage="0" bottom="0" percent="0" rank="0" text="OK" dxfId="0">
      <formula>NOT(ISERROR(SEARCH("OK",E4)))</formula>
    </cfRule>
    <cfRule type="containsText" priority="3" operator="containsText" aboveAverage="0" equalAverage="0" bottom="0" percent="0" rank="0" text="FAIL" dxfId="2">
      <formula>NOT(ISERROR(SEARCH("FAIL",E4)))</formula>
    </cfRule>
    <cfRule type="containsText" priority="4" operator="containsText" aboveAverage="0" equalAverage="0" bottom="0" percent="0" rank="0" text="REVIEW" dxfId="1">
      <formula>NOT(ISERROR(SEARCH("REVIEW",E4)))</formula>
    </cfRule>
  </conditionalFormatting>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50"/>
    <col collapsed="false" customWidth="true" hidden="false" outlineLevel="0" max="5" min="4" style="1" width="30"/>
    <col collapsed="false" customWidth="true" hidden="false" outlineLevel="0" max="26" min="6" style="1" width="14"/>
  </cols>
  <sheetData>
    <row r="1" customFormat="false" ht="30.75" hidden="false" customHeight="true" outlineLevel="0" collapsed="false">
      <c r="A1" s="11" t="s">
        <v>719</v>
      </c>
      <c r="B1" s="11"/>
      <c r="C1" s="11"/>
      <c r="D1" s="11"/>
      <c r="E1" s="11"/>
    </row>
    <row r="3" customFormat="false" ht="15" hidden="false" customHeight="true" outlineLevel="0" collapsed="false">
      <c r="A3" s="312" t="s">
        <v>720</v>
      </c>
      <c r="B3" s="94" t="s">
        <v>721</v>
      </c>
      <c r="C3" s="94" t="s">
        <v>567</v>
      </c>
      <c r="D3" s="94" t="s">
        <v>722</v>
      </c>
      <c r="E3" s="94" t="s">
        <v>723</v>
      </c>
    </row>
    <row r="4" customFormat="false" ht="42" hidden="false" customHeight="true" outlineLevel="0" collapsed="false">
      <c r="A4" s="313" t="s">
        <v>724</v>
      </c>
      <c r="B4" s="314" t="s">
        <v>725</v>
      </c>
      <c r="C4" s="313" t="s">
        <v>726</v>
      </c>
      <c r="D4" s="314" t="s">
        <v>727</v>
      </c>
      <c r="E4" s="314" t="s">
        <v>728</v>
      </c>
    </row>
    <row r="5" customFormat="false" ht="42" hidden="false" customHeight="true" outlineLevel="0" collapsed="false">
      <c r="A5" s="313" t="s">
        <v>729</v>
      </c>
      <c r="B5" s="314" t="s">
        <v>730</v>
      </c>
      <c r="C5" s="313" t="s">
        <v>731</v>
      </c>
      <c r="D5" s="314" t="s">
        <v>732</v>
      </c>
      <c r="E5" s="313" t="s">
        <v>733</v>
      </c>
    </row>
    <row r="6" customFormat="false" ht="42" hidden="false" customHeight="true" outlineLevel="0" collapsed="false">
      <c r="A6" s="313" t="s">
        <v>734</v>
      </c>
      <c r="B6" s="314" t="s">
        <v>735</v>
      </c>
      <c r="C6" s="314" t="s">
        <v>736</v>
      </c>
      <c r="D6" s="314" t="s">
        <v>737</v>
      </c>
      <c r="E6" s="314" t="s">
        <v>738</v>
      </c>
    </row>
    <row r="7" customFormat="false" ht="42" hidden="false" customHeight="true" outlineLevel="0" collapsed="false">
      <c r="A7" s="313" t="s">
        <v>739</v>
      </c>
      <c r="B7" s="314" t="s">
        <v>740</v>
      </c>
      <c r="C7" s="313" t="s">
        <v>741</v>
      </c>
      <c r="D7" s="314" t="s">
        <v>742</v>
      </c>
      <c r="E7" s="314" t="s">
        <v>743</v>
      </c>
    </row>
    <row r="8" customFormat="false" ht="42" hidden="false" customHeight="true" outlineLevel="0" collapsed="false">
      <c r="A8" s="313" t="s">
        <v>744</v>
      </c>
      <c r="B8" s="314" t="s">
        <v>745</v>
      </c>
      <c r="C8" s="314" t="s">
        <v>746</v>
      </c>
      <c r="D8" s="314" t="s">
        <v>742</v>
      </c>
      <c r="E8" s="314" t="s">
        <v>747</v>
      </c>
    </row>
    <row r="9" customFormat="false" ht="42" hidden="false" customHeight="true" outlineLevel="0" collapsed="false">
      <c r="A9" s="313" t="s">
        <v>748</v>
      </c>
      <c r="B9" s="314" t="s">
        <v>749</v>
      </c>
      <c r="C9" s="15" t="s">
        <v>750</v>
      </c>
      <c r="D9" s="314" t="s">
        <v>751</v>
      </c>
      <c r="E9" s="314" t="s">
        <v>752</v>
      </c>
    </row>
    <row r="10" customFormat="false" ht="42" hidden="false" customHeight="true" outlineLevel="0" collapsed="false">
      <c r="A10" s="313" t="s">
        <v>753</v>
      </c>
      <c r="B10" s="314" t="s">
        <v>754</v>
      </c>
      <c r="C10" s="314" t="s">
        <v>755</v>
      </c>
      <c r="D10" s="314" t="s">
        <v>742</v>
      </c>
      <c r="E10" s="314" t="s">
        <v>756</v>
      </c>
    </row>
    <row r="11" customFormat="false" ht="42" hidden="false" customHeight="true" outlineLevel="0" collapsed="false">
      <c r="A11" s="313" t="s">
        <v>757</v>
      </c>
      <c r="B11" s="314" t="s">
        <v>758</v>
      </c>
      <c r="C11" s="313" t="s">
        <v>759</v>
      </c>
      <c r="D11" s="314" t="s">
        <v>742</v>
      </c>
      <c r="E11" s="314" t="s">
        <v>760</v>
      </c>
    </row>
    <row r="12" customFormat="false" ht="42" hidden="false" customHeight="true" outlineLevel="0" collapsed="false">
      <c r="A12" s="313" t="s">
        <v>761</v>
      </c>
      <c r="B12" s="314" t="s">
        <v>762</v>
      </c>
      <c r="C12" s="313" t="s">
        <v>763</v>
      </c>
      <c r="D12" s="314" t="s">
        <v>764</v>
      </c>
      <c r="E12" s="313" t="s">
        <v>765</v>
      </c>
    </row>
    <row r="13" customFormat="false" ht="42" hidden="false" customHeight="true" outlineLevel="0" collapsed="false">
      <c r="A13" s="313" t="s">
        <v>766</v>
      </c>
      <c r="B13" s="314" t="s">
        <v>767</v>
      </c>
      <c r="C13" s="314" t="s">
        <v>768</v>
      </c>
      <c r="D13" s="313" t="s">
        <v>769</v>
      </c>
      <c r="E13" s="314" t="s">
        <v>770</v>
      </c>
    </row>
    <row r="14" customFormat="false" ht="42" hidden="false" customHeight="true" outlineLevel="0" collapsed="false">
      <c r="A14" s="313" t="s">
        <v>771</v>
      </c>
      <c r="B14" s="314" t="s">
        <v>270</v>
      </c>
      <c r="C14" s="314" t="s">
        <v>772</v>
      </c>
      <c r="D14" s="314" t="s">
        <v>773</v>
      </c>
      <c r="E14" s="314" t="s">
        <v>774</v>
      </c>
    </row>
    <row r="15" customFormat="false" ht="42" hidden="false" customHeight="true" outlineLevel="0" collapsed="false">
      <c r="A15" s="313" t="s">
        <v>775</v>
      </c>
      <c r="B15" s="314" t="s">
        <v>776</v>
      </c>
      <c r="C15" s="313" t="s">
        <v>777</v>
      </c>
      <c r="D15" s="314" t="s">
        <v>778</v>
      </c>
      <c r="E15" s="314" t="s">
        <v>779</v>
      </c>
    </row>
    <row r="16" customFormat="false" ht="42" hidden="false" customHeight="true" outlineLevel="0" collapsed="false">
      <c r="A16" s="313" t="s">
        <v>780</v>
      </c>
      <c r="B16" s="314" t="s">
        <v>781</v>
      </c>
      <c r="C16" s="313" t="s">
        <v>782</v>
      </c>
      <c r="D16" s="314" t="s">
        <v>783</v>
      </c>
      <c r="E16" s="314" t="s">
        <v>784</v>
      </c>
    </row>
    <row r="17" customFormat="false" ht="42" hidden="false" customHeight="true" outlineLevel="0" collapsed="false">
      <c r="A17" s="313" t="s">
        <v>785</v>
      </c>
      <c r="B17" s="314" t="s">
        <v>786</v>
      </c>
      <c r="C17" s="314" t="s">
        <v>787</v>
      </c>
      <c r="D17" s="314" t="s">
        <v>788</v>
      </c>
      <c r="E17" s="314" t="s">
        <v>789</v>
      </c>
    </row>
    <row r="18" customFormat="false" ht="42" hidden="false" customHeight="true" outlineLevel="0" collapsed="false">
      <c r="A18" s="313" t="s">
        <v>790</v>
      </c>
      <c r="B18" s="314" t="s">
        <v>791</v>
      </c>
      <c r="C18" s="314" t="s">
        <v>792</v>
      </c>
      <c r="D18" s="314" t="s">
        <v>793</v>
      </c>
      <c r="E18" s="314" t="s">
        <v>794</v>
      </c>
    </row>
    <row r="19" customFormat="false" ht="42" hidden="false" customHeight="true" outlineLevel="0" collapsed="false">
      <c r="A19" s="313" t="s">
        <v>795</v>
      </c>
      <c r="B19" s="314" t="s">
        <v>796</v>
      </c>
      <c r="C19" s="314" t="s">
        <v>797</v>
      </c>
      <c r="D19" s="314" t="s">
        <v>798</v>
      </c>
      <c r="E19" s="314" t="s">
        <v>799</v>
      </c>
    </row>
    <row r="20" customFormat="false" ht="45.75" hidden="false" customHeight="true" outlineLevel="0" collapsed="false">
      <c r="A20" s="313" t="s">
        <v>800</v>
      </c>
      <c r="B20" s="314" t="s">
        <v>801</v>
      </c>
      <c r="C20" s="314" t="s">
        <v>802</v>
      </c>
      <c r="D20" s="314" t="s">
        <v>803</v>
      </c>
      <c r="E20" s="314" t="s">
        <v>804</v>
      </c>
    </row>
    <row r="21" customFormat="false" ht="34.5" hidden="false" customHeight="true" outlineLevel="0" collapsed="false">
      <c r="A21" s="313" t="s">
        <v>805</v>
      </c>
      <c r="B21" s="314" t="s">
        <v>806</v>
      </c>
      <c r="C21" s="314" t="s">
        <v>807</v>
      </c>
      <c r="D21" s="314" t="s">
        <v>808</v>
      </c>
      <c r="E21" s="314" t="s">
        <v>809</v>
      </c>
    </row>
    <row r="22" customFormat="false" ht="45.75" hidden="false" customHeight="true" outlineLevel="0" collapsed="false">
      <c r="A22" s="313" t="s">
        <v>810</v>
      </c>
      <c r="B22" s="314" t="s">
        <v>811</v>
      </c>
      <c r="C22" s="314" t="s">
        <v>812</v>
      </c>
      <c r="D22" s="314" t="s">
        <v>813</v>
      </c>
      <c r="E22" s="314" t="s">
        <v>814</v>
      </c>
    </row>
    <row r="23" customFormat="false" ht="45.75" hidden="false" customHeight="true" outlineLevel="0" collapsed="false">
      <c r="A23" s="313" t="s">
        <v>815</v>
      </c>
      <c r="B23" s="314" t="s">
        <v>816</v>
      </c>
      <c r="C23" s="314" t="s">
        <v>731</v>
      </c>
      <c r="D23" s="314" t="s">
        <v>817</v>
      </c>
      <c r="E23" s="314" t="s">
        <v>818</v>
      </c>
    </row>
    <row r="24" customFormat="false" ht="15" hidden="false" customHeight="true" outlineLevel="0" collapsed="false">
      <c r="A24" s="1" t="s">
        <v>819</v>
      </c>
      <c r="B24" s="1" t="s">
        <v>820</v>
      </c>
      <c r="C24" s="1" t="s">
        <v>821</v>
      </c>
      <c r="D24" s="1" t="s">
        <v>822</v>
      </c>
      <c r="E24" s="1" t="s">
        <v>823</v>
      </c>
    </row>
    <row r="25" customFormat="false" ht="15" hidden="false" customHeight="true" outlineLevel="0" collapsed="false">
      <c r="A25" s="1" t="s">
        <v>824</v>
      </c>
      <c r="B25" s="1" t="s">
        <v>825</v>
      </c>
      <c r="C25" s="1" t="s">
        <v>826</v>
      </c>
      <c r="D25" s="1" t="s">
        <v>827</v>
      </c>
      <c r="E25" s="1" t="s">
        <v>828</v>
      </c>
    </row>
  </sheetData>
  <mergeCells count="1">
    <mergeCell ref="A1:E1"/>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4" min="1" style="1" width="36"/>
    <col collapsed="false" customWidth="true" hidden="false" outlineLevel="0" max="26" min="5" style="1" width="14"/>
  </cols>
  <sheetData>
    <row r="1" customFormat="false" ht="30.75" hidden="false" customHeight="true" outlineLevel="0" collapsed="false">
      <c r="A1" s="11" t="s">
        <v>829</v>
      </c>
      <c r="B1" s="11"/>
      <c r="C1" s="11"/>
      <c r="D1" s="11"/>
    </row>
    <row r="3" customFormat="false" ht="15" hidden="false" customHeight="true" outlineLevel="0" collapsed="false">
      <c r="A3" s="94" t="s">
        <v>83</v>
      </c>
      <c r="B3" s="94" t="s">
        <v>830</v>
      </c>
      <c r="C3" s="94" t="s">
        <v>831</v>
      </c>
      <c r="D3" s="94" t="s">
        <v>832</v>
      </c>
    </row>
    <row r="4" customFormat="false" ht="33.75" hidden="false" customHeight="true" outlineLevel="0" collapsed="false">
      <c r="A4" s="314" t="s">
        <v>204</v>
      </c>
      <c r="B4" s="313" t="s">
        <v>833</v>
      </c>
      <c r="C4" s="314" t="s">
        <v>834</v>
      </c>
      <c r="D4" s="314" t="s">
        <v>835</v>
      </c>
    </row>
    <row r="5" customFormat="false" ht="33.75" hidden="false" customHeight="true" outlineLevel="0" collapsed="false">
      <c r="A5" s="314" t="s">
        <v>836</v>
      </c>
      <c r="B5" s="313" t="s">
        <v>837</v>
      </c>
      <c r="C5" s="314" t="s">
        <v>838</v>
      </c>
      <c r="D5" s="314" t="s">
        <v>839</v>
      </c>
    </row>
    <row r="6" customFormat="false" ht="33.75" hidden="false" customHeight="true" outlineLevel="0" collapsed="false">
      <c r="A6" s="314" t="s">
        <v>208</v>
      </c>
      <c r="B6" s="313" t="s">
        <v>840</v>
      </c>
      <c r="C6" s="314" t="s">
        <v>841</v>
      </c>
      <c r="D6" s="314" t="s">
        <v>477</v>
      </c>
    </row>
    <row r="7" customFormat="false" ht="33.75" hidden="false" customHeight="true" outlineLevel="0" collapsed="false">
      <c r="A7" s="314" t="s">
        <v>842</v>
      </c>
      <c r="B7" s="313" t="s">
        <v>843</v>
      </c>
      <c r="C7" s="314" t="s">
        <v>844</v>
      </c>
      <c r="D7" s="314" t="s">
        <v>845</v>
      </c>
    </row>
    <row r="8" customFormat="false" ht="33.75" hidden="false" customHeight="true" outlineLevel="0" collapsed="false">
      <c r="A8" s="314" t="s">
        <v>767</v>
      </c>
      <c r="B8" s="313" t="s">
        <v>846</v>
      </c>
      <c r="C8" s="314" t="s">
        <v>847</v>
      </c>
      <c r="D8" s="314" t="s">
        <v>848</v>
      </c>
    </row>
    <row r="9" customFormat="false" ht="33.75" hidden="false" customHeight="true" outlineLevel="0" collapsed="false">
      <c r="A9" s="314" t="s">
        <v>849</v>
      </c>
      <c r="B9" s="313" t="s">
        <v>850</v>
      </c>
      <c r="C9" s="314" t="s">
        <v>851</v>
      </c>
      <c r="D9" s="314" t="s">
        <v>594</v>
      </c>
    </row>
    <row r="10" customFormat="false" ht="33.75" hidden="false" customHeight="true" outlineLevel="0" collapsed="false">
      <c r="A10" s="314" t="s">
        <v>852</v>
      </c>
      <c r="B10" s="313" t="s">
        <v>853</v>
      </c>
      <c r="C10" s="314" t="s">
        <v>854</v>
      </c>
      <c r="D10" s="313" t="s">
        <v>855</v>
      </c>
    </row>
    <row r="11" customFormat="false" ht="33.75" hidden="false" customHeight="true" outlineLevel="0" collapsed="false">
      <c r="A11" s="313" t="s">
        <v>856</v>
      </c>
      <c r="B11" s="313" t="s">
        <v>857</v>
      </c>
      <c r="C11" s="314" t="s">
        <v>858</v>
      </c>
      <c r="D11" s="314" t="s">
        <v>194</v>
      </c>
    </row>
    <row r="12" customFormat="false" ht="33.75" hidden="false" customHeight="true" outlineLevel="0" collapsed="false">
      <c r="A12" s="313" t="s">
        <v>859</v>
      </c>
      <c r="B12" s="313" t="s">
        <v>860</v>
      </c>
      <c r="C12" s="314" t="s">
        <v>861</v>
      </c>
      <c r="D12" s="314" t="s">
        <v>194</v>
      </c>
    </row>
    <row r="13" customFormat="false" ht="33.75" hidden="false" customHeight="true" outlineLevel="0" collapsed="false">
      <c r="A13" s="313" t="s">
        <v>862</v>
      </c>
      <c r="B13" s="313" t="s">
        <v>863</v>
      </c>
      <c r="C13" s="313" t="s">
        <v>864</v>
      </c>
      <c r="D13" s="313" t="s">
        <v>865</v>
      </c>
    </row>
    <row r="14" customFormat="false" ht="33.75" hidden="false" customHeight="true" outlineLevel="0" collapsed="false">
      <c r="A14" s="313" t="s">
        <v>865</v>
      </c>
      <c r="B14" s="313" t="s">
        <v>866</v>
      </c>
      <c r="C14" s="314" t="s">
        <v>867</v>
      </c>
      <c r="D14" s="314" t="s">
        <v>868</v>
      </c>
    </row>
    <row r="15" customFormat="false" ht="33.75" hidden="false" customHeight="true" outlineLevel="0" collapsed="false">
      <c r="A15" s="313" t="s">
        <v>675</v>
      </c>
      <c r="B15" s="313" t="s">
        <v>869</v>
      </c>
      <c r="C15" s="314" t="s">
        <v>870</v>
      </c>
      <c r="D15" s="314" t="s">
        <v>871</v>
      </c>
    </row>
    <row r="16" customFormat="false" ht="33.75" hidden="false" customHeight="true" outlineLevel="0" collapsed="false">
      <c r="A16" s="313" t="s">
        <v>677</v>
      </c>
      <c r="B16" s="313" t="s">
        <v>872</v>
      </c>
      <c r="C16" s="313" t="s">
        <v>873</v>
      </c>
      <c r="D16" s="314" t="s">
        <v>874</v>
      </c>
    </row>
    <row r="17" customFormat="false" ht="33.75" hidden="false" customHeight="true" outlineLevel="0" collapsed="false">
      <c r="A17" s="314" t="s">
        <v>875</v>
      </c>
      <c r="B17" s="313" t="s">
        <v>876</v>
      </c>
      <c r="C17" s="313" t="s">
        <v>877</v>
      </c>
      <c r="D17" s="314" t="s">
        <v>878</v>
      </c>
    </row>
    <row r="18" customFormat="false" ht="33.75" hidden="false" customHeight="true" outlineLevel="0" collapsed="false">
      <c r="A18" s="313" t="s">
        <v>879</v>
      </c>
      <c r="B18" s="313" t="s">
        <v>880</v>
      </c>
      <c r="C18" s="314" t="s">
        <v>881</v>
      </c>
      <c r="D18" s="314" t="s">
        <v>882</v>
      </c>
    </row>
    <row r="19" customFormat="false" ht="15" hidden="false" customHeight="true" outlineLevel="0" collapsed="false">
      <c r="A19" s="313" t="s">
        <v>883</v>
      </c>
      <c r="B19" s="313" t="s">
        <v>884</v>
      </c>
      <c r="C19" s="313" t="s">
        <v>885</v>
      </c>
      <c r="D19" s="314" t="s">
        <v>882</v>
      </c>
    </row>
    <row r="20" customFormat="false" ht="15" hidden="false" customHeight="true" outlineLevel="0" collapsed="false">
      <c r="A20" s="314" t="s">
        <v>652</v>
      </c>
      <c r="B20" s="313" t="s">
        <v>886</v>
      </c>
      <c r="C20" s="314" t="s">
        <v>887</v>
      </c>
      <c r="D20" s="314" t="s">
        <v>888</v>
      </c>
    </row>
    <row r="21" customFormat="false" ht="15" hidden="false" customHeight="true" outlineLevel="0" collapsed="false">
      <c r="A21" s="314" t="s">
        <v>889</v>
      </c>
      <c r="B21" s="313" t="s">
        <v>890</v>
      </c>
      <c r="C21" s="314" t="s">
        <v>891</v>
      </c>
      <c r="D21" s="314" t="s">
        <v>892</v>
      </c>
    </row>
    <row r="22" customFormat="false" ht="15" hidden="false" customHeight="true" outlineLevel="0" collapsed="false">
      <c r="A22" s="105" t="s">
        <v>649</v>
      </c>
      <c r="B22" s="1" t="s">
        <v>893</v>
      </c>
      <c r="C22" s="105" t="s">
        <v>894</v>
      </c>
      <c r="D22" s="105" t="s">
        <v>895</v>
      </c>
    </row>
  </sheetData>
  <mergeCells count="1">
    <mergeCell ref="A1:D1"/>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8"/>
    <col collapsed="false" customWidth="true" hidden="false" outlineLevel="0" max="6" min="2" style="1" width="19"/>
    <col collapsed="false" customWidth="true" hidden="false" outlineLevel="0" max="8" min="7" style="1" width="16"/>
  </cols>
  <sheetData>
    <row r="1" customFormat="false" ht="30.75" hidden="false" customHeight="true" outlineLevel="0" collapsed="false">
      <c r="A1" s="283" t="s">
        <v>896</v>
      </c>
      <c r="B1" s="283"/>
      <c r="C1" s="283"/>
      <c r="D1" s="283"/>
      <c r="E1" s="283"/>
      <c r="F1" s="283"/>
    </row>
    <row r="2" customFormat="false" ht="15" hidden="false" customHeight="true" outlineLevel="0" collapsed="false"/>
    <row r="3" customFormat="false" ht="15" hidden="false" customHeight="true" outlineLevel="0" collapsed="false">
      <c r="A3" s="284" t="s">
        <v>83</v>
      </c>
      <c r="B3" s="284" t="s">
        <v>84</v>
      </c>
      <c r="C3" s="284" t="s">
        <v>85</v>
      </c>
      <c r="D3" s="284" t="s">
        <v>86</v>
      </c>
      <c r="E3" s="284" t="s">
        <v>87</v>
      </c>
      <c r="F3" s="284" t="s">
        <v>88</v>
      </c>
    </row>
    <row r="4" customFormat="false" ht="15" hidden="false" customHeight="true" outlineLevel="0" collapsed="false">
      <c r="A4" s="286" t="s">
        <v>897</v>
      </c>
      <c r="B4" s="287" t="n">
        <f aca="false">'Balance Sheet'!B19</f>
        <v>30000000</v>
      </c>
      <c r="C4" s="287" t="n">
        <f aca="false">'Balance Sheet'!C19</f>
        <v>75000000</v>
      </c>
      <c r="D4" s="287" t="n">
        <f aca="false">'Balance Sheet'!D19</f>
        <v>75000000</v>
      </c>
      <c r="E4" s="287" t="n">
        <f aca="false">'Balance Sheet'!E19</f>
        <v>75000000</v>
      </c>
      <c r="F4" s="287" t="n">
        <f aca="false">'Balance Sheet'!F19</f>
        <v>75000000</v>
      </c>
    </row>
    <row r="5" customFormat="false" ht="15" hidden="false" customHeight="true" outlineLevel="0" collapsed="false">
      <c r="A5" s="286" t="s">
        <v>517</v>
      </c>
      <c r="B5" s="287" t="n">
        <f aca="false">'Balance Sheet'!B20</f>
        <v>0</v>
      </c>
      <c r="C5" s="287" t="n">
        <f aca="false">'Balance Sheet'!C20</f>
        <v>462680.803677499</v>
      </c>
      <c r="D5" s="287" t="n">
        <f aca="false">'Balance Sheet'!D20</f>
        <v>4300246.3851805</v>
      </c>
      <c r="E5" s="287" t="n">
        <f aca="false">'Balance Sheet'!E20</f>
        <v>12297288.1124179</v>
      </c>
      <c r="F5" s="287" t="n">
        <f aca="false">'Balance Sheet'!F20</f>
        <v>26785287.0844617</v>
      </c>
    </row>
    <row r="6" customFormat="false" ht="15" hidden="false" customHeight="true" outlineLevel="0" collapsed="false">
      <c r="A6" s="286" t="s">
        <v>518</v>
      </c>
      <c r="B6" s="287" t="n">
        <f aca="false">'Balance Sheet'!B21</f>
        <v>-8166870.7627</v>
      </c>
      <c r="C6" s="287" t="n">
        <f aca="false">'Balance Sheet'!C21</f>
        <v>624064.507172481</v>
      </c>
      <c r="D6" s="287" t="n">
        <f aca="false">'Balance Sheet'!D21</f>
        <v>73537810.5557294</v>
      </c>
      <c r="E6" s="287" t="n">
        <f aca="false">'Balance Sheet'!E21</f>
        <v>225481603.37324</v>
      </c>
      <c r="F6" s="287" t="n">
        <f aca="false">'Balance Sheet'!F21</f>
        <v>500753583.842072</v>
      </c>
    </row>
    <row r="7" customFormat="false" ht="15" hidden="false" customHeight="true" outlineLevel="0" collapsed="false">
      <c r="A7" s="286" t="s">
        <v>221</v>
      </c>
      <c r="B7" s="287" t="n">
        <f aca="false">SUM(B4:B6)</f>
        <v>21833129.2373</v>
      </c>
      <c r="C7" s="287" t="n">
        <f aca="false">SUM(C4:C6)</f>
        <v>76086745.31085</v>
      </c>
      <c r="D7" s="287" t="n">
        <f aca="false">SUM(D4:D6)</f>
        <v>152838056.94091</v>
      </c>
      <c r="E7" s="287" t="n">
        <f aca="false">SUM(E4:E6)</f>
        <v>312778891.485658</v>
      </c>
      <c r="F7" s="287" t="n">
        <f aca="false">SUM(F4:F6)</f>
        <v>602538870.926534</v>
      </c>
    </row>
    <row r="8" customFormat="false" ht="15" hidden="false" customHeight="true" outlineLevel="0" collapsed="false">
      <c r="A8" s="286" t="s">
        <v>898</v>
      </c>
      <c r="B8" s="287" t="n">
        <f aca="false">'Balance Sheet'!B10*60%</f>
        <v>2581200</v>
      </c>
      <c r="C8" s="287" t="n">
        <f aca="false">'Balance Sheet'!C10*60%</f>
        <v>2881200</v>
      </c>
      <c r="D8" s="287" t="n">
        <f aca="false">'Balance Sheet'!D10*60%</f>
        <v>2881200</v>
      </c>
      <c r="E8" s="287" t="n">
        <f aca="false">'Balance Sheet'!E10*60%</f>
        <v>2881200</v>
      </c>
      <c r="F8" s="287" t="n">
        <f aca="false">'Balance Sheet'!F10*60%</f>
        <v>2881200</v>
      </c>
    </row>
    <row r="9" customFormat="false" ht="15" hidden="false" customHeight="true" outlineLevel="0" collapsed="false">
      <c r="A9" s="286" t="s">
        <v>899</v>
      </c>
      <c r="B9" s="287" t="n">
        <f aca="false">B8</f>
        <v>2581200</v>
      </c>
      <c r="C9" s="287" t="n">
        <f aca="false">C8</f>
        <v>2881200</v>
      </c>
      <c r="D9" s="287" t="n">
        <f aca="false">D8</f>
        <v>2881200</v>
      </c>
      <c r="E9" s="287" t="n">
        <f aca="false">E8</f>
        <v>2881200</v>
      </c>
      <c r="F9" s="287" t="n">
        <f aca="false">F8</f>
        <v>2881200</v>
      </c>
    </row>
    <row r="10" customFormat="false" ht="15" hidden="false" customHeight="true" outlineLevel="0" collapsed="false">
      <c r="A10" s="286" t="s">
        <v>900</v>
      </c>
      <c r="B10" s="287" t="n">
        <f aca="false">B7-B9</f>
        <v>19251929.2373</v>
      </c>
      <c r="C10" s="287" t="n">
        <f aca="false">C7-C9</f>
        <v>73205545.31085</v>
      </c>
      <c r="D10" s="287" t="n">
        <f aca="false">D7-D9</f>
        <v>149956856.94091</v>
      </c>
      <c r="E10" s="287" t="n">
        <f aca="false">E7-E9</f>
        <v>309897691.485658</v>
      </c>
      <c r="F10" s="287" t="n">
        <f aca="false">F7-F9</f>
        <v>599657670.926534</v>
      </c>
    </row>
    <row r="11" customFormat="false" ht="15" hidden="false" customHeight="true" outlineLevel="0" collapsed="false">
      <c r="A11" s="286"/>
      <c r="B11" s="287"/>
      <c r="C11" s="287"/>
      <c r="D11" s="287"/>
      <c r="E11" s="287"/>
      <c r="F11" s="287"/>
    </row>
    <row r="12" customFormat="false" ht="15" hidden="false" customHeight="true" outlineLevel="0" collapsed="false">
      <c r="A12" s="286" t="s">
        <v>901</v>
      </c>
      <c r="B12" s="287" t="n">
        <f aca="false">'Balance Sheet'!B14</f>
        <v>0</v>
      </c>
      <c r="C12" s="287" t="n">
        <f aca="false">'Balance Sheet'!C14</f>
        <v>370000000</v>
      </c>
      <c r="D12" s="287" t="n">
        <f aca="false">'Balance Sheet'!D14</f>
        <v>685000000</v>
      </c>
      <c r="E12" s="287" t="n">
        <f aca="false">'Balance Sheet'!E14</f>
        <v>1335000000</v>
      </c>
      <c r="F12" s="287" t="n">
        <f aca="false">'Balance Sheet'!F14</f>
        <v>2600000000</v>
      </c>
    </row>
    <row r="13" customFormat="false" ht="15" hidden="false" customHeight="true" outlineLevel="0" collapsed="false">
      <c r="A13" s="286" t="s">
        <v>902</v>
      </c>
      <c r="B13" s="301" t="n">
        <f aca="false">IFERROR(B12/IF(B14=9,B10,B7),0)</f>
        <v>0</v>
      </c>
      <c r="C13" s="301" t="n">
        <f aca="false">IFERROR(C12/IF(C14=9,C10,C7),0)</f>
        <v>4.86287064177048</v>
      </c>
      <c r="D13" s="301" t="n">
        <f aca="false">IFERROR(D12/IF(D14=9,D10,D7),0)</f>
        <v>4.56798051102073</v>
      </c>
      <c r="E13" s="301" t="n">
        <f aca="false">IFERROR(E12/IF(E14=9,E10,E7),0)</f>
        <v>4.30787332942035</v>
      </c>
      <c r="F13" s="301" t="n">
        <f aca="false">IFERROR(F12/IF(F14=9,F10,F7),0)</f>
        <v>4.33580712139099</v>
      </c>
    </row>
    <row r="14" customFormat="false" ht="15" hidden="false" customHeight="true" outlineLevel="0" collapsed="false">
      <c r="A14" s="286" t="s">
        <v>903</v>
      </c>
      <c r="B14" s="301" t="n">
        <f aca="false">Assumptions!B51</f>
        <v>4</v>
      </c>
      <c r="C14" s="301" t="n">
        <f aca="false">Assumptions!C51</f>
        <v>4</v>
      </c>
      <c r="D14" s="301" t="n">
        <f aca="false">Assumptions!D51</f>
        <v>9</v>
      </c>
      <c r="E14" s="301" t="n">
        <f aca="false">Assumptions!E51</f>
        <v>9</v>
      </c>
      <c r="F14" s="301" t="n">
        <f aca="false">Assumptions!F51</f>
        <v>9</v>
      </c>
    </row>
    <row r="15" customFormat="false" ht="15" hidden="false" customHeight="true" outlineLevel="0" collapsed="false">
      <c r="A15" s="286" t="s">
        <v>904</v>
      </c>
      <c r="B15" s="301" t="n">
        <f aca="false">B14-B13</f>
        <v>4</v>
      </c>
      <c r="C15" s="301" t="n">
        <f aca="false">C14-C13</f>
        <v>-0.862870641770479</v>
      </c>
      <c r="D15" s="301" t="n">
        <f aca="false">D14-D13</f>
        <v>4.43201948897927</v>
      </c>
      <c r="E15" s="301" t="n">
        <f aca="false">E14-E13</f>
        <v>4.69212667057966</v>
      </c>
      <c r="F15" s="301" t="n">
        <f aca="false">F14-F13</f>
        <v>4.66419287860901</v>
      </c>
    </row>
    <row r="16" customFormat="false" ht="15" hidden="false" customHeight="true" outlineLevel="0" collapsed="false">
      <c r="A16" s="286" t="s">
        <v>905</v>
      </c>
      <c r="B16" s="286" t="str">
        <f aca="false">IF(B13&lt;=B14,"متوافق","فجوة")</f>
        <v>متوافق</v>
      </c>
      <c r="C16" s="286" t="str">
        <f aca="false">IF(C13&lt;=C14,"متوافق","فجوة")</f>
        <v>فجوة</v>
      </c>
      <c r="D16" s="286" t="str">
        <f aca="false">IF(D13&lt;=D14,"متوافق","فجوة")</f>
        <v>متوافق</v>
      </c>
      <c r="E16" s="286" t="str">
        <f aca="false">IF(E13&lt;=E14,"متوافق","فجوة")</f>
        <v>متوافق</v>
      </c>
      <c r="F16" s="286" t="str">
        <f aca="false">IF(F13&lt;=F14,"متوافق","فجوة")</f>
        <v>متوافق</v>
      </c>
    </row>
    <row r="17" customFormat="false" ht="15" hidden="false" customHeight="true" outlineLevel="0" collapsed="false">
      <c r="A17" s="289"/>
      <c r="B17" s="289"/>
      <c r="C17" s="289"/>
      <c r="D17" s="289"/>
      <c r="E17" s="289"/>
      <c r="F17" s="289"/>
    </row>
    <row r="18" customFormat="false" ht="15" hidden="false" customHeight="true" outlineLevel="0" collapsed="false">
      <c r="A18" s="291" t="s">
        <v>906</v>
      </c>
      <c r="B18" s="291"/>
      <c r="C18" s="291"/>
      <c r="D18" s="291"/>
      <c r="E18" s="291"/>
      <c r="F18" s="291"/>
    </row>
    <row r="19" customFormat="false" ht="15" hidden="false" customHeight="true" outlineLevel="0" collapsed="false">
      <c r="A19" s="286" t="s">
        <v>907</v>
      </c>
      <c r="B19" s="287" t="n">
        <f aca="false">'Balance Sheet'!B8</f>
        <v>20052134.9673</v>
      </c>
      <c r="C19" s="287" t="n">
        <f aca="false">'Balance Sheet'!C8</f>
        <v>439024153.594</v>
      </c>
      <c r="D19" s="287" t="n">
        <f aca="false">'Balance Sheet'!D8</f>
        <v>840564492.1564</v>
      </c>
      <c r="E19" s="287" t="n">
        <f aca="false">'Balance Sheet'!E8</f>
        <v>1617413695.29384</v>
      </c>
      <c r="F19" s="287" t="n">
        <f aca="false">'Balance Sheet'!F8</f>
        <v>3031698217.1763</v>
      </c>
    </row>
    <row r="20" customFormat="false" ht="15" hidden="false" customHeight="true" outlineLevel="0" collapsed="false">
      <c r="A20" s="286" t="s">
        <v>908</v>
      </c>
      <c r="B20" s="287" t="n">
        <f aca="false">'Balance Sheet'!B9+'Balance Sheet'!B10</f>
        <v>4560076.28</v>
      </c>
      <c r="C20" s="287" t="n">
        <f aca="false">'Balance Sheet'!C9+'Balance Sheet'!C10</f>
        <v>5060076.28</v>
      </c>
      <c r="D20" s="287" t="n">
        <f aca="false">'Balance Sheet'!D9+'Balance Sheet'!D10</f>
        <v>5060076.28</v>
      </c>
      <c r="E20" s="287" t="n">
        <f aca="false">'Balance Sheet'!E9+'Balance Sheet'!E10</f>
        <v>5060076.28</v>
      </c>
      <c r="F20" s="287" t="n">
        <f aca="false">'Balance Sheet'!F9+'Balance Sheet'!F10</f>
        <v>5060076.28</v>
      </c>
    </row>
    <row r="21" customFormat="false" ht="15" hidden="false" customHeight="true" outlineLevel="0" collapsed="false">
      <c r="A21" s="286" t="s">
        <v>909</v>
      </c>
      <c r="B21" s="287" t="n">
        <f aca="false">MIN(ABS('Income Statement'!B9-'Income Statement'!B15),2.25%*AVERAGE(0,'Balance Sheet'!B8))</f>
        <v>225586.518382125</v>
      </c>
      <c r="C21" s="287" t="n">
        <f aca="false">MIN(ABS('Income Statement'!C9-'Income Statement'!C15),2.25%*AVERAGE('Balance Sheet'!B8,'Balance Sheet'!C8))</f>
        <v>5164608.24631462</v>
      </c>
      <c r="D21" s="287" t="n">
        <f aca="false">MIN(ABS('Income Statement'!D9-'Income Statement'!D15),2.25%*AVERAGE('Balance Sheet'!C8,'Balance Sheet'!D8))</f>
        <v>14395372.264692</v>
      </c>
      <c r="E21" s="287" t="n">
        <f aca="false">MIN(ABS('Income Statement'!E9-'Income Statement'!E15),2.25%*AVERAGE('Balance Sheet'!D8,'Balance Sheet'!E8))</f>
        <v>27652254.6088152</v>
      </c>
      <c r="F21" s="287" t="n">
        <f aca="false">MIN(ABS('Income Statement'!F9-'Income Statement'!F15),2.25%*AVERAGE('Balance Sheet'!E8,'Balance Sheet'!F8))</f>
        <v>52302509.0152891</v>
      </c>
    </row>
    <row r="22" customFormat="false" ht="15" hidden="false" customHeight="true" outlineLevel="0" collapsed="false">
      <c r="A22" s="286" t="s">
        <v>910</v>
      </c>
      <c r="B22" s="287" t="n">
        <f aca="false">MAX('Income Statement'!B10+'Income Statement'!B13,'Income Statement'!B17+'Income Statement'!B18)</f>
        <v>15591312</v>
      </c>
      <c r="C22" s="287" t="n">
        <f aca="false">MAX('Income Statement'!C10+'Income Statement'!C13,'Income Statement'!C17+'Income Statement'!C18)</f>
        <v>36925000</v>
      </c>
      <c r="D22" s="287" t="n">
        <f aca="false">MAX('Income Statement'!D10+'Income Statement'!D13,'Income Statement'!D17+'Income Statement'!D18)</f>
        <v>47600000</v>
      </c>
      <c r="E22" s="287" t="n">
        <f aca="false">MAX('Income Statement'!E10+'Income Statement'!E13,'Income Statement'!E17+'Income Statement'!E18)</f>
        <v>91800000</v>
      </c>
      <c r="F22" s="287" t="n">
        <f aca="false">MAX('Income Statement'!F10+'Income Statement'!F13,'Income Statement'!F17+'Income Statement'!F18)</f>
        <v>170000000</v>
      </c>
    </row>
    <row r="23" customFormat="false" ht="15" hidden="false" customHeight="true" outlineLevel="0" collapsed="false">
      <c r="A23" s="286" t="s">
        <v>911</v>
      </c>
      <c r="B23" s="287" t="n">
        <f aca="false">0</f>
        <v>0</v>
      </c>
      <c r="C23" s="287" t="n">
        <f aca="false">0</f>
        <v>0</v>
      </c>
      <c r="D23" s="287" t="n">
        <f aca="false">0</f>
        <v>0</v>
      </c>
      <c r="E23" s="287" t="n">
        <f aca="false">0</f>
        <v>0</v>
      </c>
      <c r="F23" s="287" t="n">
        <f aca="false">0</f>
        <v>0</v>
      </c>
    </row>
    <row r="24" customFormat="false" ht="15" hidden="false" customHeight="true" outlineLevel="0" collapsed="false">
      <c r="A24" s="286" t="s">
        <v>912</v>
      </c>
      <c r="B24" s="287" t="n">
        <f aca="false">SUM(B21:B23)</f>
        <v>15816898.5183821</v>
      </c>
      <c r="C24" s="287" t="n">
        <f aca="false">SUM(C21:C23)</f>
        <v>42089608.2463146</v>
      </c>
      <c r="D24" s="287" t="n">
        <f aca="false">SUM(D21:D23)</f>
        <v>61995372.264692</v>
      </c>
      <c r="E24" s="287" t="n">
        <f aca="false">SUM(E21:E23)</f>
        <v>119452254.608815</v>
      </c>
      <c r="F24" s="287" t="n">
        <f aca="false">SUM(F21:F23)</f>
        <v>222302509.015289</v>
      </c>
    </row>
    <row r="25" customFormat="false" ht="15" hidden="false" customHeight="true" outlineLevel="0" collapsed="false">
      <c r="A25" s="286" t="s">
        <v>913</v>
      </c>
      <c r="B25" s="292" t="n">
        <f aca="false">'Basel III'!B96</f>
        <v>0.12</v>
      </c>
      <c r="C25" s="292" t="n">
        <f aca="false">'Basel III'!C96</f>
        <v>0.12</v>
      </c>
      <c r="D25" s="292" t="n">
        <f aca="false">'Basel III'!D96</f>
        <v>0.12</v>
      </c>
      <c r="E25" s="292" t="n">
        <f aca="false">'Basel III'!E96</f>
        <v>0.12</v>
      </c>
      <c r="F25" s="292" t="n">
        <f aca="false">'Basel III'!F96</f>
        <v>0.12</v>
      </c>
    </row>
    <row r="26" customFormat="false" ht="15" hidden="false" customHeight="true" outlineLevel="0" collapsed="false">
      <c r="A26" s="286" t="s">
        <v>914</v>
      </c>
      <c r="B26" s="301" t="n">
        <f aca="false">1</f>
        <v>1</v>
      </c>
      <c r="C26" s="301" t="n">
        <f aca="false">1</f>
        <v>1</v>
      </c>
      <c r="D26" s="301" t="n">
        <f aca="false">1</f>
        <v>1</v>
      </c>
      <c r="E26" s="301" t="n">
        <f aca="false">1</f>
        <v>1</v>
      </c>
      <c r="F26" s="301" t="n">
        <f aca="false">1</f>
        <v>1</v>
      </c>
    </row>
    <row r="27" customFormat="false" ht="15" hidden="false" customHeight="true" outlineLevel="0" collapsed="false">
      <c r="A27" s="286" t="s">
        <v>915</v>
      </c>
      <c r="B27" s="306" t="n">
        <f aca="false">Assumptions!B97</f>
        <v>12.5</v>
      </c>
      <c r="C27" s="306" t="n">
        <f aca="false">Assumptions!C97</f>
        <v>12.5</v>
      </c>
      <c r="D27" s="306" t="n">
        <f aca="false">Assumptions!D97</f>
        <v>12.5</v>
      </c>
      <c r="E27" s="306" t="n">
        <f aca="false">Assumptions!E97</f>
        <v>12.5</v>
      </c>
      <c r="F27" s="306" t="n">
        <f aca="false">Assumptions!F97</f>
        <v>12.5</v>
      </c>
    </row>
    <row r="28" customFormat="false" ht="15" hidden="false" customHeight="true" outlineLevel="0" collapsed="false">
      <c r="A28" s="286" t="s">
        <v>916</v>
      </c>
      <c r="B28" s="287" t="n">
        <f aca="false">B24*B25*B26*B27</f>
        <v>23725347.7775732</v>
      </c>
      <c r="C28" s="287" t="n">
        <f aca="false">C24*C25*C26*C27</f>
        <v>63134412.3694719</v>
      </c>
      <c r="D28" s="287" t="n">
        <f aca="false">D24*D25*D26*D27</f>
        <v>92993058.397038</v>
      </c>
      <c r="E28" s="287" t="n">
        <f aca="false">E24*E25*E26*E27</f>
        <v>179178381.913223</v>
      </c>
      <c r="F28" s="287" t="n">
        <f aca="false">F24*F25*F26*F27</f>
        <v>333453763.522934</v>
      </c>
    </row>
    <row r="29" customFormat="false" ht="15" hidden="false" customHeight="true" outlineLevel="0" collapsed="false">
      <c r="A29" s="286" t="s">
        <v>917</v>
      </c>
      <c r="B29" s="287" t="n">
        <f aca="false">0</f>
        <v>0</v>
      </c>
      <c r="C29" s="287" t="n">
        <f aca="false">0</f>
        <v>0</v>
      </c>
      <c r="D29" s="287" t="n">
        <f aca="false">0</f>
        <v>0</v>
      </c>
      <c r="E29" s="287" t="n">
        <f aca="false">0</f>
        <v>0</v>
      </c>
      <c r="F29" s="287" t="n">
        <f aca="false">0</f>
        <v>0</v>
      </c>
    </row>
    <row r="30" customFormat="false" ht="15" hidden="false" customHeight="true" outlineLevel="0" collapsed="false">
      <c r="A30" s="286" t="s">
        <v>918</v>
      </c>
      <c r="B30" s="287" t="n">
        <f aca="false">SUM(B19:B20,B28:B29)</f>
        <v>48337559.0248732</v>
      </c>
      <c r="C30" s="287" t="n">
        <f aca="false">SUM(C19:C20,C28:C29)</f>
        <v>507218642.243472</v>
      </c>
      <c r="D30" s="287" t="n">
        <f aca="false">SUM(D19:D20,D28:D29)</f>
        <v>938617626.833438</v>
      </c>
      <c r="E30" s="287" t="n">
        <f aca="false">SUM(E19:E20,E28:E29)</f>
        <v>1801652153.48706</v>
      </c>
      <c r="F30" s="287" t="n">
        <f aca="false">SUM(F19:F20,F28:F29)</f>
        <v>3370212056.97924</v>
      </c>
    </row>
    <row r="31" customFormat="false" ht="15" hidden="false" customHeight="true" outlineLevel="0" collapsed="false">
      <c r="A31" s="286" t="s">
        <v>919</v>
      </c>
      <c r="B31" s="292" t="n">
        <f aca="false">IFERROR(B10/B30,0)</f>
        <v>0.398280956375838</v>
      </c>
      <c r="C31" s="292" t="n">
        <f aca="false">IFERROR(C10/C30,0)</f>
        <v>0.144327394961383</v>
      </c>
      <c r="D31" s="292" t="n">
        <f aca="false">IFERROR(D10/D30,0)</f>
        <v>0.159763521005685</v>
      </c>
      <c r="E31" s="292" t="n">
        <f aca="false">IFERROR(E10/E30,0)</f>
        <v>0.172007504825977</v>
      </c>
      <c r="F31" s="292" t="n">
        <f aca="false">IFERROR(F10/F30,0)</f>
        <v>0.177928765545992</v>
      </c>
    </row>
    <row r="32" customFormat="false" ht="15" hidden="false" customHeight="true" outlineLevel="0" collapsed="false">
      <c r="A32" s="286" t="s">
        <v>286</v>
      </c>
      <c r="B32" s="292" t="n">
        <f aca="false">Assumptions!B95</f>
        <v>0.12</v>
      </c>
      <c r="C32" s="292" t="n">
        <f aca="false">Assumptions!C95</f>
        <v>0.12</v>
      </c>
      <c r="D32" s="292" t="n">
        <f aca="false">Assumptions!D95</f>
        <v>0.12</v>
      </c>
      <c r="E32" s="292" t="n">
        <f aca="false">Assumptions!E95</f>
        <v>0.12</v>
      </c>
      <c r="F32" s="292" t="n">
        <f aca="false">Assumptions!F95</f>
        <v>0.12</v>
      </c>
    </row>
    <row r="33" customFormat="false" ht="15" hidden="false" customHeight="true" outlineLevel="0" collapsed="false">
      <c r="A33" s="286" t="s">
        <v>920</v>
      </c>
      <c r="B33" s="287" t="n">
        <f aca="false">B10-B30*B32</f>
        <v>13451422.1543152</v>
      </c>
      <c r="C33" s="287" t="n">
        <f aca="false">C10-C30*C32</f>
        <v>12339308.2416333</v>
      </c>
      <c r="D33" s="287" t="n">
        <f aca="false">D10-D30*D32</f>
        <v>37322741.7208974</v>
      </c>
      <c r="E33" s="287" t="n">
        <f aca="false">E10-E30*E32</f>
        <v>93699433.0672104</v>
      </c>
      <c r="F33" s="287" t="n">
        <f aca="false">F10-F30*F32</f>
        <v>195232224.089025</v>
      </c>
    </row>
    <row r="34" customFormat="false" ht="15" hidden="false" customHeight="true" outlineLevel="0" collapsed="false">
      <c r="A34" s="289" t="s">
        <v>921</v>
      </c>
      <c r="B34" s="290" t="s">
        <v>922</v>
      </c>
      <c r="C34" s="290" t="s">
        <v>922</v>
      </c>
      <c r="D34" s="290" t="s">
        <v>922</v>
      </c>
      <c r="E34" s="290" t="s">
        <v>922</v>
      </c>
      <c r="F34" s="290" t="s">
        <v>922</v>
      </c>
    </row>
    <row r="35" customFormat="false" ht="15" hidden="false" customHeight="true" outlineLevel="0" collapsed="false">
      <c r="A35" s="291" t="s">
        <v>923</v>
      </c>
      <c r="B35" s="291"/>
      <c r="C35" s="291"/>
      <c r="D35" s="291"/>
      <c r="E35" s="291"/>
      <c r="F35" s="291"/>
    </row>
    <row r="36" customFormat="false" ht="15" hidden="false" customHeight="true" outlineLevel="0" collapsed="false">
      <c r="A36" s="286" t="s">
        <v>924</v>
      </c>
      <c r="B36" s="287" t="n">
        <f aca="false">B10*30%</f>
        <v>5775578.77119</v>
      </c>
      <c r="C36" s="287" t="n">
        <f aca="false">C10*30%</f>
        <v>21961663.593255</v>
      </c>
      <c r="D36" s="287" t="n">
        <f aca="false">D10*30%</f>
        <v>44987057.082273</v>
      </c>
      <c r="E36" s="287" t="n">
        <f aca="false">E10*30%</f>
        <v>92969307.4456974</v>
      </c>
      <c r="F36" s="287" t="n">
        <f aca="false">F10*30%</f>
        <v>179897301.27796</v>
      </c>
    </row>
    <row r="37" customFormat="false" ht="15" hidden="false" customHeight="true" outlineLevel="0" collapsed="false">
      <c r="A37" s="286" t="s">
        <v>925</v>
      </c>
      <c r="B37" s="287" t="n">
        <f aca="false">B10*25%</f>
        <v>4812982.309325</v>
      </c>
      <c r="C37" s="287" t="n">
        <f aca="false">C10*25%</f>
        <v>18301386.3277125</v>
      </c>
      <c r="D37" s="287" t="n">
        <f aca="false">D10*25%</f>
        <v>37489214.2352275</v>
      </c>
      <c r="E37" s="287" t="n">
        <f aca="false">E10*25%</f>
        <v>77474422.8714145</v>
      </c>
      <c r="F37" s="287" t="n">
        <f aca="false">F10*25%</f>
        <v>149914417.731633</v>
      </c>
    </row>
    <row r="38" customFormat="false" ht="37.5" hidden="false" customHeight="true" outlineLevel="0" collapsed="false">
      <c r="A38" s="286" t="s">
        <v>926</v>
      </c>
      <c r="B38" s="287" t="s">
        <v>927</v>
      </c>
      <c r="C38" s="287" t="s">
        <v>927</v>
      </c>
      <c r="D38" s="287" t="s">
        <v>927</v>
      </c>
      <c r="E38" s="287" t="s">
        <v>927</v>
      </c>
      <c r="F38" s="287" t="s">
        <v>927</v>
      </c>
    </row>
    <row r="39" customFormat="false" ht="37.5" hidden="false" customHeight="true" outlineLevel="0" collapsed="false">
      <c r="A39" s="286" t="s">
        <v>928</v>
      </c>
      <c r="B39" s="286" t="str">
        <f aca="false">IF(ISNUMBER(B38),IF(B38&lt;=B36,"متوافق","فجوة"),"بيانات معلقة - سجل تركز العملاء/الأطراف المرتبطة مطلوب")</f>
        <v>بيانات معلقة - سجل تركز العملاء/الأطراف المرتبطة مطلوب</v>
      </c>
      <c r="C39" s="286" t="str">
        <f aca="false">IF(ISNUMBER(C38),IF(C38&lt;=C36,"متوافق","فجوة"),"بيانات معلقة - سجل تركز العملاء/الأطراف المرتبطة مطلوب")</f>
        <v>بيانات معلقة - سجل تركز العملاء/الأطراف المرتبطة مطلوب</v>
      </c>
      <c r="D39" s="286" t="str">
        <f aca="false">IF(ISNUMBER(D38),IF(D38&lt;=D36,"متوافق","فجوة"),"بيانات معلقة - سجل تركز العملاء/الأطراف المرتبطة مطلوب")</f>
        <v>بيانات معلقة - سجل تركز العملاء/الأطراف المرتبطة مطلوب</v>
      </c>
      <c r="E39" s="286" t="str">
        <f aca="false">IF(ISNUMBER(E38),IF(E38&lt;=E36,"متوافق","فجوة"),"بيانات معلقة - سجل تركز العملاء/الأطراف المرتبطة مطلوب")</f>
        <v>بيانات معلقة - سجل تركز العملاء/الأطراف المرتبطة مطلوب</v>
      </c>
      <c r="F39" s="286" t="str">
        <f aca="false">IF(ISNUMBER(F38),IF(F38&lt;=F36,"متوافق","فجوة"),"بيانات معلقة - سجل تركز العملاء/الأطراف المرتبطة مطلوب")</f>
        <v>بيانات معلقة - سجل تركز العملاء/الأطراف المرتبطة مطلوب</v>
      </c>
    </row>
    <row r="40" customFormat="false" ht="37.5" hidden="false" customHeight="true" outlineLevel="0" collapsed="false"/>
    <row r="41" customFormat="false" ht="51.75" hidden="false" customHeight="true" outlineLevel="0" collapsed="false">
      <c r="A41" s="61" t="s">
        <v>929</v>
      </c>
      <c r="B41" s="61"/>
      <c r="C41" s="61"/>
      <c r="D41" s="61"/>
      <c r="E41" s="61"/>
      <c r="F41" s="61"/>
    </row>
    <row r="42" customFormat="false" ht="37.5" hidden="false" customHeight="true" outlineLevel="0" collapsed="false"/>
    <row r="43" customFormat="false" ht="37.5" hidden="false" customHeight="true" outlineLevel="0" collapsed="false">
      <c r="A43" s="291" t="s">
        <v>930</v>
      </c>
      <c r="B43" s="291"/>
      <c r="C43" s="291"/>
      <c r="D43" s="291"/>
      <c r="E43" s="291"/>
      <c r="F43" s="291"/>
    </row>
    <row r="44" customFormat="false" ht="15" hidden="false" customHeight="true" outlineLevel="0" collapsed="false">
      <c r="A44" s="284" t="s">
        <v>83</v>
      </c>
      <c r="B44" s="284" t="s">
        <v>84</v>
      </c>
      <c r="C44" s="284" t="s">
        <v>85</v>
      </c>
      <c r="D44" s="284" t="s">
        <v>86</v>
      </c>
      <c r="E44" s="284" t="s">
        <v>87</v>
      </c>
      <c r="F44" s="284" t="s">
        <v>88</v>
      </c>
    </row>
    <row r="45" customFormat="false" ht="15" hidden="false" customHeight="true" outlineLevel="0" collapsed="false">
      <c r="A45" s="286" t="s">
        <v>931</v>
      </c>
      <c r="B45" s="287" t="n">
        <f aca="false">B10</f>
        <v>19251929.2373</v>
      </c>
      <c r="C45" s="287" t="n">
        <f aca="false">C10</f>
        <v>73205545.31085</v>
      </c>
      <c r="D45" s="287" t="n">
        <f aca="false">D10</f>
        <v>149956856.94091</v>
      </c>
      <c r="E45" s="287" t="n">
        <f aca="false">E10</f>
        <v>309897691.485658</v>
      </c>
      <c r="F45" s="287" t="n">
        <f aca="false">F10</f>
        <v>599657670.926534</v>
      </c>
    </row>
    <row r="46" customFormat="false" ht="15" hidden="false" customHeight="true" outlineLevel="0" collapsed="false">
      <c r="A46" s="286" t="s">
        <v>932</v>
      </c>
      <c r="B46" s="287" t="n">
        <v>0</v>
      </c>
      <c r="C46" s="287" t="n">
        <v>0</v>
      </c>
      <c r="D46" s="287" t="n">
        <v>0</v>
      </c>
      <c r="E46" s="287" t="n">
        <v>0</v>
      </c>
      <c r="F46" s="287" t="n">
        <v>0</v>
      </c>
    </row>
    <row r="47" customFormat="false" ht="15" hidden="false" customHeight="true" outlineLevel="0" collapsed="false">
      <c r="A47" s="286" t="s">
        <v>933</v>
      </c>
      <c r="B47" s="287" t="n">
        <f aca="false">B45+B46</f>
        <v>19251929.2373</v>
      </c>
      <c r="C47" s="287" t="n">
        <f aca="false">C45+C46</f>
        <v>73205545.31085</v>
      </c>
      <c r="D47" s="287" t="n">
        <f aca="false">D45+D46</f>
        <v>149956856.94091</v>
      </c>
      <c r="E47" s="287" t="n">
        <f aca="false">E45+E46</f>
        <v>309897691.485658</v>
      </c>
      <c r="F47" s="287" t="n">
        <f aca="false">F45+F46</f>
        <v>599657670.926534</v>
      </c>
    </row>
    <row r="48" customFormat="false" ht="15" hidden="false" customHeight="true" outlineLevel="0" collapsed="false">
      <c r="A48" s="286" t="s">
        <v>934</v>
      </c>
      <c r="B48" s="287" t="n">
        <f aca="false">Assumptions!B55</f>
        <v>0</v>
      </c>
      <c r="C48" s="287" t="n">
        <f aca="false">Assumptions!C55</f>
        <v>0</v>
      </c>
      <c r="D48" s="287" t="n">
        <f aca="false">Assumptions!D55</f>
        <v>0</v>
      </c>
      <c r="E48" s="287" t="n">
        <f aca="false">Assumptions!E55</f>
        <v>0</v>
      </c>
      <c r="F48" s="287" t="n">
        <f aca="false">Assumptions!F55</f>
        <v>0</v>
      </c>
    </row>
    <row r="49" customFormat="false" ht="15" hidden="false" customHeight="true" outlineLevel="0" collapsed="false">
      <c r="A49" s="286" t="s">
        <v>935</v>
      </c>
      <c r="B49" s="287" t="n">
        <f aca="false">B47+B48</f>
        <v>19251929.2373</v>
      </c>
      <c r="C49" s="287" t="n">
        <f aca="false">C47+C48</f>
        <v>73205545.31085</v>
      </c>
      <c r="D49" s="287" t="n">
        <f aca="false">D47+D48</f>
        <v>149956856.94091</v>
      </c>
      <c r="E49" s="287" t="n">
        <f aca="false">E47+E48</f>
        <v>309897691.485658</v>
      </c>
      <c r="F49" s="287" t="n">
        <f aca="false">F47+F48</f>
        <v>599657670.926534</v>
      </c>
    </row>
    <row r="50" customFormat="false" ht="15" hidden="false" customHeight="true" outlineLevel="0" collapsed="false">
      <c r="A50" s="286" t="s">
        <v>936</v>
      </c>
      <c r="B50" s="293" t="n">
        <f aca="false">IFERROR(B45/B30,0)</f>
        <v>0.398280956375838</v>
      </c>
      <c r="C50" s="293" t="n">
        <f aca="false">IFERROR(C45/C30,0)</f>
        <v>0.144327394961383</v>
      </c>
      <c r="D50" s="293" t="n">
        <f aca="false">IFERROR(D45/D30,0)</f>
        <v>0.159763521005685</v>
      </c>
      <c r="E50" s="293" t="n">
        <f aca="false">IFERROR(E45/E30,0)</f>
        <v>0.172007504825977</v>
      </c>
      <c r="F50" s="293" t="n">
        <f aca="false">IFERROR(F45/F30,0)</f>
        <v>0.177928765545992</v>
      </c>
    </row>
    <row r="51" customFormat="false" ht="15" hidden="false" customHeight="true" outlineLevel="0" collapsed="false">
      <c r="A51" s="286" t="s">
        <v>937</v>
      </c>
      <c r="B51" s="293" t="n">
        <f aca="false">IFERROR(B47/B30,0)</f>
        <v>0.398280956375838</v>
      </c>
      <c r="C51" s="293" t="n">
        <f aca="false">IFERROR(C47/C30,0)</f>
        <v>0.144327394961383</v>
      </c>
      <c r="D51" s="293" t="n">
        <f aca="false">IFERROR(D47/D30,0)</f>
        <v>0.159763521005685</v>
      </c>
      <c r="E51" s="293" t="n">
        <f aca="false">IFERROR(E47/E30,0)</f>
        <v>0.172007504825977</v>
      </c>
      <c r="F51" s="293" t="n">
        <f aca="false">IFERROR(F47/F30,0)</f>
        <v>0.177928765545992</v>
      </c>
    </row>
    <row r="52" customFormat="false" ht="15" hidden="false" customHeight="true" outlineLevel="0" collapsed="false">
      <c r="A52" s="286" t="s">
        <v>938</v>
      </c>
      <c r="B52" s="293" t="n">
        <f aca="false">B31</f>
        <v>0.398280956375838</v>
      </c>
      <c r="C52" s="293" t="n">
        <f aca="false">C31</f>
        <v>0.144327394961383</v>
      </c>
      <c r="D52" s="293" t="n">
        <f aca="false">D31</f>
        <v>0.159763521005685</v>
      </c>
      <c r="E52" s="293" t="n">
        <f aca="false">E31</f>
        <v>0.172007504825977</v>
      </c>
      <c r="F52" s="293" t="n">
        <f aca="false">F31</f>
        <v>0.177928765545992</v>
      </c>
    </row>
    <row r="53" customFormat="false" ht="15" hidden="false" customHeight="true" outlineLevel="0" collapsed="false">
      <c r="A53" s="286" t="s">
        <v>939</v>
      </c>
      <c r="B53" s="293" t="n">
        <f aca="false">B32</f>
        <v>0.12</v>
      </c>
      <c r="C53" s="293" t="n">
        <f aca="false">C32</f>
        <v>0.12</v>
      </c>
      <c r="D53" s="293" t="n">
        <f aca="false">D32</f>
        <v>0.12</v>
      </c>
      <c r="E53" s="293" t="n">
        <f aca="false">E32</f>
        <v>0.12</v>
      </c>
      <c r="F53" s="293" t="n">
        <f aca="false">F32</f>
        <v>0.12</v>
      </c>
    </row>
    <row r="54" customFormat="false" ht="15" hidden="false" customHeight="true" outlineLevel="0" collapsed="false">
      <c r="A54" s="286" t="s">
        <v>940</v>
      </c>
      <c r="B54" s="293" t="n">
        <v>0.025</v>
      </c>
      <c r="C54" s="293" t="n">
        <v>0.025</v>
      </c>
      <c r="D54" s="293" t="n">
        <v>0.025</v>
      </c>
      <c r="E54" s="293" t="n">
        <v>0.025</v>
      </c>
      <c r="F54" s="293" t="n">
        <v>0.025</v>
      </c>
    </row>
    <row r="55" customFormat="false" ht="15" hidden="false" customHeight="true" outlineLevel="0" collapsed="false">
      <c r="A55" s="286" t="s">
        <v>941</v>
      </c>
      <c r="B55" s="293" t="n">
        <v>0</v>
      </c>
      <c r="C55" s="293" t="n">
        <v>0</v>
      </c>
      <c r="D55" s="293" t="n">
        <v>0</v>
      </c>
      <c r="E55" s="293" t="n">
        <v>0</v>
      </c>
      <c r="F55" s="293" t="n">
        <v>0</v>
      </c>
    </row>
    <row r="56" customFormat="false" ht="15" hidden="false" customHeight="true" outlineLevel="0" collapsed="false">
      <c r="A56" s="286" t="s">
        <v>942</v>
      </c>
      <c r="B56" s="293" t="n">
        <f aca="false">B53+B54+B55</f>
        <v>0.145</v>
      </c>
      <c r="C56" s="293" t="n">
        <f aca="false">C53+C54+C55</f>
        <v>0.145</v>
      </c>
      <c r="D56" s="293" t="n">
        <f aca="false">D53+D54+D55</f>
        <v>0.145</v>
      </c>
      <c r="E56" s="293" t="n">
        <f aca="false">E53+E54+E55</f>
        <v>0.145</v>
      </c>
      <c r="F56" s="293" t="n">
        <f aca="false">F53+F54+F55</f>
        <v>0.145</v>
      </c>
    </row>
    <row r="57" customFormat="false" ht="15" hidden="false" customHeight="true" outlineLevel="0" collapsed="false">
      <c r="A57" s="286" t="s">
        <v>943</v>
      </c>
      <c r="B57" s="293" t="n">
        <f aca="false">B52-B56</f>
        <v>0.253280956375838</v>
      </c>
      <c r="C57" s="293" t="n">
        <f aca="false">C52-C56</f>
        <v>-0.000672605038617019</v>
      </c>
      <c r="D57" s="293" t="n">
        <f aca="false">D52-D56</f>
        <v>0.0147635210056848</v>
      </c>
      <c r="E57" s="293" t="n">
        <f aca="false">E52-E56</f>
        <v>0.0270075048259771</v>
      </c>
      <c r="F57" s="293" t="n">
        <f aca="false">F52-F56</f>
        <v>0.0329287655459919</v>
      </c>
    </row>
    <row r="58" customFormat="false" ht="15" hidden="false" customHeight="true" outlineLevel="0" collapsed="false">
      <c r="A58" s="286" t="s">
        <v>944</v>
      </c>
      <c r="B58" s="286" t="str">
        <f aca="false">IF(B57&gt;=0,"متوافق استرشاديا","فجوة استرشادية")</f>
        <v>متوافق استرشاديا</v>
      </c>
      <c r="C58" s="286" t="str">
        <f aca="false">IF(C57&gt;=0,"متوافق استرشاديا","فجوة استرشادية")</f>
        <v>فجوة استرشادية</v>
      </c>
      <c r="D58" s="286" t="str">
        <f aca="false">IF(D57&gt;=0,"متوافق استرشاديا","فجوة استرشادية")</f>
        <v>متوافق استرشاديا</v>
      </c>
      <c r="E58" s="286" t="str">
        <f aca="false">IF(E57&gt;=0,"متوافق استرشاديا","فجوة استرشادية")</f>
        <v>متوافق استرشاديا</v>
      </c>
      <c r="F58" s="286" t="str">
        <f aca="false">IF(F57&gt;=0,"متوافق استرشاديا","فجوة استرشادية")</f>
        <v>متوافق استرشاديا</v>
      </c>
    </row>
    <row r="60" customFormat="false" ht="57" hidden="false" customHeight="true" outlineLevel="0" collapsed="false">
      <c r="A60" s="61" t="s">
        <v>945</v>
      </c>
      <c r="B60" s="61"/>
      <c r="C60" s="61"/>
      <c r="D60" s="61"/>
      <c r="E60" s="61"/>
      <c r="F60" s="61"/>
    </row>
    <row r="62" customFormat="false" ht="15" hidden="false" customHeight="true" outlineLevel="0" collapsed="false">
      <c r="A62" s="291" t="s">
        <v>946</v>
      </c>
      <c r="B62" s="291"/>
      <c r="C62" s="291"/>
      <c r="D62" s="291"/>
      <c r="E62" s="291"/>
      <c r="F62" s="291"/>
    </row>
    <row r="63" customFormat="false" ht="15" hidden="false" customHeight="true" outlineLevel="0" collapsed="false">
      <c r="A63" s="284" t="s">
        <v>947</v>
      </c>
      <c r="B63" s="284" t="s">
        <v>84</v>
      </c>
      <c r="C63" s="284" t="s">
        <v>85</v>
      </c>
      <c r="D63" s="284" t="s">
        <v>86</v>
      </c>
      <c r="E63" s="284" t="s">
        <v>87</v>
      </c>
      <c r="F63" s="284" t="s">
        <v>88</v>
      </c>
    </row>
    <row r="64" customFormat="false" ht="15" hidden="false" customHeight="true" outlineLevel="0" collapsed="false">
      <c r="A64" s="286" t="s">
        <v>948</v>
      </c>
      <c r="B64" s="287" t="n">
        <v>0</v>
      </c>
      <c r="C64" s="287" t="n">
        <v>0</v>
      </c>
      <c r="D64" s="287" t="n">
        <v>0</v>
      </c>
      <c r="E64" s="287" t="n">
        <v>0</v>
      </c>
      <c r="F64" s="287" t="n">
        <v>0</v>
      </c>
    </row>
    <row r="65" customFormat="false" ht="15" hidden="false" customHeight="true" outlineLevel="0" collapsed="false">
      <c r="A65" s="286" t="s">
        <v>949</v>
      </c>
      <c r="B65" s="287" t="n">
        <v>0</v>
      </c>
      <c r="C65" s="287" t="n">
        <v>0</v>
      </c>
      <c r="D65" s="287" t="n">
        <v>0</v>
      </c>
      <c r="E65" s="287" t="n">
        <v>0</v>
      </c>
      <c r="F65" s="287" t="n">
        <v>0</v>
      </c>
    </row>
    <row r="66" customFormat="false" ht="15" hidden="false" customHeight="true" outlineLevel="0" collapsed="false">
      <c r="A66" s="286" t="s">
        <v>950</v>
      </c>
      <c r="B66" s="287" t="n">
        <v>0</v>
      </c>
      <c r="C66" s="287" t="n">
        <v>0</v>
      </c>
      <c r="D66" s="287" t="n">
        <v>0</v>
      </c>
      <c r="E66" s="287" t="n">
        <v>0</v>
      </c>
      <c r="F66" s="287" t="n">
        <v>0</v>
      </c>
    </row>
    <row r="67" customFormat="false" ht="15" hidden="false" customHeight="true" outlineLevel="0" collapsed="false">
      <c r="A67" s="286" t="s">
        <v>951</v>
      </c>
      <c r="B67" s="287" t="n">
        <v>0</v>
      </c>
      <c r="C67" s="287" t="n">
        <v>0</v>
      </c>
      <c r="D67" s="287" t="n">
        <v>0</v>
      </c>
      <c r="E67" s="287" t="n">
        <v>0</v>
      </c>
      <c r="F67" s="287" t="n">
        <v>0</v>
      </c>
    </row>
    <row r="68" customFormat="false" ht="15" hidden="false" customHeight="true" outlineLevel="0" collapsed="false">
      <c r="A68" s="286" t="s">
        <v>952</v>
      </c>
      <c r="B68" s="287" t="n">
        <v>0</v>
      </c>
      <c r="C68" s="287" t="n">
        <v>0</v>
      </c>
      <c r="D68" s="287" t="n">
        <v>0</v>
      </c>
      <c r="E68" s="287" t="n">
        <v>0</v>
      </c>
      <c r="F68" s="287" t="n">
        <v>0</v>
      </c>
    </row>
    <row r="69" customFormat="false" ht="15" hidden="false" customHeight="true" outlineLevel="0" collapsed="false">
      <c r="A69" s="304" t="s">
        <v>953</v>
      </c>
      <c r="B69" s="304"/>
      <c r="C69" s="304"/>
      <c r="D69" s="304"/>
      <c r="E69" s="304"/>
      <c r="F69" s="304"/>
    </row>
    <row r="70" customFormat="false" ht="15" hidden="false" customHeight="true" outlineLevel="0" collapsed="false">
      <c r="A70" s="286" t="s">
        <v>954</v>
      </c>
      <c r="B70" s="287" t="n">
        <v>0</v>
      </c>
      <c r="C70" s="287" t="n">
        <v>0</v>
      </c>
      <c r="D70" s="287" t="n">
        <v>0</v>
      </c>
      <c r="E70" s="287" t="n">
        <v>0</v>
      </c>
      <c r="F70" s="287" t="n">
        <v>0</v>
      </c>
    </row>
    <row r="71" customFormat="false" ht="15" hidden="false" customHeight="true" outlineLevel="0" collapsed="false">
      <c r="A71" s="286" t="s">
        <v>955</v>
      </c>
      <c r="B71" s="287" t="n">
        <f aca="false">SUM(B64:B70)</f>
        <v>0</v>
      </c>
      <c r="C71" s="287" t="n">
        <f aca="false">SUM(C64:C70)</f>
        <v>0</v>
      </c>
      <c r="D71" s="287" t="n">
        <f aca="false">SUM(D64:D70)</f>
        <v>0</v>
      </c>
      <c r="E71" s="287" t="n">
        <f aca="false">SUM(E64:E70)</f>
        <v>0</v>
      </c>
      <c r="F71" s="287" t="n">
        <f aca="false">SUM(F64:F70)</f>
        <v>0</v>
      </c>
    </row>
    <row r="72" customFormat="false" ht="45.75" hidden="false" customHeight="true" outlineLevel="0" collapsed="false">
      <c r="A72" s="61" t="s">
        <v>956</v>
      </c>
      <c r="B72" s="61"/>
      <c r="C72" s="61"/>
      <c r="D72" s="61"/>
      <c r="E72" s="61"/>
      <c r="F72" s="61"/>
    </row>
    <row r="74" customFormat="false" ht="15" hidden="false" customHeight="true" outlineLevel="0" collapsed="false">
      <c r="A74" s="291" t="s">
        <v>957</v>
      </c>
      <c r="B74" s="291"/>
      <c r="C74" s="291"/>
      <c r="D74" s="291"/>
      <c r="E74" s="291"/>
      <c r="F74" s="291"/>
    </row>
    <row r="75" customFormat="false" ht="15" hidden="false" customHeight="true" outlineLevel="0" collapsed="false">
      <c r="A75" s="284" t="s">
        <v>83</v>
      </c>
      <c r="B75" s="284" t="s">
        <v>84</v>
      </c>
      <c r="C75" s="284" t="s">
        <v>85</v>
      </c>
      <c r="D75" s="284" t="s">
        <v>86</v>
      </c>
      <c r="E75" s="284" t="s">
        <v>87</v>
      </c>
      <c r="F75" s="284" t="s">
        <v>88</v>
      </c>
    </row>
    <row r="76" customFormat="false" ht="15" hidden="false" customHeight="true" outlineLevel="0" collapsed="false">
      <c r="A76" s="286" t="s">
        <v>958</v>
      </c>
      <c r="B76" s="287" t="n">
        <f aca="false">MAX(0,B12-B14*IF(B14=9,B10,B7))</f>
        <v>0</v>
      </c>
      <c r="C76" s="287" t="n">
        <f aca="false">MAX(0,C12-C14*IF(C14=9,C10,C7))</f>
        <v>65653018.7566001</v>
      </c>
      <c r="D76" s="287" t="n">
        <f aca="false">MAX(0,D12-D14*IF(D14=9,D10,D7))</f>
        <v>0</v>
      </c>
      <c r="E76" s="287" t="n">
        <f aca="false">MAX(0,E12-E14*IF(E14=9,E10,E7))</f>
        <v>0</v>
      </c>
      <c r="F76" s="287" t="n">
        <f aca="false">MAX(0,F12-F14*IF(F14=9,F10,F7))</f>
        <v>0</v>
      </c>
    </row>
    <row r="77" customFormat="false" ht="15" hidden="false" customHeight="true" outlineLevel="0" collapsed="false">
      <c r="A77" s="286" t="s">
        <v>959</v>
      </c>
      <c r="B77" s="287" t="n">
        <f aca="false">MAX(0,B12/B14-IF(B14=9,B10,B7))</f>
        <v>0</v>
      </c>
      <c r="C77" s="287" t="n">
        <f aca="false">MAX(0,C12/C14-IF(C14=9,C10,C7))</f>
        <v>16413254.68915</v>
      </c>
      <c r="D77" s="287" t="n">
        <f aca="false">MAX(0,D12/D14-IF(D14=9,D10,D7))</f>
        <v>0</v>
      </c>
      <c r="E77" s="287" t="n">
        <f aca="false">MAX(0,E12/E14-IF(E14=9,E10,E7))</f>
        <v>0</v>
      </c>
      <c r="F77" s="287" t="n">
        <f aca="false">MAX(0,F12/F14-IF(F14=9,F10,F7))</f>
        <v>0</v>
      </c>
    </row>
    <row r="78" customFormat="false" ht="45.75" hidden="false" customHeight="true" outlineLevel="0" collapsed="false">
      <c r="A78" s="61" t="s">
        <v>960</v>
      </c>
      <c r="B78" s="61"/>
      <c r="C78" s="61"/>
      <c r="D78" s="61"/>
      <c r="E78" s="61"/>
      <c r="F78" s="61"/>
    </row>
  </sheetData>
  <mergeCells count="11">
    <mergeCell ref="A1:F1"/>
    <mergeCell ref="A18:F18"/>
    <mergeCell ref="A35:F35"/>
    <mergeCell ref="A41:F41"/>
    <mergeCell ref="A43:F43"/>
    <mergeCell ref="A60:F60"/>
    <mergeCell ref="A62:F62"/>
    <mergeCell ref="A69:F69"/>
    <mergeCell ref="A72:F72"/>
    <mergeCell ref="A74:F74"/>
    <mergeCell ref="A78:F78"/>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42"/>
    <col collapsed="false" customWidth="true" hidden="false" outlineLevel="0" max="5" min="2" style="1" width="18"/>
    <col collapsed="false" customWidth="true" hidden="false" outlineLevel="0" max="6" min="6" style="1" width="27"/>
    <col collapsed="false" customWidth="true" hidden="false" outlineLevel="0" max="7" min="7" style="1" width="22"/>
    <col collapsed="false" customWidth="true" hidden="false" outlineLevel="0" max="11" min="9" style="1" width="19"/>
  </cols>
  <sheetData>
    <row r="1" customFormat="false" ht="15" hidden="false" customHeight="true" outlineLevel="0" collapsed="false">
      <c r="A1" s="310" t="s">
        <v>961</v>
      </c>
      <c r="B1" s="310"/>
      <c r="C1" s="310"/>
      <c r="D1" s="310"/>
      <c r="E1" s="310"/>
      <c r="F1" s="310"/>
    </row>
    <row r="2" customFormat="false" ht="15" hidden="false" customHeight="true" outlineLevel="0" collapsed="false">
      <c r="A2" s="113"/>
      <c r="B2" s="113"/>
      <c r="C2" s="113"/>
      <c r="D2" s="113"/>
      <c r="E2" s="113"/>
      <c r="F2" s="113"/>
    </row>
    <row r="3" customFormat="false" ht="15" hidden="false" customHeight="true" outlineLevel="0" collapsed="false">
      <c r="A3" s="315" t="s">
        <v>83</v>
      </c>
      <c r="B3" s="315" t="s">
        <v>84</v>
      </c>
      <c r="C3" s="315" t="s">
        <v>85</v>
      </c>
      <c r="D3" s="315" t="s">
        <v>86</v>
      </c>
      <c r="E3" s="315" t="s">
        <v>87</v>
      </c>
      <c r="F3" s="315" t="s">
        <v>88</v>
      </c>
    </row>
    <row r="4" customFormat="false" ht="15" hidden="false" customHeight="true" outlineLevel="0" collapsed="false">
      <c r="A4" s="316" t="s">
        <v>962</v>
      </c>
      <c r="B4" s="316"/>
      <c r="C4" s="316"/>
      <c r="D4" s="316"/>
      <c r="E4" s="316"/>
      <c r="F4" s="316"/>
    </row>
    <row r="5" customFormat="false" ht="15" hidden="false" customHeight="true" outlineLevel="0" collapsed="false">
      <c r="A5" s="317" t="s">
        <v>963</v>
      </c>
      <c r="B5" s="318" t="n">
        <f aca="false">Assumptions!B101</f>
        <v>0</v>
      </c>
      <c r="C5" s="318" t="n">
        <f aca="false">Assumptions!C101</f>
        <v>420000000</v>
      </c>
      <c r="D5" s="318" t="n">
        <f aca="false">Assumptions!D101</f>
        <v>850000000</v>
      </c>
      <c r="E5" s="318" t="n">
        <f aca="false">Assumptions!E101</f>
        <v>1600000000</v>
      </c>
      <c r="F5" s="318" t="n">
        <f aca="false">Assumptions!F101</f>
        <v>3000000000</v>
      </c>
    </row>
    <row r="6" customFormat="false" ht="15" hidden="false" customHeight="true" outlineLevel="0" collapsed="false">
      <c r="A6" s="304" t="s">
        <v>964</v>
      </c>
      <c r="B6" s="305" t="n">
        <f aca="false">'Balance Sheet'!B14</f>
        <v>0</v>
      </c>
      <c r="C6" s="305" t="n">
        <f aca="false">'Balance Sheet'!C14</f>
        <v>370000000</v>
      </c>
      <c r="D6" s="305" t="n">
        <f aca="false">'Balance Sheet'!D14</f>
        <v>685000000</v>
      </c>
      <c r="E6" s="305" t="n">
        <f aca="false">'Balance Sheet'!E14</f>
        <v>1335000000</v>
      </c>
      <c r="F6" s="305" t="n">
        <f aca="false">'Balance Sheet'!F14</f>
        <v>2600000000</v>
      </c>
    </row>
    <row r="7" customFormat="false" ht="15" hidden="false" customHeight="true" outlineLevel="0" collapsed="false">
      <c r="A7" s="304" t="s">
        <v>965</v>
      </c>
      <c r="B7" s="305" t="n">
        <f aca="false">B14+B12</f>
        <v>0</v>
      </c>
      <c r="C7" s="305" t="n">
        <f aca="false">C14+C12</f>
        <v>441677562.91</v>
      </c>
      <c r="D7" s="305" t="n">
        <f aca="false">D14+D12</f>
        <v>607500000</v>
      </c>
      <c r="E7" s="305" t="n">
        <f aca="false">E14+E12</f>
        <v>1265000000</v>
      </c>
      <c r="F7" s="305" t="n">
        <f aca="false">F14+F12</f>
        <v>2427500000</v>
      </c>
    </row>
    <row r="8" customFormat="false" ht="15" hidden="false" customHeight="true" outlineLevel="0" collapsed="false">
      <c r="A8" s="304" t="s">
        <v>966</v>
      </c>
      <c r="B8" s="319" t="n">
        <f aca="false">Assumptions!B9</f>
        <v>0.24</v>
      </c>
      <c r="C8" s="319" t="n">
        <f aca="false">Assumptions!C9</f>
        <v>0.22</v>
      </c>
      <c r="D8" s="319" t="n">
        <f aca="false">Assumptions!D9</f>
        <v>0.2</v>
      </c>
      <c r="E8" s="319" t="n">
        <f aca="false">Assumptions!E9</f>
        <v>0.18</v>
      </c>
      <c r="F8" s="319" t="n">
        <f aca="false">Assumptions!F9</f>
        <v>0.17</v>
      </c>
    </row>
    <row r="9" customFormat="false" ht="15" hidden="false" customHeight="true" outlineLevel="0" collapsed="false">
      <c r="A9" s="304" t="s">
        <v>967</v>
      </c>
      <c r="B9" s="320" t="n">
        <f aca="false">3</f>
        <v>3</v>
      </c>
      <c r="C9" s="320" t="n">
        <f aca="false">3</f>
        <v>3</v>
      </c>
      <c r="D9" s="320" t="n">
        <f aca="false">3</f>
        <v>3</v>
      </c>
      <c r="E9" s="320" t="n">
        <f aca="false">3</f>
        <v>3</v>
      </c>
      <c r="F9" s="320" t="n">
        <f aca="false">3</f>
        <v>3</v>
      </c>
    </row>
    <row r="10" customFormat="false" ht="15" hidden="false" customHeight="true" outlineLevel="0" collapsed="false">
      <c r="A10" s="304" t="s">
        <v>968</v>
      </c>
      <c r="B10" s="319" t="n">
        <f aca="false">1-Assumptions!B102</f>
        <v>0.2</v>
      </c>
      <c r="C10" s="319" t="n">
        <f aca="false">1-Assumptions!C102</f>
        <v>0.15</v>
      </c>
      <c r="D10" s="319" t="n">
        <f aca="false">1-Assumptions!D102</f>
        <v>0.1</v>
      </c>
      <c r="E10" s="319" t="n">
        <f aca="false">1-Assumptions!E102</f>
        <v>0.1</v>
      </c>
      <c r="F10" s="319" t="n">
        <f aca="false">1-Assumptions!F102</f>
        <v>0.1</v>
      </c>
    </row>
    <row r="11" customFormat="false" ht="15" hidden="false" customHeight="true" outlineLevel="0" collapsed="false">
      <c r="A11" s="304" t="s">
        <v>969</v>
      </c>
      <c r="B11" s="319" t="n">
        <f aca="false">Assumptions!B102</f>
        <v>0.8</v>
      </c>
      <c r="C11" s="319" t="n">
        <f aca="false">Assumptions!C102</f>
        <v>0.85</v>
      </c>
      <c r="D11" s="319" t="n">
        <f aca="false">Assumptions!D102</f>
        <v>0.9</v>
      </c>
      <c r="E11" s="319" t="n">
        <f aca="false">Assumptions!E102</f>
        <v>0.9</v>
      </c>
      <c r="F11" s="319" t="n">
        <f aca="false">Assumptions!F102</f>
        <v>0.9</v>
      </c>
    </row>
    <row r="12" customFormat="false" ht="15" hidden="false" customHeight="true" outlineLevel="0" collapsed="false">
      <c r="A12" s="317" t="s">
        <v>538</v>
      </c>
      <c r="B12" s="318" t="n">
        <f aca="false">IF(B6&lt;=0,0,Assumptions!B78*Assumptions!$B$32)</f>
        <v>0</v>
      </c>
      <c r="C12" s="318" t="n">
        <f aca="false">IF(C6&lt;=0,0,Assumptions!C78*Assumptions!$B$32)</f>
        <v>71677562.91</v>
      </c>
      <c r="D12" s="318" t="n">
        <f aca="false">IF(D6&lt;=0,0,Assumptions!D78*Assumptions!$B$32)</f>
        <v>292500000</v>
      </c>
      <c r="E12" s="318" t="n">
        <f aca="false">IF(E6&lt;=0,0,Assumptions!E78*Assumptions!$B$32)</f>
        <v>615000000</v>
      </c>
      <c r="F12" s="318" t="n">
        <f aca="false">IF(F6&lt;=0,0,Assumptions!F78*Assumptions!$B$32)</f>
        <v>1162500000</v>
      </c>
    </row>
    <row r="13" customFormat="false" ht="15" hidden="false" customHeight="true" outlineLevel="0" collapsed="false">
      <c r="A13" s="304" t="s">
        <v>970</v>
      </c>
      <c r="B13" s="305" t="n">
        <f aca="false">B12+'Income Statement'!B15</f>
        <v>0</v>
      </c>
      <c r="C13" s="305" t="n">
        <f aca="false">C12+'Income Statement'!C15</f>
        <v>108918062.91</v>
      </c>
      <c r="D13" s="305" t="n">
        <f aca="false">D12+'Income Statement'!D15</f>
        <v>395322500</v>
      </c>
      <c r="E13" s="305" t="n">
        <f aca="false">E12+'Income Statement'!E15</f>
        <v>791827500</v>
      </c>
      <c r="F13" s="305" t="n">
        <f aca="false">F12+'Income Statement'!F15</f>
        <v>1487835375</v>
      </c>
    </row>
    <row r="14" customFormat="false" ht="15" hidden="false" customHeight="true" outlineLevel="0" collapsed="false">
      <c r="A14" s="321" t="s">
        <v>971</v>
      </c>
      <c r="B14" s="322" t="n">
        <f aca="false">B6</f>
        <v>0</v>
      </c>
      <c r="C14" s="322" t="n">
        <f aca="false">C6-B6</f>
        <v>370000000</v>
      </c>
      <c r="D14" s="322" t="n">
        <f aca="false">D6-C6</f>
        <v>315000000</v>
      </c>
      <c r="E14" s="322" t="n">
        <f aca="false">E6-D6</f>
        <v>650000000</v>
      </c>
      <c r="F14" s="322" t="n">
        <f aca="false">F6-E6</f>
        <v>1265000000</v>
      </c>
    </row>
    <row r="15" customFormat="false" ht="15" hidden="false" customHeight="true" outlineLevel="0" collapsed="false">
      <c r="A15" s="323" t="s">
        <v>972</v>
      </c>
      <c r="B15" s="323"/>
      <c r="C15" s="323"/>
      <c r="D15" s="323"/>
      <c r="E15" s="323"/>
      <c r="F15" s="323"/>
    </row>
    <row r="16" customFormat="false" ht="15" hidden="false" customHeight="true" outlineLevel="0" collapsed="false">
      <c r="A16" s="304" t="s">
        <v>973</v>
      </c>
      <c r="B16" s="305" t="n">
        <f aca="false">'Balance Sheet'!B5</f>
        <v>3220917.99</v>
      </c>
      <c r="C16" s="305" t="n">
        <f aca="false">'Balance Sheet'!C5</f>
        <v>9502515.43684994</v>
      </c>
      <c r="D16" s="305" t="n">
        <f aca="false">'Balance Sheet'!D5</f>
        <v>13213488.5045099</v>
      </c>
      <c r="E16" s="305" t="n">
        <f aca="false">'Balance Sheet'!E5</f>
        <v>65805119.911818</v>
      </c>
      <c r="F16" s="305" t="n">
        <f aca="false">'Balance Sheet'!F5</f>
        <v>240780577.47023</v>
      </c>
    </row>
    <row r="17" customFormat="false" ht="15" hidden="false" customHeight="true" outlineLevel="0" collapsed="false">
      <c r="A17" s="304" t="s">
        <v>974</v>
      </c>
      <c r="B17" s="305" t="n">
        <f aca="false">('Income Statement'!B17+'Income Statement'!B18+'Income Statement'!B15)/12+B12/12+'Balance Sheet'!B14*(1-Assumptions!B102)*10%</f>
        <v>1299276</v>
      </c>
      <c r="C17" s="305" t="n">
        <f aca="false">('Income Statement'!C17+'Income Statement'!C18+'Income Statement'!C15)/12+C12/12+'Balance Sheet'!C14*(1-Assumptions!C102)*10%</f>
        <v>16545765.2425</v>
      </c>
      <c r="D17" s="305" t="n">
        <f aca="false">('Income Statement'!D17+'Income Statement'!D18+'Income Statement'!D15)/12+D12/12+'Balance Sheet'!D14*(1-Assumptions!D102)*10%</f>
        <v>42310150.75</v>
      </c>
      <c r="E17" s="305" t="n">
        <f aca="false">('Income Statement'!E17+'Income Statement'!E18+'Income Statement'!E15)/12+E12/12+'Balance Sheet'!E14*(1-Assumptions!E102)*10%</f>
        <v>82488183.6666667</v>
      </c>
      <c r="F17" s="305" t="n">
        <f aca="false">('Income Statement'!F17+'Income Statement'!F18+'Income Statement'!F15)/12+F12/12+'Balance Sheet'!F14*(1-Assumptions!F102)*10%</f>
        <v>153996020.95</v>
      </c>
    </row>
    <row r="18" customFormat="false" ht="15" hidden="false" customHeight="true" outlineLevel="0" collapsed="false">
      <c r="A18" s="304" t="s">
        <v>975</v>
      </c>
      <c r="B18" s="305" t="n">
        <f aca="false">Assumptions!B78/12</f>
        <v>589807.9925</v>
      </c>
      <c r="C18" s="305" t="n">
        <f aca="false">Assumptions!C78/12</f>
        <v>7964173.65666667</v>
      </c>
      <c r="D18" s="305" t="n">
        <f aca="false">Assumptions!D78/12</f>
        <v>32500000</v>
      </c>
      <c r="E18" s="305" t="n">
        <f aca="false">Assumptions!E78/12</f>
        <v>68333333.3333333</v>
      </c>
      <c r="F18" s="305" t="n">
        <f aca="false">Assumptions!F78/12</f>
        <v>129166666.666667</v>
      </c>
    </row>
    <row r="19" customFormat="false" ht="24" hidden="false" customHeight="true" outlineLevel="0" collapsed="false">
      <c r="A19" s="304" t="s">
        <v>976</v>
      </c>
      <c r="B19" s="305" t="n">
        <f aca="false">B17*90%</f>
        <v>1169348.4</v>
      </c>
      <c r="C19" s="305" t="n">
        <f aca="false">C17*90%</f>
        <v>14891188.71825</v>
      </c>
      <c r="D19" s="305" t="n">
        <f aca="false">D17*90%</f>
        <v>38079135.675</v>
      </c>
      <c r="E19" s="305" t="n">
        <f aca="false">E17*90%</f>
        <v>74239365.3</v>
      </c>
      <c r="F19" s="305" t="n">
        <f aca="false">F17*90%</f>
        <v>138596418.855</v>
      </c>
    </row>
    <row r="20" customFormat="false" ht="15" hidden="false" customHeight="true" outlineLevel="0" collapsed="false">
      <c r="A20" s="304" t="s">
        <v>977</v>
      </c>
      <c r="B20" s="305" t="n">
        <f aca="false">MAX(1,B17-MIN(B18,B19))</f>
        <v>709468.0075</v>
      </c>
      <c r="C20" s="305" t="n">
        <f aca="false">MAX(1,C17-MIN(C18,C19))</f>
        <v>8581591.58583333</v>
      </c>
      <c r="D20" s="305" t="n">
        <f aca="false">MAX(1,D17-MIN(D18,D19))</f>
        <v>9810150.75</v>
      </c>
      <c r="E20" s="305" t="n">
        <f aca="false">MAX(1,E17-MIN(E18,E19))</f>
        <v>14154850.3333333</v>
      </c>
      <c r="F20" s="305" t="n">
        <f aca="false">MAX(1,F17-MIN(F18,F19))</f>
        <v>24829354.2833333</v>
      </c>
    </row>
    <row r="21" customFormat="false" ht="15" hidden="false" customHeight="true" outlineLevel="0" collapsed="false">
      <c r="A21" s="304" t="s">
        <v>978</v>
      </c>
      <c r="B21" s="319" t="n">
        <f aca="false">B16/B20</f>
        <v>4.53990589561574</v>
      </c>
      <c r="C21" s="319" t="n">
        <f aca="false">C16/C20</f>
        <v>1.10731387549798</v>
      </c>
      <c r="D21" s="319" t="n">
        <f aca="false">D16/D20</f>
        <v>1.34692002612802</v>
      </c>
      <c r="E21" s="319" t="n">
        <f aca="false">E16/E20</f>
        <v>4.64894494552536</v>
      </c>
      <c r="F21" s="319" t="n">
        <f aca="false">F16/F20</f>
        <v>9.69741599892725</v>
      </c>
    </row>
    <row r="22" customFormat="false" ht="36" hidden="false" customHeight="true" outlineLevel="0" collapsed="false">
      <c r="A22" s="304" t="s">
        <v>979</v>
      </c>
      <c r="B22" s="304" t="str">
        <f aca="false">IF(B21&lt;100%,"فجوة تخطيطية","استرشادي - بيانات آجال تعاقدية مطلوبة")</f>
        <v>استرشادي - بيانات آجال تعاقدية مطلوبة</v>
      </c>
      <c r="C22" s="304" t="str">
        <f aca="false">IF(C21&lt;100%,"فجوة تخطيطية","استرشادي - بيانات آجال تعاقدية مطلوبة")</f>
        <v>استرشادي - بيانات آجال تعاقدية مطلوبة</v>
      </c>
      <c r="D22" s="304" t="str">
        <f aca="false">IF(D21&lt;100%,"فجوة تخطيطية","استرشادي - بيانات آجال تعاقدية مطلوبة")</f>
        <v>استرشادي - بيانات آجال تعاقدية مطلوبة</v>
      </c>
      <c r="E22" s="304" t="str">
        <f aca="false">IF(E21&lt;100%,"فجوة تخطيطية","استرشادي - بيانات آجال تعاقدية مطلوبة")</f>
        <v>استرشادي - بيانات آجال تعاقدية مطلوبة</v>
      </c>
      <c r="F22" s="304" t="str">
        <f aca="false">IF(F21&lt;100%,"فجوة تخطيطية","استرشادي - بيانات آجال تعاقدية مطلوبة")</f>
        <v>استرشادي - بيانات آجال تعاقدية مطلوبة</v>
      </c>
    </row>
    <row r="23" customFormat="false" ht="15" hidden="false" customHeight="true" outlineLevel="0" collapsed="false">
      <c r="A23" s="321"/>
      <c r="B23" s="321"/>
      <c r="C23" s="321"/>
      <c r="D23" s="321"/>
      <c r="E23" s="321"/>
      <c r="F23" s="321"/>
    </row>
    <row r="24" customFormat="false" ht="15" hidden="false" customHeight="true" outlineLevel="0" collapsed="false">
      <c r="A24" s="323" t="s">
        <v>980</v>
      </c>
      <c r="B24" s="323"/>
      <c r="C24" s="323"/>
      <c r="D24" s="323"/>
      <c r="E24" s="323"/>
      <c r="F24" s="323"/>
    </row>
    <row r="25" customFormat="false" ht="15" hidden="false" customHeight="true" outlineLevel="0" collapsed="false">
      <c r="A25" s="304" t="s">
        <v>981</v>
      </c>
      <c r="B25" s="305" t="n">
        <f aca="false">'Regulatory Capital Plan'!B7</f>
        <v>21833129.2373</v>
      </c>
      <c r="C25" s="305" t="n">
        <f aca="false">'Regulatory Capital Plan'!C7</f>
        <v>76086745.31085</v>
      </c>
      <c r="D25" s="305" t="n">
        <f aca="false">'Regulatory Capital Plan'!D7</f>
        <v>152838056.94091</v>
      </c>
      <c r="E25" s="305" t="n">
        <f aca="false">'Regulatory Capital Plan'!E7</f>
        <v>312778891.485658</v>
      </c>
      <c r="F25" s="305" t="n">
        <f aca="false">'Regulatory Capital Plan'!F7</f>
        <v>602538870.926534</v>
      </c>
    </row>
    <row r="26" customFormat="false" ht="15" hidden="false" customHeight="true" outlineLevel="0" collapsed="false">
      <c r="A26" s="304" t="s">
        <v>982</v>
      </c>
      <c r="B26" s="305" t="n">
        <f aca="false">'Balance Sheet'!B14*Assumptions!B102</f>
        <v>0</v>
      </c>
      <c r="C26" s="305" t="n">
        <f aca="false">'Balance Sheet'!C14*Assumptions!C102</f>
        <v>314500000</v>
      </c>
      <c r="D26" s="305" t="n">
        <f aca="false">'Balance Sheet'!D14*Assumptions!D102</f>
        <v>616500000</v>
      </c>
      <c r="E26" s="305" t="n">
        <f aca="false">'Balance Sheet'!E14*Assumptions!E102</f>
        <v>1201500000</v>
      </c>
      <c r="F26" s="305" t="n">
        <f aca="false">'Balance Sheet'!F14*Assumptions!F102</f>
        <v>2340000000</v>
      </c>
    </row>
    <row r="27" customFormat="false" ht="15" hidden="false" customHeight="true" outlineLevel="0" collapsed="false">
      <c r="A27" s="304" t="s">
        <v>983</v>
      </c>
      <c r="B27" s="305" t="n">
        <f aca="false">'Balance Sheet'!B14*10%*75%</f>
        <v>0</v>
      </c>
      <c r="C27" s="305" t="n">
        <f aca="false">'Balance Sheet'!C14*10%*75%</f>
        <v>27750000</v>
      </c>
      <c r="D27" s="305" t="n">
        <f aca="false">'Balance Sheet'!D14*10%*75%</f>
        <v>51375000</v>
      </c>
      <c r="E27" s="305" t="n">
        <f aca="false">'Balance Sheet'!E14*10%*75%</f>
        <v>100125000</v>
      </c>
      <c r="F27" s="305" t="n">
        <f aca="false">'Balance Sheet'!F14*10%*75%</f>
        <v>195000000</v>
      </c>
    </row>
    <row r="28" customFormat="false" ht="15" hidden="false" customHeight="true" outlineLevel="0" collapsed="false">
      <c r="A28" s="304" t="s">
        <v>984</v>
      </c>
      <c r="B28" s="305" t="n">
        <f aca="false">'Balance Sheet'!B14*MAX(0,1-Assumptions!B102-10%)*50%</f>
        <v>0</v>
      </c>
      <c r="C28" s="305" t="n">
        <f aca="false">'Balance Sheet'!C14*MAX(0,1-Assumptions!C102-10%)*50%</f>
        <v>9250000</v>
      </c>
      <c r="D28" s="305" t="n">
        <f aca="false">'Balance Sheet'!D14*MAX(0,1-Assumptions!D102-10%)*50%</f>
        <v>0</v>
      </c>
      <c r="E28" s="305" t="n">
        <f aca="false">'Balance Sheet'!E14*MAX(0,1-Assumptions!E102-10%)*50%</f>
        <v>0</v>
      </c>
      <c r="F28" s="305" t="n">
        <f aca="false">'Balance Sheet'!F14*MAX(0,1-Assumptions!F102-10%)*50%</f>
        <v>0</v>
      </c>
    </row>
    <row r="29" customFormat="false" ht="15" hidden="false" customHeight="true" outlineLevel="0" collapsed="false">
      <c r="A29" s="304" t="s">
        <v>985</v>
      </c>
      <c r="B29" s="305" t="n">
        <f aca="false">SUM(B25:B28)+'Balance Sheet'!B15*50%</f>
        <v>24833129.2373</v>
      </c>
      <c r="C29" s="305" t="n">
        <f aca="false">SUM(C25:C28)+'Balance Sheet'!C15*50%</f>
        <v>431336745.31085</v>
      </c>
      <c r="D29" s="305" t="n">
        <f aca="false">SUM(D25:D28)+'Balance Sheet'!D15*50%</f>
        <v>831213056.94091</v>
      </c>
      <c r="E29" s="305" t="n">
        <f aca="false">SUM(E25:E28)+'Balance Sheet'!E15*50%</f>
        <v>1634653891.48566</v>
      </c>
      <c r="F29" s="305" t="n">
        <f aca="false">SUM(F25:F28)+'Balance Sheet'!F15*50%</f>
        <v>3175038870.92653</v>
      </c>
    </row>
    <row r="30" customFormat="false" ht="15" hidden="false" customHeight="true" outlineLevel="0" collapsed="false">
      <c r="A30" s="304" t="s">
        <v>986</v>
      </c>
      <c r="B30" s="305" t="n">
        <f aca="false">'Balance Sheet'!B8*70%</f>
        <v>14036494.47711</v>
      </c>
      <c r="C30" s="305" t="n">
        <f aca="false">'Balance Sheet'!C8*70%</f>
        <v>307316907.5158</v>
      </c>
      <c r="D30" s="305" t="n">
        <f aca="false">'Balance Sheet'!D8*70%</f>
        <v>588395144.50948</v>
      </c>
      <c r="E30" s="305" t="n">
        <f aca="false">'Balance Sheet'!E8*70%</f>
        <v>1132189586.70569</v>
      </c>
      <c r="F30" s="305" t="n">
        <f aca="false">'Balance Sheet'!F8*70%</f>
        <v>2122188752.02341</v>
      </c>
    </row>
    <row r="31" customFormat="false" ht="15" hidden="false" customHeight="true" outlineLevel="0" collapsed="false">
      <c r="A31" s="304" t="s">
        <v>987</v>
      </c>
      <c r="B31" s="305" t="n">
        <f aca="false">'Balance Sheet'!B8*20%*75%</f>
        <v>3007820.245095</v>
      </c>
      <c r="C31" s="305" t="n">
        <f aca="false">'Balance Sheet'!C8*20%*75%</f>
        <v>65853623.0391</v>
      </c>
      <c r="D31" s="305" t="n">
        <f aca="false">'Balance Sheet'!D8*20%*75%</f>
        <v>126084673.82346</v>
      </c>
      <c r="E31" s="305" t="n">
        <f aca="false">'Balance Sheet'!E8*20%*75%</f>
        <v>242612054.294076</v>
      </c>
      <c r="F31" s="305" t="n">
        <f aca="false">'Balance Sheet'!F8*20%*75%</f>
        <v>454754732.576446</v>
      </c>
    </row>
    <row r="32" customFormat="false" ht="15" hidden="false" customHeight="true" outlineLevel="0" collapsed="false">
      <c r="A32" s="304" t="s">
        <v>988</v>
      </c>
      <c r="B32" s="305" t="n">
        <f aca="false">'Balance Sheet'!B8*10%*50%</f>
        <v>1002606.748365</v>
      </c>
      <c r="C32" s="305" t="n">
        <f aca="false">'Balance Sheet'!C8*10%*50%</f>
        <v>21951207.6797</v>
      </c>
      <c r="D32" s="305" t="n">
        <f aca="false">'Balance Sheet'!D8*10%*50%</f>
        <v>42028224.60782</v>
      </c>
      <c r="E32" s="305" t="n">
        <f aca="false">'Balance Sheet'!E8*10%*50%</f>
        <v>80870684.764692</v>
      </c>
      <c r="F32" s="305" t="n">
        <f aca="false">'Balance Sheet'!F8*10%*50%</f>
        <v>151584910.858815</v>
      </c>
    </row>
    <row r="33" customFormat="false" ht="15" hidden="false" customHeight="true" outlineLevel="0" collapsed="false">
      <c r="A33" s="304" t="s">
        <v>989</v>
      </c>
      <c r="B33" s="305" t="n">
        <f aca="false">'Balance Sheet'!B9+'Balance Sheet'!B10</f>
        <v>4560076.28</v>
      </c>
      <c r="C33" s="305" t="n">
        <f aca="false">'Balance Sheet'!C9+'Balance Sheet'!C10</f>
        <v>5060076.28</v>
      </c>
      <c r="D33" s="305" t="n">
        <f aca="false">'Balance Sheet'!D9+'Balance Sheet'!D10</f>
        <v>5060076.28</v>
      </c>
      <c r="E33" s="305" t="n">
        <f aca="false">'Balance Sheet'!E9+'Balance Sheet'!E10</f>
        <v>5060076.28</v>
      </c>
      <c r="F33" s="305" t="n">
        <f aca="false">'Balance Sheet'!F9+'Balance Sheet'!F10</f>
        <v>5060076.28</v>
      </c>
    </row>
    <row r="34" customFormat="false" ht="15" hidden="false" customHeight="true" outlineLevel="0" collapsed="false">
      <c r="A34" s="304" t="s">
        <v>990</v>
      </c>
      <c r="B34" s="305" t="n">
        <f aca="false">SUM(B30:B33)</f>
        <v>22606997.75057</v>
      </c>
      <c r="C34" s="305" t="n">
        <f aca="false">SUM(C30:C33)</f>
        <v>400181814.5146</v>
      </c>
      <c r="D34" s="305" t="n">
        <f aca="false">SUM(D30:D33)</f>
        <v>761568119.22076</v>
      </c>
      <c r="E34" s="305" t="n">
        <f aca="false">SUM(E30:E33)</f>
        <v>1460732402.04446</v>
      </c>
      <c r="F34" s="305" t="n">
        <f aca="false">SUM(F30:F33)</f>
        <v>2733588471.73867</v>
      </c>
    </row>
    <row r="35" customFormat="false" ht="15" hidden="false" customHeight="true" outlineLevel="0" collapsed="false">
      <c r="A35" s="304" t="s">
        <v>991</v>
      </c>
      <c r="B35" s="319" t="n">
        <f aca="false">IFERROR(B29/B34,0)</f>
        <v>1.09847090318191</v>
      </c>
      <c r="C35" s="319" t="n">
        <f aca="false">IFERROR(C29/C34,0)</f>
        <v>1.07785194045871</v>
      </c>
      <c r="D35" s="319" t="n">
        <f aca="false">IFERROR(D29/D34,0)</f>
        <v>1.09144938707704</v>
      </c>
      <c r="E35" s="319" t="n">
        <f aca="false">IFERROR(E29/E34,0)</f>
        <v>1.11906457965729</v>
      </c>
      <c r="F35" s="319" t="n">
        <f aca="false">IFERROR(F29/F34,0)</f>
        <v>1.16149116948356</v>
      </c>
    </row>
    <row r="36" customFormat="false" ht="36" hidden="false" customHeight="true" outlineLevel="0" collapsed="false">
      <c r="A36" s="304" t="s">
        <v>992</v>
      </c>
      <c r="B36" s="304" t="str">
        <f aca="false">IF(B35&lt;100%,"فجوة تخطيطية","استرشادي - جداول ASF/RSF الفعلية مطلوبة")</f>
        <v>استرشادي - جداول ASF/RSF الفعلية مطلوبة</v>
      </c>
      <c r="C36" s="304" t="str">
        <f aca="false">IF(C35&lt;100%,"فجوة تخطيطية","استرشادي - جداول ASF/RSF الفعلية مطلوبة")</f>
        <v>استرشادي - جداول ASF/RSF الفعلية مطلوبة</v>
      </c>
      <c r="D36" s="304" t="str">
        <f aca="false">IF(D35&lt;100%,"فجوة تخطيطية","استرشادي - جداول ASF/RSF الفعلية مطلوبة")</f>
        <v>استرشادي - جداول ASF/RSF الفعلية مطلوبة</v>
      </c>
      <c r="E36" s="304" t="str">
        <f aca="false">IF(E35&lt;100%,"فجوة تخطيطية","استرشادي - جداول ASF/RSF الفعلية مطلوبة")</f>
        <v>استرشادي - جداول ASF/RSF الفعلية مطلوبة</v>
      </c>
      <c r="F36" s="304" t="str">
        <f aca="false">IF(F35&lt;100%,"فجوة تخطيطية","استرشادي - جداول ASF/RSF الفعلية مطلوبة")</f>
        <v>استرشادي - جداول ASF/RSF الفعلية مطلوبة</v>
      </c>
    </row>
    <row r="37" customFormat="false" ht="33.75" hidden="false" customHeight="true" outlineLevel="0" collapsed="false">
      <c r="A37" s="321" t="s">
        <v>993</v>
      </c>
      <c r="B37" s="321"/>
      <c r="C37" s="321"/>
      <c r="D37" s="321"/>
      <c r="E37" s="321"/>
      <c r="F37" s="321"/>
      <c r="G37" s="113"/>
    </row>
    <row r="38" customFormat="false" ht="15" hidden="false" customHeight="true" outlineLevel="0" collapsed="false">
      <c r="A38" s="291" t="s">
        <v>994</v>
      </c>
      <c r="B38" s="291"/>
      <c r="C38" s="291"/>
      <c r="D38" s="291"/>
      <c r="E38" s="291"/>
      <c r="F38" s="291"/>
    </row>
    <row r="39" customFormat="false" ht="23.25" hidden="false" customHeight="true" outlineLevel="0" collapsed="false">
      <c r="A39" s="302" t="s">
        <v>660</v>
      </c>
      <c r="B39" s="302" t="s">
        <v>995</v>
      </c>
      <c r="C39" s="302" t="s">
        <v>574</v>
      </c>
      <c r="D39" s="302" t="s">
        <v>580</v>
      </c>
      <c r="E39" s="302" t="s">
        <v>996</v>
      </c>
      <c r="F39" s="302" t="s">
        <v>997</v>
      </c>
    </row>
    <row r="40" customFormat="false" ht="15" hidden="false" customHeight="true" outlineLevel="0" collapsed="false">
      <c r="A40" s="286" t="s">
        <v>998</v>
      </c>
      <c r="B40" s="292" t="n">
        <v>0.35</v>
      </c>
      <c r="C40" s="286" t="n">
        <v>3</v>
      </c>
      <c r="D40" s="286" t="n">
        <v>4</v>
      </c>
      <c r="E40" s="286" t="n">
        <v>5</v>
      </c>
      <c r="F40" s="286" t="s">
        <v>999</v>
      </c>
    </row>
    <row r="41" customFormat="false" ht="15" hidden="false" customHeight="true" outlineLevel="0" collapsed="false">
      <c r="A41" s="286" t="s">
        <v>1000</v>
      </c>
      <c r="B41" s="292" t="n">
        <v>0.3</v>
      </c>
      <c r="C41" s="286" t="n">
        <v>2</v>
      </c>
      <c r="D41" s="286" t="n">
        <v>5</v>
      </c>
      <c r="E41" s="286" t="n">
        <v>5</v>
      </c>
      <c r="F41" s="286" t="s">
        <v>1001</v>
      </c>
    </row>
    <row r="42" customFormat="false" ht="15" hidden="false" customHeight="true" outlineLevel="0" collapsed="false">
      <c r="A42" s="286" t="s">
        <v>1002</v>
      </c>
      <c r="B42" s="292" t="n">
        <v>0.2</v>
      </c>
      <c r="C42" s="286" t="n">
        <v>5</v>
      </c>
      <c r="D42" s="286" t="n">
        <v>3</v>
      </c>
      <c r="E42" s="286" t="n">
        <v>2</v>
      </c>
      <c r="F42" s="286" t="s">
        <v>1003</v>
      </c>
    </row>
    <row r="43" customFormat="false" ht="15" hidden="false" customHeight="true" outlineLevel="0" collapsed="false">
      <c r="A43" s="286" t="s">
        <v>1004</v>
      </c>
      <c r="B43" s="292" t="n">
        <v>0.15</v>
      </c>
      <c r="C43" s="286" t="n">
        <v>4</v>
      </c>
      <c r="D43" s="286" t="n">
        <v>3</v>
      </c>
      <c r="E43" s="286" t="n">
        <v>3</v>
      </c>
      <c r="F43" s="286" t="s">
        <v>1005</v>
      </c>
    </row>
    <row r="44" customFormat="false" ht="15" hidden="false" customHeight="true" outlineLevel="0" collapsed="false"/>
    <row r="45" customFormat="false" ht="42" hidden="false" customHeight="true" outlineLevel="0" collapsed="false">
      <c r="A45" s="61" t="s">
        <v>1006</v>
      </c>
      <c r="B45" s="61"/>
      <c r="C45" s="61"/>
      <c r="D45" s="61"/>
      <c r="E45" s="61"/>
      <c r="F45" s="61"/>
      <c r="G45" s="113"/>
    </row>
    <row r="46" customFormat="false" ht="15" hidden="false" customHeight="true" outlineLevel="0" collapsed="false"/>
    <row r="47" customFormat="false" ht="15" hidden="false" customHeight="true" outlineLevel="0" collapsed="false">
      <c r="A47" s="285" t="s">
        <v>1007</v>
      </c>
      <c r="B47" s="285"/>
      <c r="C47" s="285"/>
      <c r="D47" s="285"/>
      <c r="E47" s="285"/>
      <c r="F47" s="285"/>
      <c r="G47" s="285"/>
      <c r="H47" s="285"/>
      <c r="I47" s="285"/>
      <c r="J47" s="285"/>
      <c r="K47" s="285"/>
    </row>
    <row r="48" customFormat="false" ht="23.25" hidden="false" customHeight="true" outlineLevel="0" collapsed="false">
      <c r="A48" s="302" t="s">
        <v>1008</v>
      </c>
      <c r="B48" s="302" t="s">
        <v>1009</v>
      </c>
      <c r="C48" s="302" t="s">
        <v>219</v>
      </c>
      <c r="D48" s="302" t="s">
        <v>1010</v>
      </c>
      <c r="E48" s="302" t="s">
        <v>1011</v>
      </c>
      <c r="F48" s="302" t="s">
        <v>1012</v>
      </c>
      <c r="G48" s="302" t="s">
        <v>1013</v>
      </c>
      <c r="H48" s="302" t="s">
        <v>1014</v>
      </c>
      <c r="I48" s="302" t="s">
        <v>1015</v>
      </c>
      <c r="J48" s="302" t="s">
        <v>1016</v>
      </c>
      <c r="K48" s="302" t="s">
        <v>1017</v>
      </c>
    </row>
    <row r="49" customFormat="false" ht="15" hidden="false" customHeight="true" outlineLevel="0" collapsed="false">
      <c r="A49" s="324" t="n">
        <f aca="false">'Monthly Model'!N3</f>
        <v>46753</v>
      </c>
      <c r="B49" s="287" t="n">
        <f aca="false">Assumptions!$B$21+SUM('Monthly Model'!$B$22:N22)</f>
        <v>45000000</v>
      </c>
      <c r="C49" s="287" t="n">
        <f aca="false">SUM('Monthly Model'!$B$30:N30)</f>
        <v>-7549963.02446333</v>
      </c>
      <c r="D49" s="287" t="n">
        <f aca="false">Assumptions!$B$93+(Assumptions!$C$93-Assumptions!$B$93)*1/12</f>
        <v>38556.7336397916</v>
      </c>
      <c r="E49" s="287" t="n">
        <f aca="false">'Regulatory Capital Plan'!$B$9+('Regulatory Capital Plan'!$C$9-'Regulatory Capital Plan'!$B$9)*1/12</f>
        <v>2606200</v>
      </c>
      <c r="F49" s="287" t="n">
        <f aca="false">B49+C49</f>
        <v>37450036.9755367</v>
      </c>
      <c r="G49" s="287" t="n">
        <f aca="false">'Monthly Model'!N33</f>
        <v>24666666.6666667</v>
      </c>
      <c r="H49" s="287" t="n">
        <f aca="false">IFERROR(G49/F49,0)</f>
        <v>0.658655335448122</v>
      </c>
      <c r="I49" s="287" t="n">
        <f aca="false">'Monthly Model'!N34</f>
        <v>4</v>
      </c>
      <c r="J49" s="287" t="n">
        <f aca="false">I49-H49</f>
        <v>3.34134466455188</v>
      </c>
      <c r="K49" s="287" t="str">
        <f aca="false">IF(H49&lt;=I49,"متوافق","فجوة")</f>
        <v>متوافق</v>
      </c>
    </row>
    <row r="50" customFormat="false" ht="15" hidden="false" customHeight="true" outlineLevel="0" collapsed="false">
      <c r="A50" s="325" t="n">
        <f aca="false">'Monthly Model'!O3</f>
        <v>46784</v>
      </c>
      <c r="B50" s="287" t="n">
        <f aca="false">Assumptions!$B$21+SUM('Monthly Model'!$B$22:O22)</f>
        <v>45000000</v>
      </c>
      <c r="C50" s="287" t="n">
        <f aca="false">SUM('Monthly Model'!$B$30:O30)</f>
        <v>-6933055.28622667</v>
      </c>
      <c r="D50" s="287" t="n">
        <f aca="false">Assumptions!$B$93+(Assumptions!$C$93-Assumptions!$B$93)*2/12</f>
        <v>77113.4672795832</v>
      </c>
      <c r="E50" s="287" t="n">
        <f aca="false">'Regulatory Capital Plan'!$B$9+('Regulatory Capital Plan'!$C$9-'Regulatory Capital Plan'!$B$9)*2/12</f>
        <v>2631200</v>
      </c>
      <c r="F50" s="287" t="n">
        <f aca="false">B50+C50</f>
        <v>38066944.7137733</v>
      </c>
      <c r="G50" s="287" t="n">
        <f aca="false">'Monthly Model'!O33</f>
        <v>49333333.3333334</v>
      </c>
      <c r="H50" s="287" t="n">
        <f aca="false">IFERROR(G50/F50,0)</f>
        <v>1.29596251299579</v>
      </c>
      <c r="I50" s="287" t="n">
        <f aca="false">'Monthly Model'!O34</f>
        <v>4</v>
      </c>
      <c r="J50" s="287" t="n">
        <f aca="false">I50-H50</f>
        <v>2.70403748700421</v>
      </c>
      <c r="K50" s="287" t="str">
        <f aca="false">IF(H50&lt;=I50,"متوافق","فجوة")</f>
        <v>متوافق</v>
      </c>
    </row>
    <row r="51" customFormat="false" ht="15" hidden="false" customHeight="true" outlineLevel="0" collapsed="false">
      <c r="A51" s="326" t="n">
        <f aca="false">'Monthly Model'!P3</f>
        <v>46813</v>
      </c>
      <c r="B51" s="287" t="n">
        <f aca="false">Assumptions!$B$21+SUM('Monthly Model'!$B$22:P22)</f>
        <v>45000000</v>
      </c>
      <c r="C51" s="287" t="n">
        <f aca="false">SUM('Monthly Model'!$B$30:P30)</f>
        <v>-6316147.54799</v>
      </c>
      <c r="D51" s="287" t="n">
        <f aca="false">Assumptions!$B$93+(Assumptions!$C$93-Assumptions!$B$93)*3/12</f>
        <v>115670.200919375</v>
      </c>
      <c r="E51" s="287" t="n">
        <f aca="false">'Regulatory Capital Plan'!$B$9+('Regulatory Capital Plan'!$C$9-'Regulatory Capital Plan'!$B$9)*3/12</f>
        <v>2656200</v>
      </c>
      <c r="F51" s="287" t="n">
        <f aca="false">B51+C51</f>
        <v>38683852.45201</v>
      </c>
      <c r="G51" s="287" t="n">
        <f aca="false">'Monthly Model'!P33</f>
        <v>74000000</v>
      </c>
      <c r="H51" s="287" t="n">
        <f aca="false">IFERROR(G51/F51,0)</f>
        <v>1.91294287692267</v>
      </c>
      <c r="I51" s="287" t="n">
        <f aca="false">'Monthly Model'!P34</f>
        <v>4</v>
      </c>
      <c r="J51" s="287" t="n">
        <f aca="false">I51-H51</f>
        <v>2.08705712307733</v>
      </c>
      <c r="K51" s="287" t="str">
        <f aca="false">IF(H51&lt;=I51,"متوافق","فجوة")</f>
        <v>متوافق</v>
      </c>
    </row>
    <row r="52" customFormat="false" ht="15" hidden="false" customHeight="true" outlineLevel="0" collapsed="false">
      <c r="A52" s="327" t="n">
        <f aca="false">'Monthly Model'!Q3</f>
        <v>46844</v>
      </c>
      <c r="B52" s="287" t="n">
        <f aca="false">Assumptions!$B$21+SUM('Monthly Model'!$B$22:Q22)</f>
        <v>45000000</v>
      </c>
      <c r="C52" s="287" t="n">
        <f aca="false">SUM('Monthly Model'!$B$30:Q30)</f>
        <v>-5606703.64901784</v>
      </c>
      <c r="D52" s="287" t="n">
        <f aca="false">Assumptions!$B$93+(Assumptions!$C$93-Assumptions!$B$93)*4/12</f>
        <v>154226.934559166</v>
      </c>
      <c r="E52" s="287" t="n">
        <f aca="false">'Regulatory Capital Plan'!$B$9+('Regulatory Capital Plan'!$C$9-'Regulatory Capital Plan'!$B$9)*4/12</f>
        <v>2681200</v>
      </c>
      <c r="F52" s="287" t="n">
        <f aca="false">B52+C52</f>
        <v>39393296.3509822</v>
      </c>
      <c r="G52" s="287" t="n">
        <f aca="false">'Monthly Model'!Q33</f>
        <v>102366666.666667</v>
      </c>
      <c r="H52" s="287" t="n">
        <f aca="false">IFERROR(G52/F52,0)</f>
        <v>2.59858087920877</v>
      </c>
      <c r="I52" s="287" t="n">
        <f aca="false">'Monthly Model'!Q34</f>
        <v>4</v>
      </c>
      <c r="J52" s="287" t="n">
        <f aca="false">I52-H52</f>
        <v>1.40141912079123</v>
      </c>
      <c r="K52" s="287" t="str">
        <f aca="false">IF(H52&lt;=I52,"متوافق","فجوة")</f>
        <v>متوافق</v>
      </c>
    </row>
    <row r="53" customFormat="false" ht="15" hidden="false" customHeight="true" outlineLevel="0" collapsed="false">
      <c r="A53" s="328" t="n">
        <f aca="false">'Monthly Model'!R3</f>
        <v>46874</v>
      </c>
      <c r="B53" s="287" t="n">
        <f aca="false">Assumptions!$B$21+SUM('Monthly Model'!$B$22:R22)</f>
        <v>60000000</v>
      </c>
      <c r="C53" s="287" t="n">
        <f aca="false">SUM('Monthly Model'!$B$30:R30)</f>
        <v>-4897259.75004567</v>
      </c>
      <c r="D53" s="287" t="n">
        <f aca="false">Assumptions!$B$93+(Assumptions!$C$93-Assumptions!$B$93)*5/12</f>
        <v>192783.668198958</v>
      </c>
      <c r="E53" s="287" t="n">
        <f aca="false">'Regulatory Capital Plan'!$B$9+('Regulatory Capital Plan'!$C$9-'Regulatory Capital Plan'!$B$9)*5/12</f>
        <v>2706200</v>
      </c>
      <c r="F53" s="287" t="n">
        <f aca="false">B53+C53</f>
        <v>55102740.2499543</v>
      </c>
      <c r="G53" s="287" t="n">
        <f aca="false">'Monthly Model'!R33</f>
        <v>130733333.333333</v>
      </c>
      <c r="H53" s="287" t="n">
        <f aca="false">IFERROR(G53/F53,0)</f>
        <v>2.3725377856039</v>
      </c>
      <c r="I53" s="287" t="n">
        <f aca="false">'Monthly Model'!R34</f>
        <v>4</v>
      </c>
      <c r="J53" s="287" t="n">
        <f aca="false">I53-H53</f>
        <v>1.6274622143961</v>
      </c>
      <c r="K53" s="287" t="str">
        <f aca="false">IF(H53&lt;=I53,"متوافق","فجوة")</f>
        <v>متوافق</v>
      </c>
    </row>
    <row r="54" customFormat="false" ht="15" hidden="false" customHeight="true" outlineLevel="0" collapsed="false">
      <c r="A54" s="329" t="n">
        <f aca="false">'Monthly Model'!S3</f>
        <v>46905</v>
      </c>
      <c r="B54" s="287" t="n">
        <f aca="false">Assumptions!$B$21+SUM('Monthly Model'!$B$22:S22)</f>
        <v>60000000</v>
      </c>
      <c r="C54" s="287" t="n">
        <f aca="false">SUM('Monthly Model'!$B$30:S30)</f>
        <v>-4187815.85107351</v>
      </c>
      <c r="D54" s="287" t="n">
        <f aca="false">Assumptions!$B$93+(Assumptions!$C$93-Assumptions!$B$93)*6/12</f>
        <v>231340.40183875</v>
      </c>
      <c r="E54" s="287" t="n">
        <f aca="false">'Regulatory Capital Plan'!$B$9+('Regulatory Capital Plan'!$C$9-'Regulatory Capital Plan'!$B$9)*6/12</f>
        <v>2731200</v>
      </c>
      <c r="F54" s="287" t="n">
        <f aca="false">B54+C54</f>
        <v>55812184.1489265</v>
      </c>
      <c r="G54" s="287" t="n">
        <f aca="false">'Monthly Model'!S33</f>
        <v>159100000</v>
      </c>
      <c r="H54" s="287" t="n">
        <f aca="false">IFERROR(G54/F54,0)</f>
        <v>2.85063203359799</v>
      </c>
      <c r="I54" s="287" t="n">
        <f aca="false">'Monthly Model'!S34</f>
        <v>4</v>
      </c>
      <c r="J54" s="287" t="n">
        <f aca="false">I54-H54</f>
        <v>1.14936796640201</v>
      </c>
      <c r="K54" s="287" t="str">
        <f aca="false">IF(H54&lt;=I54,"متوافق","فجوة")</f>
        <v>متوافق</v>
      </c>
    </row>
    <row r="55" customFormat="false" ht="15" hidden="false" customHeight="true" outlineLevel="0" collapsed="false">
      <c r="A55" s="330" t="n">
        <f aca="false">'Monthly Model'!T3</f>
        <v>46935</v>
      </c>
      <c r="B55" s="287" t="n">
        <f aca="false">Assumptions!$B$21+SUM('Monthly Model'!$B$22:T22)</f>
        <v>60000000</v>
      </c>
      <c r="C55" s="287" t="n">
        <f aca="false">SUM('Monthly Model'!$B$30:T30)</f>
        <v>-3354990.40445401</v>
      </c>
      <c r="D55" s="287" t="n">
        <f aca="false">Assumptions!$B$93+(Assumptions!$C$93-Assumptions!$B$93)*7/12</f>
        <v>269897.135478541</v>
      </c>
      <c r="E55" s="287" t="n">
        <f aca="false">'Regulatory Capital Plan'!$B$9+('Regulatory Capital Plan'!$C$9-'Regulatory Capital Plan'!$B$9)*7/12</f>
        <v>2756200</v>
      </c>
      <c r="F55" s="287" t="n">
        <f aca="false">B55+C55</f>
        <v>56645009.595546</v>
      </c>
      <c r="G55" s="287" t="n">
        <f aca="false">'Monthly Model'!T33</f>
        <v>192400000</v>
      </c>
      <c r="H55" s="287" t="n">
        <f aca="false">IFERROR(G55/F55,0)</f>
        <v>3.39659223952411</v>
      </c>
      <c r="I55" s="287" t="n">
        <f aca="false">'Monthly Model'!T34</f>
        <v>4</v>
      </c>
      <c r="J55" s="287" t="n">
        <f aca="false">I55-H55</f>
        <v>0.603407760475893</v>
      </c>
      <c r="K55" s="287" t="str">
        <f aca="false">IF(H55&lt;=I55,"متوافق","فجوة")</f>
        <v>متوافق</v>
      </c>
    </row>
    <row r="56" customFormat="false" ht="15" hidden="false" customHeight="true" outlineLevel="0" collapsed="false">
      <c r="A56" s="331" t="n">
        <f aca="false">'Monthly Model'!U3</f>
        <v>46966</v>
      </c>
      <c r="B56" s="287" t="n">
        <f aca="false">Assumptions!$B$21+SUM('Monthly Model'!$B$22:U22)</f>
        <v>60000000</v>
      </c>
      <c r="C56" s="287" t="n">
        <f aca="false">SUM('Monthly Model'!$B$30:U30)</f>
        <v>-2522164.95783451</v>
      </c>
      <c r="D56" s="287" t="n">
        <f aca="false">Assumptions!$B$93+(Assumptions!$C$93-Assumptions!$B$93)*8/12</f>
        <v>308453.869118333</v>
      </c>
      <c r="E56" s="287" t="n">
        <f aca="false">'Regulatory Capital Plan'!$B$9+('Regulatory Capital Plan'!$C$9-'Regulatory Capital Plan'!$B$9)*8/12</f>
        <v>2781200</v>
      </c>
      <c r="F56" s="287" t="n">
        <f aca="false">B56+C56</f>
        <v>57477835.0421655</v>
      </c>
      <c r="G56" s="287" t="n">
        <f aca="false">'Monthly Model'!U33</f>
        <v>225700000</v>
      </c>
      <c r="H56" s="287" t="n">
        <f aca="false">IFERROR(G56/F56,0)</f>
        <v>3.92673105788392</v>
      </c>
      <c r="I56" s="287" t="n">
        <f aca="false">'Monthly Model'!U34</f>
        <v>4</v>
      </c>
      <c r="J56" s="287" t="n">
        <f aca="false">I56-H56</f>
        <v>0.0732689421160773</v>
      </c>
      <c r="K56" s="287" t="str">
        <f aca="false">IF(H56&lt;=I56,"متوافق","فجوة")</f>
        <v>متوافق</v>
      </c>
    </row>
    <row r="57" customFormat="false" ht="15" hidden="false" customHeight="true" outlineLevel="0" collapsed="false">
      <c r="A57" s="332" t="n">
        <f aca="false">'Monthly Model'!V3</f>
        <v>46997</v>
      </c>
      <c r="B57" s="287" t="n">
        <f aca="false">Assumptions!$B$21+SUM('Monthly Model'!$B$22:V22)</f>
        <v>75000000</v>
      </c>
      <c r="C57" s="287" t="n">
        <f aca="false">SUM('Monthly Model'!$B$30:V30)</f>
        <v>-1689339.51121501</v>
      </c>
      <c r="D57" s="287" t="n">
        <f aca="false">Assumptions!$B$93+(Assumptions!$C$93-Assumptions!$B$93)*9/12</f>
        <v>347010.602758124</v>
      </c>
      <c r="E57" s="287" t="n">
        <f aca="false">'Regulatory Capital Plan'!$B$9+('Regulatory Capital Plan'!$C$9-'Regulatory Capital Plan'!$B$9)*9/12</f>
        <v>2806200</v>
      </c>
      <c r="F57" s="287" t="n">
        <f aca="false">B57+C57</f>
        <v>73310660.488785</v>
      </c>
      <c r="G57" s="287" t="n">
        <f aca="false">'Monthly Model'!V33</f>
        <v>259000000</v>
      </c>
      <c r="H57" s="287" t="n">
        <f aca="false">IFERROR(G57/F57,0)</f>
        <v>3.53291046995303</v>
      </c>
      <c r="I57" s="287" t="n">
        <f aca="false">'Monthly Model'!V34</f>
        <v>4</v>
      </c>
      <c r="J57" s="287" t="n">
        <f aca="false">I57-H57</f>
        <v>0.467089530046974</v>
      </c>
      <c r="K57" s="287" t="str">
        <f aca="false">IF(H57&lt;=I57,"متوافق","فجوة")</f>
        <v>متوافق</v>
      </c>
    </row>
    <row r="58" customFormat="false" ht="15" hidden="false" customHeight="true" outlineLevel="0" collapsed="false">
      <c r="A58" s="333" t="n">
        <f aca="false">'Monthly Model'!W3</f>
        <v>47027</v>
      </c>
      <c r="B58" s="287" t="n">
        <f aca="false">Assumptions!$B$21+SUM('Monthly Model'!$B$22:W22)</f>
        <v>75000000</v>
      </c>
      <c r="C58" s="287" t="n">
        <f aca="false">SUM('Monthly Model'!$B$30:W30)</f>
        <v>-763977.903860014</v>
      </c>
      <c r="D58" s="287" t="n">
        <f aca="false">Assumptions!$B$93+(Assumptions!$C$93-Assumptions!$B$93)*10/12</f>
        <v>385567.336397916</v>
      </c>
      <c r="E58" s="287" t="n">
        <f aca="false">'Regulatory Capital Plan'!$B$9+('Regulatory Capital Plan'!$C$9-'Regulatory Capital Plan'!$B$9)*10/12</f>
        <v>2831200</v>
      </c>
      <c r="F58" s="287" t="n">
        <f aca="false">B58+C58</f>
        <v>74236022.09614</v>
      </c>
      <c r="G58" s="287" t="n">
        <f aca="false">'Monthly Model'!W33</f>
        <v>296000000</v>
      </c>
      <c r="H58" s="287" t="n">
        <f aca="false">IFERROR(G58/F58,0)</f>
        <v>3.98728261081477</v>
      </c>
      <c r="I58" s="287" t="n">
        <f aca="false">'Monthly Model'!W34</f>
        <v>4</v>
      </c>
      <c r="J58" s="287" t="n">
        <f aca="false">I58-H58</f>
        <v>0.0127173891852284</v>
      </c>
      <c r="K58" s="287" t="str">
        <f aca="false">IF(H58&lt;=I58,"متوافق","فجوة")</f>
        <v>متوافق</v>
      </c>
    </row>
    <row r="59" customFormat="false" ht="15" hidden="false" customHeight="true" outlineLevel="0" collapsed="false">
      <c r="A59" s="334" t="n">
        <f aca="false">'Monthly Model'!X3</f>
        <v>47058</v>
      </c>
      <c r="B59" s="287" t="n">
        <f aca="false">Assumptions!$B$21+SUM('Monthly Model'!$B$22:X22)</f>
        <v>75000000</v>
      </c>
      <c r="C59" s="287" t="n">
        <f aca="false">SUM('Monthly Model'!$B$30:X30)</f>
        <v>161383.703494984</v>
      </c>
      <c r="D59" s="287" t="n">
        <f aca="false">Assumptions!$B$93+(Assumptions!$C$93-Assumptions!$B$93)*11/12</f>
        <v>424124.070037707</v>
      </c>
      <c r="E59" s="287" t="n">
        <f aca="false">'Regulatory Capital Plan'!$B$9+('Regulatory Capital Plan'!$C$9-'Regulatory Capital Plan'!$B$9)*11/12</f>
        <v>2856200</v>
      </c>
      <c r="F59" s="287" t="n">
        <f aca="false">B59+C59</f>
        <v>75161383.703495</v>
      </c>
      <c r="G59" s="287" t="n">
        <f aca="false">'Monthly Model'!X33</f>
        <v>333000000</v>
      </c>
      <c r="H59" s="287" t="n">
        <f aca="false">IFERROR(G59/F59,0)</f>
        <v>4.43046659856151</v>
      </c>
      <c r="I59" s="287" t="n">
        <f aca="false">'Monthly Model'!X34</f>
        <v>4</v>
      </c>
      <c r="J59" s="287" t="n">
        <f aca="false">I59-H59</f>
        <v>-0.430466598561512</v>
      </c>
      <c r="K59" s="287" t="str">
        <f aca="false">IF(H59&lt;=I59,"متوافق","فجوة")</f>
        <v>فجوة</v>
      </c>
    </row>
    <row r="60" customFormat="false" ht="15" hidden="false" customHeight="true" outlineLevel="0" collapsed="false">
      <c r="A60" s="335" t="n">
        <f aca="false">'Monthly Model'!Y3</f>
        <v>47088</v>
      </c>
      <c r="B60" s="287" t="n">
        <f aca="false">Assumptions!$B$21+SUM('Monthly Model'!$B$22:Y22)</f>
        <v>75000000</v>
      </c>
      <c r="C60" s="287" t="n">
        <f aca="false">SUM('Monthly Model'!$B$30:Y30)</f>
        <v>1086745.31084998</v>
      </c>
      <c r="D60" s="287" t="n">
        <f aca="false">Assumptions!$B$93+(Assumptions!$C$93-Assumptions!$B$93)*12/12</f>
        <v>462680.803677499</v>
      </c>
      <c r="E60" s="287" t="n">
        <f aca="false">'Regulatory Capital Plan'!$B$9+('Regulatory Capital Plan'!$C$9-'Regulatory Capital Plan'!$B$9)*12/12</f>
        <v>2881200</v>
      </c>
      <c r="F60" s="287" t="n">
        <f aca="false">B60+C60</f>
        <v>76086745.31085</v>
      </c>
      <c r="G60" s="287" t="n">
        <f aca="false">'Monthly Model'!Y33</f>
        <v>370000000</v>
      </c>
      <c r="H60" s="287" t="n">
        <f aca="false">IFERROR(G60/F60,0)</f>
        <v>4.86287064177048</v>
      </c>
      <c r="I60" s="287" t="n">
        <f aca="false">'Monthly Model'!Y34</f>
        <v>4</v>
      </c>
      <c r="J60" s="287" t="n">
        <f aca="false">I60-H60</f>
        <v>-0.86287064177048</v>
      </c>
      <c r="K60" s="287" t="str">
        <f aca="false">IF(H60&lt;=I60,"متوافق","فجوة")</f>
        <v>فجوة</v>
      </c>
    </row>
    <row r="61" customFormat="false" ht="15" hidden="false" customHeight="true" outlineLevel="0" collapsed="false"/>
    <row r="62" customFormat="false" ht="15" hidden="false" customHeight="true" outlineLevel="0" collapsed="false">
      <c r="A62" s="285" t="s">
        <v>1018</v>
      </c>
      <c r="B62" s="285"/>
      <c r="C62" s="285"/>
      <c r="D62" s="285"/>
      <c r="E62" s="285"/>
      <c r="F62" s="285"/>
    </row>
    <row r="63" customFormat="false" ht="45.75" hidden="false" customHeight="true" outlineLevel="0" collapsed="false">
      <c r="A63" s="302" t="s">
        <v>627</v>
      </c>
      <c r="B63" s="302" t="s">
        <v>1019</v>
      </c>
      <c r="C63" s="302" t="s">
        <v>1020</v>
      </c>
      <c r="D63" s="302" t="s">
        <v>1021</v>
      </c>
      <c r="E63" s="302" t="s">
        <v>1014</v>
      </c>
      <c r="F63" s="302" t="s">
        <v>657</v>
      </c>
    </row>
    <row r="64" customFormat="false" ht="34.5" hidden="false" customHeight="true" outlineLevel="0" collapsed="false">
      <c r="A64" s="80" t="s">
        <v>1022</v>
      </c>
      <c r="B64" s="287" t="n">
        <f aca="false">'Regulatory Capital Plan'!C10</f>
        <v>73205545.31085</v>
      </c>
      <c r="C64" s="287" t="n">
        <f aca="false">G60</f>
        <v>370000000</v>
      </c>
      <c r="D64" s="287" t="n">
        <v>9</v>
      </c>
      <c r="E64" s="287" t="n">
        <f aca="false">C64/B64</f>
        <v>5.05426192003465</v>
      </c>
      <c r="F64" s="287" t="str">
        <f aca="false">IF(E64&lt;=D64,"متوافق","فجوة")</f>
        <v>متوافق</v>
      </c>
    </row>
    <row r="65" customFormat="false" ht="45.75" hidden="false" customHeight="true" outlineLevel="0" collapsed="false">
      <c r="A65" s="80" t="s">
        <v>1023</v>
      </c>
      <c r="B65" s="287" t="n">
        <f aca="false">'Regulatory Capital Plan'!C7</f>
        <v>76086745.31085</v>
      </c>
      <c r="C65" s="287" t="n">
        <f aca="false">G60</f>
        <v>370000000</v>
      </c>
      <c r="D65" s="287" t="n">
        <v>4</v>
      </c>
      <c r="E65" s="287" t="n">
        <f aca="false">C65/B65</f>
        <v>4.86287064177048</v>
      </c>
      <c r="F65" s="287" t="str">
        <f aca="false">IF(E65&lt;=D65,"متوافق","فجوة")</f>
        <v>فجوة</v>
      </c>
    </row>
    <row r="66" customFormat="false" ht="42" hidden="false" customHeight="true" outlineLevel="0" collapsed="false">
      <c r="A66" s="61" t="s">
        <v>1024</v>
      </c>
      <c r="B66" s="61"/>
      <c r="C66" s="61"/>
      <c r="D66" s="61"/>
      <c r="E66" s="61"/>
      <c r="F66" s="61"/>
      <c r="G66" s="113"/>
    </row>
    <row r="67" customFormat="false" ht="15" hidden="false" customHeight="true" outlineLevel="0" collapsed="false"/>
    <row r="68" customFormat="false" ht="15" hidden="false" customHeight="true" outlineLevel="0" collapsed="false">
      <c r="A68" s="285" t="s">
        <v>1025</v>
      </c>
      <c r="B68" s="285"/>
      <c r="C68" s="285"/>
      <c r="D68" s="285"/>
      <c r="E68" s="285"/>
      <c r="F68" s="285"/>
    </row>
    <row r="69" customFormat="false" ht="15" hidden="false" customHeight="true" outlineLevel="0" collapsed="false">
      <c r="A69" s="284" t="s">
        <v>83</v>
      </c>
      <c r="B69" s="284" t="s">
        <v>84</v>
      </c>
      <c r="C69" s="284" t="s">
        <v>85</v>
      </c>
      <c r="D69" s="284" t="s">
        <v>86</v>
      </c>
      <c r="E69" s="284" t="s">
        <v>87</v>
      </c>
      <c r="F69" s="284" t="s">
        <v>88</v>
      </c>
    </row>
    <row r="70" customFormat="false" ht="15" hidden="false" customHeight="true" outlineLevel="0" collapsed="false">
      <c r="A70" s="286" t="s">
        <v>1026</v>
      </c>
      <c r="B70" s="287" t="n">
        <f aca="false">'Balance Sheet'!B5</f>
        <v>3220917.99</v>
      </c>
      <c r="C70" s="287" t="n">
        <f aca="false">'Balance Sheet'!C5</f>
        <v>9502515.43684994</v>
      </c>
      <c r="D70" s="287" t="n">
        <f aca="false">'Balance Sheet'!D5</f>
        <v>13213488.5045099</v>
      </c>
      <c r="E70" s="287" t="n">
        <f aca="false">'Balance Sheet'!E5</f>
        <v>65805119.911818</v>
      </c>
      <c r="F70" s="287" t="n">
        <f aca="false">'Balance Sheet'!F5</f>
        <v>240780577.47023</v>
      </c>
    </row>
    <row r="71" customFormat="false" ht="15" hidden="false" customHeight="true" outlineLevel="0" collapsed="false">
      <c r="A71" s="286" t="s">
        <v>1027</v>
      </c>
      <c r="B71" s="287" t="n">
        <v>0</v>
      </c>
      <c r="C71" s="287" t="n">
        <v>0</v>
      </c>
      <c r="D71" s="287" t="n">
        <v>0</v>
      </c>
      <c r="E71" s="287" t="n">
        <v>0</v>
      </c>
      <c r="F71" s="287" t="n">
        <v>0</v>
      </c>
    </row>
    <row r="72" customFormat="false" ht="15" hidden="false" customHeight="true" outlineLevel="0" collapsed="false">
      <c r="A72" s="286" t="s">
        <v>1028</v>
      </c>
      <c r="B72" s="287" t="n">
        <v>0</v>
      </c>
      <c r="C72" s="287" t="n">
        <v>0</v>
      </c>
      <c r="D72" s="287" t="n">
        <v>0</v>
      </c>
      <c r="E72" s="287" t="n">
        <v>0</v>
      </c>
      <c r="F72" s="287" t="n">
        <v>0</v>
      </c>
    </row>
    <row r="73" customFormat="false" ht="15" hidden="false" customHeight="true" outlineLevel="0" collapsed="false">
      <c r="A73" s="286" t="s">
        <v>1029</v>
      </c>
      <c r="B73" s="287" t="n">
        <f aca="false">SUM(B70:B72)</f>
        <v>3220917.99</v>
      </c>
      <c r="C73" s="287" t="n">
        <f aca="false">SUM(C70:C72)</f>
        <v>9502515.43684994</v>
      </c>
      <c r="D73" s="287" t="n">
        <f aca="false">SUM(D70:D72)</f>
        <v>13213488.5045099</v>
      </c>
      <c r="E73" s="287" t="n">
        <f aca="false">SUM(E70:E72)</f>
        <v>65805119.911818</v>
      </c>
      <c r="F73" s="287" t="n">
        <f aca="false">SUM(F70:F72)</f>
        <v>240780577.47023</v>
      </c>
    </row>
    <row r="74" customFormat="false" ht="15" hidden="false" customHeight="true" outlineLevel="0" collapsed="false">
      <c r="A74" s="286" t="s">
        <v>1030</v>
      </c>
      <c r="B74" s="287" t="n">
        <f aca="false">Assumptions!B78/12</f>
        <v>589807.9925</v>
      </c>
      <c r="C74" s="287" t="n">
        <f aca="false">Assumptions!C78/12</f>
        <v>7964173.65666667</v>
      </c>
      <c r="D74" s="287" t="n">
        <f aca="false">Assumptions!D78/12</f>
        <v>32500000</v>
      </c>
      <c r="E74" s="287" t="n">
        <f aca="false">Assumptions!E78/12</f>
        <v>68333333.3333333</v>
      </c>
      <c r="F74" s="287" t="n">
        <f aca="false">Assumptions!F78/12</f>
        <v>129166666.666667</v>
      </c>
    </row>
    <row r="75" customFormat="false" ht="15" hidden="false" customHeight="true" outlineLevel="0" collapsed="false">
      <c r="A75" s="286" t="s">
        <v>1031</v>
      </c>
      <c r="B75" s="287" t="n">
        <f aca="false">B12/12</f>
        <v>0</v>
      </c>
      <c r="C75" s="287" t="n">
        <f aca="false">C12/12</f>
        <v>5973130.2425</v>
      </c>
      <c r="D75" s="287" t="n">
        <f aca="false">D12/12</f>
        <v>24375000</v>
      </c>
      <c r="E75" s="287" t="n">
        <f aca="false">E12/12</f>
        <v>51250000</v>
      </c>
      <c r="F75" s="287" t="n">
        <f aca="false">F12/12</f>
        <v>96875000</v>
      </c>
    </row>
    <row r="76" customFormat="false" ht="15" hidden="false" customHeight="true" outlineLevel="0" collapsed="false">
      <c r="A76" s="286" t="s">
        <v>1032</v>
      </c>
      <c r="B76" s="287" t="n">
        <f aca="false">'Income Statement'!B15/12</f>
        <v>0</v>
      </c>
      <c r="C76" s="287" t="n">
        <f aca="false">'Income Statement'!C15/12</f>
        <v>3103375</v>
      </c>
      <c r="D76" s="287" t="n">
        <f aca="false">'Income Statement'!D15/12</f>
        <v>8568541.66666667</v>
      </c>
      <c r="E76" s="287" t="n">
        <f aca="false">'Income Statement'!E15/12</f>
        <v>14735625</v>
      </c>
      <c r="F76" s="287" t="n">
        <f aca="false">'Income Statement'!F15/12</f>
        <v>27111281.25</v>
      </c>
    </row>
    <row r="77" customFormat="false" ht="15" hidden="false" customHeight="true" outlineLevel="0" collapsed="false">
      <c r="A77" s="286" t="s">
        <v>1033</v>
      </c>
      <c r="B77" s="287" t="n">
        <f aca="false">('Income Statement'!B17+'Income Statement'!B18)/12</f>
        <v>1299276</v>
      </c>
      <c r="C77" s="287" t="n">
        <f aca="false">('Income Statement'!C17+'Income Statement'!C18)/12</f>
        <v>1919260</v>
      </c>
      <c r="D77" s="287" t="n">
        <f aca="false">('Income Statement'!D17+'Income Statement'!D18)/12</f>
        <v>2516609.08333333</v>
      </c>
      <c r="E77" s="287" t="n">
        <f aca="false">('Income Statement'!E17+'Income Statement'!E18)/12</f>
        <v>3152558.66666667</v>
      </c>
      <c r="F77" s="287" t="n">
        <f aca="false">('Income Statement'!F17+'Income Statement'!F18)/12</f>
        <v>4009739.7</v>
      </c>
    </row>
    <row r="78" customFormat="false" ht="15" hidden="false" customHeight="true" outlineLevel="0" collapsed="false">
      <c r="A78" s="286" t="s">
        <v>1034</v>
      </c>
      <c r="B78" s="287" t="n">
        <f aca="false">'Balance Sheet'!B14*(1-Assumptions!B102)*10%</f>
        <v>0</v>
      </c>
      <c r="C78" s="287" t="n">
        <f aca="false">'Balance Sheet'!C14*(1-Assumptions!C102)*10%</f>
        <v>5550000</v>
      </c>
      <c r="D78" s="287" t="n">
        <f aca="false">'Balance Sheet'!D14*(1-Assumptions!D102)*10%</f>
        <v>6850000</v>
      </c>
      <c r="E78" s="287" t="n">
        <f aca="false">'Balance Sheet'!E14*(1-Assumptions!E102)*10%</f>
        <v>13350000</v>
      </c>
      <c r="F78" s="287" t="n">
        <f aca="false">'Balance Sheet'!F14*(1-Assumptions!F102)*10%</f>
        <v>26000000</v>
      </c>
    </row>
    <row r="79" customFormat="false" ht="15" hidden="false" customHeight="true" outlineLevel="0" collapsed="false">
      <c r="A79" s="286" t="s">
        <v>1035</v>
      </c>
      <c r="B79" s="287" t="n">
        <f aca="false">SUM(B75:B78)</f>
        <v>1299276</v>
      </c>
      <c r="C79" s="287" t="n">
        <f aca="false">SUM(C75:C78)</f>
        <v>16545765.2425</v>
      </c>
      <c r="D79" s="287" t="n">
        <f aca="false">SUM(D75:D78)</f>
        <v>42310150.75</v>
      </c>
      <c r="E79" s="287" t="n">
        <f aca="false">SUM(E75:E78)</f>
        <v>82488183.6666667</v>
      </c>
      <c r="F79" s="287" t="n">
        <f aca="false">SUM(F75:F78)</f>
        <v>153996020.95</v>
      </c>
    </row>
    <row r="80" customFormat="false" ht="15" hidden="false" customHeight="true" outlineLevel="0" collapsed="false">
      <c r="A80" s="286" t="s">
        <v>1036</v>
      </c>
      <c r="B80" s="287" t="n">
        <v>0</v>
      </c>
      <c r="C80" s="287" t="n">
        <v>0</v>
      </c>
      <c r="D80" s="287" t="n">
        <v>0</v>
      </c>
      <c r="E80" s="287" t="n">
        <v>0</v>
      </c>
      <c r="F80" s="287" t="n">
        <v>0</v>
      </c>
    </row>
    <row r="81" customFormat="false" ht="15" hidden="false" customHeight="true" outlineLevel="0" collapsed="false">
      <c r="A81" s="286" t="s">
        <v>1037</v>
      </c>
      <c r="B81" s="287" t="n">
        <f aca="false">B79+B80</f>
        <v>1299276</v>
      </c>
      <c r="C81" s="287" t="n">
        <f aca="false">C79+C80</f>
        <v>16545765.2425</v>
      </c>
      <c r="D81" s="287" t="n">
        <f aca="false">D79+D80</f>
        <v>42310150.75</v>
      </c>
      <c r="E81" s="287" t="n">
        <f aca="false">E79+E80</f>
        <v>82488183.6666667</v>
      </c>
      <c r="F81" s="287" t="n">
        <f aca="false">F79+F80</f>
        <v>153996020.95</v>
      </c>
    </row>
    <row r="82" customFormat="false" ht="15" hidden="false" customHeight="true" outlineLevel="0" collapsed="false">
      <c r="A82" s="286" t="s">
        <v>1038</v>
      </c>
      <c r="B82" s="287" t="n">
        <f aca="false">B74</f>
        <v>589807.9925</v>
      </c>
      <c r="C82" s="287" t="n">
        <f aca="false">C74</f>
        <v>7964173.65666667</v>
      </c>
      <c r="D82" s="287" t="n">
        <f aca="false">D74</f>
        <v>32500000</v>
      </c>
      <c r="E82" s="287" t="n">
        <f aca="false">E74</f>
        <v>68333333.3333333</v>
      </c>
      <c r="F82" s="287" t="n">
        <f aca="false">F74</f>
        <v>129166666.666667</v>
      </c>
    </row>
    <row r="83" customFormat="false" ht="15" hidden="false" customHeight="true" outlineLevel="0" collapsed="false">
      <c r="A83" s="286" t="s">
        <v>1039</v>
      </c>
      <c r="B83" s="287" t="n">
        <f aca="false">B81*90%</f>
        <v>1169348.4</v>
      </c>
      <c r="C83" s="287" t="n">
        <f aca="false">C81*90%</f>
        <v>14891188.71825</v>
      </c>
      <c r="D83" s="287" t="n">
        <f aca="false">D81*90%</f>
        <v>38079135.675</v>
      </c>
      <c r="E83" s="287" t="n">
        <f aca="false">E81*90%</f>
        <v>74239365.3</v>
      </c>
      <c r="F83" s="287" t="n">
        <f aca="false">F81*90%</f>
        <v>138596418.855</v>
      </c>
    </row>
    <row r="84" customFormat="false" ht="15" hidden="false" customHeight="true" outlineLevel="0" collapsed="false">
      <c r="A84" s="286" t="s">
        <v>977</v>
      </c>
      <c r="B84" s="287" t="n">
        <f aca="false">MAX(1,B81-MIN(B82,B83))</f>
        <v>709468.0075</v>
      </c>
      <c r="C84" s="287" t="n">
        <f aca="false">MAX(1,C81-MIN(C82,C83))</f>
        <v>8581591.58583334</v>
      </c>
      <c r="D84" s="287" t="n">
        <f aca="false">MAX(1,D81-MIN(D82,D83))</f>
        <v>9810150.75</v>
      </c>
      <c r="E84" s="287" t="n">
        <f aca="false">MAX(1,E81-MIN(E82,E83))</f>
        <v>14154850.3333333</v>
      </c>
      <c r="F84" s="287" t="n">
        <f aca="false">MAX(1,F81-MIN(F82,F83))</f>
        <v>24829354.2833333</v>
      </c>
    </row>
    <row r="85" customFormat="false" ht="15" hidden="false" customHeight="true" outlineLevel="0" collapsed="false">
      <c r="A85" s="286" t="s">
        <v>1040</v>
      </c>
      <c r="B85" s="293" t="n">
        <f aca="false">IFERROR(B73/B84,0)</f>
        <v>4.53990589561574</v>
      </c>
      <c r="C85" s="293" t="n">
        <f aca="false">IFERROR(C73/C84,0)</f>
        <v>1.10731387549798</v>
      </c>
      <c r="D85" s="293" t="n">
        <f aca="false">IFERROR(D73/D84,0)</f>
        <v>1.34692002612802</v>
      </c>
      <c r="E85" s="293" t="n">
        <f aca="false">IFERROR(E73/E84,0)</f>
        <v>4.64894494552536</v>
      </c>
      <c r="F85" s="293" t="n">
        <f aca="false">IFERROR(F73/F84,0)</f>
        <v>9.69741599892725</v>
      </c>
    </row>
    <row r="86" customFormat="false" ht="15" hidden="false" customHeight="true" outlineLevel="0" collapsed="false">
      <c r="A86" s="286" t="s">
        <v>1041</v>
      </c>
      <c r="B86" s="287" t="n">
        <f aca="false">ROUND(B85-B21,6)</f>
        <v>0</v>
      </c>
      <c r="C86" s="287" t="n">
        <f aca="false">ROUND(C85-C21,6)</f>
        <v>0</v>
      </c>
      <c r="D86" s="287" t="n">
        <f aca="false">ROUND(D85-D21,6)</f>
        <v>0</v>
      </c>
      <c r="E86" s="287" t="n">
        <f aca="false">ROUND(E85-E21,6)</f>
        <v>0</v>
      </c>
      <c r="F86" s="287" t="n">
        <f aca="false">ROUND(F85-F21,6)</f>
        <v>0</v>
      </c>
    </row>
    <row r="87" customFormat="false" ht="42" hidden="false" customHeight="true" outlineLevel="0" collapsed="false">
      <c r="A87" s="61" t="s">
        <v>1042</v>
      </c>
      <c r="B87" s="61"/>
      <c r="C87" s="61"/>
      <c r="D87" s="61"/>
      <c r="E87" s="61"/>
      <c r="F87" s="61"/>
      <c r="G87" s="113"/>
    </row>
    <row r="88" customFormat="false" ht="15" hidden="false" customHeight="true" outlineLevel="0" collapsed="false"/>
    <row r="89" customFormat="false" ht="15" hidden="false" customHeight="true" outlineLevel="0" collapsed="false">
      <c r="A89" s="285" t="s">
        <v>1043</v>
      </c>
      <c r="B89" s="285"/>
      <c r="C89" s="285"/>
      <c r="D89" s="285"/>
      <c r="E89" s="285"/>
      <c r="F89" s="285"/>
    </row>
    <row r="90" customFormat="false" ht="15" hidden="false" customHeight="true" outlineLevel="0" collapsed="false">
      <c r="A90" s="284" t="s">
        <v>83</v>
      </c>
      <c r="B90" s="284" t="s">
        <v>1044</v>
      </c>
      <c r="C90" s="284" t="s">
        <v>1045</v>
      </c>
      <c r="D90" s="284" t="s">
        <v>1046</v>
      </c>
      <c r="E90" s="284" t="s">
        <v>1047</v>
      </c>
      <c r="F90" s="315" t="s">
        <v>1048</v>
      </c>
      <c r="G90" s="315" t="s">
        <v>1049</v>
      </c>
    </row>
    <row r="91" customFormat="false" ht="15" hidden="false" customHeight="true" outlineLevel="0" collapsed="false">
      <c r="A91" s="286" t="s">
        <v>1050</v>
      </c>
      <c r="B91" s="287" t="n">
        <f aca="false">'Regulatory Capital Plan'!C7</f>
        <v>76086745.31085</v>
      </c>
      <c r="C91" s="286" t="s">
        <v>1051</v>
      </c>
      <c r="D91" s="336" t="n">
        <v>1</v>
      </c>
      <c r="E91" s="287" t="n">
        <f aca="false">B91*D91</f>
        <v>76086745.31085</v>
      </c>
      <c r="F91" s="304" t="s">
        <v>1052</v>
      </c>
      <c r="G91" s="304" t="s">
        <v>1053</v>
      </c>
    </row>
    <row r="92" customFormat="false" ht="15" hidden="false" customHeight="true" outlineLevel="0" collapsed="false">
      <c r="A92" s="286" t="s">
        <v>1054</v>
      </c>
      <c r="B92" s="287" t="n">
        <f aca="false">'Balance Sheet'!C14*Assumptions!C102</f>
        <v>314500000</v>
      </c>
      <c r="C92" s="286" t="s">
        <v>1051</v>
      </c>
      <c r="D92" s="336" t="n">
        <v>1</v>
      </c>
      <c r="E92" s="287" t="n">
        <f aca="false">B92*D92</f>
        <v>314500000</v>
      </c>
      <c r="F92" s="304" t="s">
        <v>1055</v>
      </c>
      <c r="G92" s="304" t="s">
        <v>1056</v>
      </c>
    </row>
    <row r="93" customFormat="false" ht="15" hidden="false" customHeight="true" outlineLevel="0" collapsed="false">
      <c r="A93" s="286" t="s">
        <v>1057</v>
      </c>
      <c r="B93" s="287" t="n">
        <f aca="false">'Balance Sheet'!C14*10%</f>
        <v>37000000</v>
      </c>
      <c r="C93" s="286" t="s">
        <v>1058</v>
      </c>
      <c r="D93" s="336" t="n">
        <v>0.75</v>
      </c>
      <c r="E93" s="287" t="n">
        <f aca="false">B93*D93</f>
        <v>27750000</v>
      </c>
      <c r="F93" s="304" t="s">
        <v>1059</v>
      </c>
      <c r="G93" s="304" t="s">
        <v>1056</v>
      </c>
    </row>
    <row r="94" customFormat="false" ht="15" hidden="false" customHeight="true" outlineLevel="0" collapsed="false">
      <c r="A94" s="286" t="s">
        <v>1060</v>
      </c>
      <c r="B94" s="287" t="n">
        <f aca="false">'Balance Sheet'!C14*MAX(0,1-Assumptions!C102-10%)</f>
        <v>18500000</v>
      </c>
      <c r="C94" s="286" t="s">
        <v>1061</v>
      </c>
      <c r="D94" s="336" t="n">
        <v>0.5</v>
      </c>
      <c r="E94" s="287" t="n">
        <f aca="false">B94*D94</f>
        <v>9250000</v>
      </c>
      <c r="F94" s="304" t="s">
        <v>1062</v>
      </c>
      <c r="G94" s="304" t="s">
        <v>1056</v>
      </c>
    </row>
    <row r="95" customFormat="false" ht="15" hidden="false" customHeight="true" outlineLevel="0" collapsed="false">
      <c r="A95" s="286" t="s">
        <v>1063</v>
      </c>
      <c r="B95" s="287" t="n">
        <f aca="false">'Balance Sheet'!C15</f>
        <v>7500000</v>
      </c>
      <c r="C95" s="286" t="s">
        <v>1064</v>
      </c>
      <c r="D95" s="336" t="n">
        <v>0.5</v>
      </c>
      <c r="E95" s="287" t="n">
        <f aca="false">B95*D95</f>
        <v>3750000</v>
      </c>
      <c r="F95" s="304" t="s">
        <v>42</v>
      </c>
      <c r="G95" s="304" t="s">
        <v>1056</v>
      </c>
    </row>
    <row r="96" customFormat="false" ht="15" hidden="false" customHeight="true" outlineLevel="0" collapsed="false">
      <c r="A96" s="286" t="s">
        <v>985</v>
      </c>
      <c r="B96" s="287" t="n">
        <f aca="false">B91+B92+B93+B94+B95</f>
        <v>453586745.31085</v>
      </c>
      <c r="C96" s="286" t="s">
        <v>708</v>
      </c>
      <c r="D96" s="336"/>
      <c r="E96" s="287" t="n">
        <f aca="false">SUM(E91:E95)</f>
        <v>431336745.31085</v>
      </c>
      <c r="F96" s="304" t="s">
        <v>708</v>
      </c>
      <c r="G96" s="304" t="s">
        <v>708</v>
      </c>
    </row>
    <row r="97" customFormat="false" ht="15" hidden="false" customHeight="true" outlineLevel="0" collapsed="false">
      <c r="A97" s="286" t="s">
        <v>1065</v>
      </c>
      <c r="B97" s="287" t="n">
        <f aca="false">'Balance Sheet'!C8*70%</f>
        <v>307316907.5158</v>
      </c>
      <c r="C97" s="286" t="s">
        <v>1066</v>
      </c>
      <c r="D97" s="336" t="n">
        <v>1</v>
      </c>
      <c r="E97" s="287" t="n">
        <f aca="false">B97*D97</f>
        <v>307316907.5158</v>
      </c>
      <c r="F97" s="304" t="s">
        <v>1067</v>
      </c>
      <c r="G97" s="304" t="s">
        <v>1056</v>
      </c>
    </row>
    <row r="98" customFormat="false" ht="15" hidden="false" customHeight="true" outlineLevel="0" collapsed="false">
      <c r="A98" s="286" t="s">
        <v>1068</v>
      </c>
      <c r="B98" s="287" t="n">
        <f aca="false">'Balance Sheet'!C8*20%</f>
        <v>87804830.7188</v>
      </c>
      <c r="C98" s="286" t="s">
        <v>1069</v>
      </c>
      <c r="D98" s="336" t="n">
        <v>0.75</v>
      </c>
      <c r="E98" s="287" t="n">
        <f aca="false">B98*D98</f>
        <v>65853623.0391</v>
      </c>
      <c r="F98" s="304" t="s">
        <v>1070</v>
      </c>
      <c r="G98" s="304" t="s">
        <v>1056</v>
      </c>
    </row>
    <row r="99" customFormat="false" ht="15" hidden="false" customHeight="true" outlineLevel="0" collapsed="false">
      <c r="A99" s="286" t="s">
        <v>1071</v>
      </c>
      <c r="B99" s="287" t="n">
        <f aca="false">'Balance Sheet'!C8*10%</f>
        <v>43902415.3594</v>
      </c>
      <c r="C99" s="286" t="s">
        <v>1064</v>
      </c>
      <c r="D99" s="336" t="n">
        <v>0.5</v>
      </c>
      <c r="E99" s="287" t="n">
        <f aca="false">B99*D99</f>
        <v>21951207.6797</v>
      </c>
      <c r="F99" s="304" t="s">
        <v>1059</v>
      </c>
      <c r="G99" s="304" t="s">
        <v>1056</v>
      </c>
    </row>
    <row r="100" customFormat="false" ht="15" hidden="false" customHeight="true" outlineLevel="0" collapsed="false">
      <c r="A100" s="286" t="s">
        <v>1072</v>
      </c>
      <c r="B100" s="287" t="n">
        <f aca="false">'Balance Sheet'!C9+'Balance Sheet'!C10</f>
        <v>5060076.28</v>
      </c>
      <c r="C100" s="286" t="s">
        <v>1066</v>
      </c>
      <c r="D100" s="336" t="n">
        <v>1</v>
      </c>
      <c r="E100" s="287" t="n">
        <f aca="false">B100*D100</f>
        <v>5060076.28</v>
      </c>
      <c r="F100" s="304" t="s">
        <v>42</v>
      </c>
      <c r="G100" s="304" t="s">
        <v>1056</v>
      </c>
    </row>
    <row r="101" customFormat="false" ht="15" hidden="false" customHeight="true" outlineLevel="0" collapsed="false">
      <c r="A101" s="286" t="s">
        <v>990</v>
      </c>
      <c r="B101" s="287" t="n">
        <f aca="false">SUM(B97:B100)</f>
        <v>444084229.874</v>
      </c>
      <c r="C101" s="286" t="s">
        <v>708</v>
      </c>
      <c r="D101" s="336"/>
      <c r="E101" s="287" t="n">
        <f aca="false">SUM(E97:E100)</f>
        <v>400181814.5146</v>
      </c>
      <c r="F101" s="304" t="s">
        <v>708</v>
      </c>
      <c r="G101" s="304" t="s">
        <v>708</v>
      </c>
    </row>
    <row r="102" customFormat="false" ht="15" hidden="false" customHeight="true" outlineLevel="0" collapsed="false">
      <c r="A102" s="287" t="s">
        <v>1073</v>
      </c>
      <c r="E102" s="293" t="n">
        <f aca="false">IFERROR(E96/E101,0)</f>
        <v>1.07785194045871</v>
      </c>
      <c r="F102" s="113"/>
      <c r="G102" s="113"/>
    </row>
    <row r="103" customFormat="false" ht="15" hidden="false" customHeight="true" outlineLevel="0" collapsed="false">
      <c r="A103" s="287" t="s">
        <v>1041</v>
      </c>
      <c r="E103" s="1" t="n">
        <f aca="false">ROUND(E102-C35,6)</f>
        <v>0</v>
      </c>
      <c r="F103" s="113"/>
      <c r="G103" s="113"/>
    </row>
    <row r="104" customFormat="false" ht="15" hidden="false" customHeight="true" outlineLevel="0" collapsed="false"/>
    <row r="105" customFormat="false" ht="45.75" hidden="false" customHeight="true" outlineLevel="0" collapsed="false">
      <c r="A105" s="61" t="s">
        <v>1074</v>
      </c>
      <c r="B105" s="61"/>
      <c r="C105" s="61"/>
      <c r="D105" s="61"/>
      <c r="E105" s="61"/>
      <c r="F105" s="61"/>
      <c r="G105" s="113"/>
    </row>
  </sheetData>
  <mergeCells count="14">
    <mergeCell ref="A1:F1"/>
    <mergeCell ref="A4:F4"/>
    <mergeCell ref="A15:F15"/>
    <mergeCell ref="A24:F24"/>
    <mergeCell ref="A37:F37"/>
    <mergeCell ref="A38:F38"/>
    <mergeCell ref="A45:F45"/>
    <mergeCell ref="A47:K47"/>
    <mergeCell ref="A62:F62"/>
    <mergeCell ref="A66:F66"/>
    <mergeCell ref="A68:F68"/>
    <mergeCell ref="A87:F87"/>
    <mergeCell ref="A89:F89"/>
    <mergeCell ref="A105:F105"/>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8"/>
    <col collapsed="false" customWidth="true" hidden="false" outlineLevel="0" max="3" min="2" style="1" width="20"/>
    <col collapsed="false" customWidth="true" hidden="false" outlineLevel="0" max="4" min="4" style="1" width="40"/>
  </cols>
  <sheetData>
    <row r="1" customFormat="false" ht="31.5" hidden="false" customHeight="true" outlineLevel="0" collapsed="false">
      <c r="A1" s="283" t="s">
        <v>1075</v>
      </c>
      <c r="B1" s="283"/>
      <c r="C1" s="283"/>
      <c r="D1" s="283"/>
    </row>
    <row r="3" customFormat="false" ht="30" hidden="false" customHeight="true" outlineLevel="0" collapsed="false">
      <c r="A3" s="284" t="s">
        <v>83</v>
      </c>
      <c r="B3" s="284" t="s">
        <v>1076</v>
      </c>
      <c r="C3" s="284" t="s">
        <v>1077</v>
      </c>
      <c r="D3" s="284" t="s">
        <v>1078</v>
      </c>
    </row>
    <row r="4" customFormat="false" ht="30" hidden="false" customHeight="true" outlineLevel="0" collapsed="false">
      <c r="A4" s="286" t="s">
        <v>1079</v>
      </c>
      <c r="B4" s="286"/>
      <c r="C4" s="68" t="n">
        <v>0.89</v>
      </c>
      <c r="D4" s="286" t="s">
        <v>1080</v>
      </c>
    </row>
    <row r="6" customFormat="false" ht="21.75" hidden="false" customHeight="true" outlineLevel="0" collapsed="false">
      <c r="A6" s="337" t="s">
        <v>1081</v>
      </c>
      <c r="B6" s="337"/>
      <c r="C6" s="337"/>
      <c r="D6" s="337"/>
    </row>
    <row r="7" customFormat="false" ht="15" hidden="false" customHeight="true" outlineLevel="0" collapsed="false">
      <c r="A7" s="286" t="s">
        <v>89</v>
      </c>
      <c r="B7" s="287" t="n">
        <f aca="false">Assumptions!C4</f>
        <v>527500000</v>
      </c>
      <c r="C7" s="287" t="n">
        <f aca="false">B7*$C$4</f>
        <v>469475000</v>
      </c>
      <c r="D7" s="286"/>
    </row>
    <row r="8" customFormat="false" ht="15" hidden="false" customHeight="true" outlineLevel="0" collapsed="false">
      <c r="A8" s="286" t="s">
        <v>1082</v>
      </c>
      <c r="B8" s="288" t="n">
        <f aca="false">Assumptions!C77</f>
        <v>1670</v>
      </c>
      <c r="C8" s="288" t="n">
        <f aca="false">ROUND(B8*$C$4,0)</f>
        <v>1486</v>
      </c>
      <c r="D8" s="286"/>
    </row>
    <row r="9" customFormat="false" ht="15" hidden="false" customHeight="true" outlineLevel="0" collapsed="false">
      <c r="A9" s="286" t="s">
        <v>206</v>
      </c>
      <c r="B9" s="287" t="n">
        <f aca="false">Assumptions!C78</f>
        <v>95570083.88</v>
      </c>
      <c r="C9" s="287" t="n">
        <f aca="false">B9*$C$4</f>
        <v>85057374.6532</v>
      </c>
      <c r="D9" s="286"/>
    </row>
    <row r="10" customFormat="false" ht="15" hidden="false" customHeight="true" outlineLevel="0" collapsed="false">
      <c r="A10" s="286" t="s">
        <v>1083</v>
      </c>
      <c r="B10" s="287" t="n">
        <f aca="false">Assumptions!C79</f>
        <v>452602220.2</v>
      </c>
      <c r="C10" s="287" t="n">
        <f aca="false">Assumptions!B79+(B10-Assumptions!B79)*$C$4</f>
        <v>405089929.4279</v>
      </c>
      <c r="D10" s="286" t="s">
        <v>1084</v>
      </c>
    </row>
    <row r="11" customFormat="false" ht="15" hidden="false" customHeight="true" outlineLevel="0" collapsed="false">
      <c r="A11" s="286" t="s">
        <v>1085</v>
      </c>
      <c r="B11" s="287" t="n">
        <f aca="false">Assumptions!C90</f>
        <v>370000000</v>
      </c>
      <c r="C11" s="287" t="n">
        <f aca="false">Assumptions!B90+(B11-Assumptions!B90)*$C$4</f>
        <v>329300000</v>
      </c>
      <c r="D11" s="286" t="s">
        <v>1086</v>
      </c>
    </row>
    <row r="13" customFormat="false" ht="21.75" hidden="false" customHeight="true" outlineLevel="0" collapsed="false">
      <c r="A13" s="337" t="s">
        <v>1087</v>
      </c>
      <c r="B13" s="337"/>
      <c r="C13" s="337"/>
      <c r="D13" s="337"/>
    </row>
    <row r="14" customFormat="false" ht="15" hidden="false" customHeight="true" outlineLevel="0" collapsed="false">
      <c r="A14" s="286" t="s">
        <v>208</v>
      </c>
      <c r="B14" s="287" t="n">
        <f aca="false">Assumptions!C80</f>
        <v>45873640.26</v>
      </c>
      <c r="C14" s="287" t="n">
        <f aca="false">B14*$C$4</f>
        <v>40827539.8314</v>
      </c>
      <c r="D14" s="286"/>
    </row>
    <row r="15" customFormat="false" ht="15" hidden="false" customHeight="true" outlineLevel="0" collapsed="false">
      <c r="A15" s="286" t="s">
        <v>209</v>
      </c>
      <c r="B15" s="287" t="n">
        <f aca="false">Assumptions!C81</f>
        <v>36925000</v>
      </c>
      <c r="C15" s="287" t="n">
        <f aca="false">B15*$C$4</f>
        <v>32863250</v>
      </c>
      <c r="D15" s="286"/>
    </row>
    <row r="16" customFormat="false" ht="15" hidden="false" customHeight="true" outlineLevel="0" collapsed="false">
      <c r="A16" s="286" t="s">
        <v>1088</v>
      </c>
      <c r="B16" s="287" t="n">
        <f aca="false">Assumptions!C82</f>
        <v>0</v>
      </c>
      <c r="C16" s="287" t="n">
        <f aca="false">B16*$C$4</f>
        <v>0</v>
      </c>
      <c r="D16" s="286"/>
    </row>
    <row r="17" customFormat="false" ht="15" hidden="false" customHeight="true" outlineLevel="0" collapsed="false">
      <c r="A17" s="286" t="s">
        <v>211</v>
      </c>
      <c r="B17" s="287" t="n">
        <f aca="false">Assumptions!C83</f>
        <v>37240500</v>
      </c>
      <c r="C17" s="287" t="n">
        <f aca="false">B17*$C$4</f>
        <v>33144045</v>
      </c>
      <c r="D17" s="286"/>
    </row>
    <row r="18" customFormat="false" ht="15" hidden="false" customHeight="true" outlineLevel="0" collapsed="false">
      <c r="A18" s="286" t="s">
        <v>481</v>
      </c>
      <c r="B18" s="287" t="n">
        <f aca="false">Assumptions!C84</f>
        <v>12957897.4833</v>
      </c>
      <c r="C18" s="287" t="n">
        <f aca="false">B18*$C$4</f>
        <v>11532528.760137</v>
      </c>
      <c r="D18" s="286"/>
    </row>
    <row r="19" customFormat="false" ht="15" hidden="false" customHeight="true" outlineLevel="0" collapsed="false">
      <c r="A19" s="286" t="s">
        <v>1089</v>
      </c>
      <c r="B19" s="287" t="n">
        <f aca="false">Assumptions!C85</f>
        <v>15618000</v>
      </c>
      <c r="C19" s="287" t="n">
        <f aca="false">B19</f>
        <v>15618000</v>
      </c>
      <c r="D19" s="286" t="s">
        <v>1090</v>
      </c>
    </row>
    <row r="20" customFormat="false" ht="15" hidden="false" customHeight="true" outlineLevel="0" collapsed="false">
      <c r="A20" s="286" t="s">
        <v>1091</v>
      </c>
      <c r="B20" s="287" t="n">
        <f aca="false">Assumptions!C86</f>
        <v>7413120</v>
      </c>
      <c r="C20" s="287" t="n">
        <f aca="false">B20</f>
        <v>7413120</v>
      </c>
      <c r="D20" s="286"/>
    </row>
    <row r="21" customFormat="false" ht="15" hidden="false" customHeight="true" outlineLevel="0" collapsed="false">
      <c r="A21" s="286" t="s">
        <v>1092</v>
      </c>
      <c r="B21" s="287" t="n">
        <f aca="false">Assumptions!C87</f>
        <v>0</v>
      </c>
      <c r="C21" s="287" t="n">
        <f aca="false">B21</f>
        <v>0</v>
      </c>
      <c r="D21" s="286"/>
    </row>
    <row r="22" customFormat="false" ht="15" hidden="false" customHeight="true" outlineLevel="0" collapsed="false">
      <c r="A22" s="286" t="s">
        <v>216</v>
      </c>
      <c r="B22" s="287" t="n">
        <f aca="false">Assumptions!C89</f>
        <v>9253616.07354998</v>
      </c>
      <c r="C22" s="287" t="n">
        <f aca="false">C14+C15+C16-C17-C18-C19-C20-C21</f>
        <v>5983096.07126299</v>
      </c>
      <c r="D22" s="286" t="s">
        <v>1093</v>
      </c>
    </row>
    <row r="24" customFormat="false" ht="21.75" hidden="false" customHeight="true" outlineLevel="0" collapsed="false">
      <c r="A24" s="337" t="s">
        <v>1094</v>
      </c>
      <c r="B24" s="337"/>
      <c r="C24" s="337"/>
      <c r="D24" s="337"/>
    </row>
    <row r="25" customFormat="false" ht="15" hidden="false" customHeight="true" outlineLevel="0" collapsed="false">
      <c r="A25" s="286" t="s">
        <v>1095</v>
      </c>
      <c r="B25" s="287" t="n">
        <f aca="false">Assumptions!C91</f>
        <v>75000000</v>
      </c>
      <c r="C25" s="287" t="n">
        <f aca="false">B25</f>
        <v>75000000</v>
      </c>
      <c r="D25" s="286" t="s">
        <v>1096</v>
      </c>
    </row>
    <row r="26" customFormat="false" ht="15" hidden="false" customHeight="true" outlineLevel="0" collapsed="false">
      <c r="A26" s="286" t="s">
        <v>1097</v>
      </c>
      <c r="B26" s="287" t="n">
        <f aca="false">'Regulatory Capital Plan'!C7</f>
        <v>76086745.31085</v>
      </c>
      <c r="C26" s="287" t="n">
        <f aca="false">C25+Assumptions!B92+C22</f>
        <v>72816225.308563</v>
      </c>
      <c r="D26" s="286" t="s">
        <v>1098</v>
      </c>
    </row>
    <row r="27" customFormat="false" ht="15" hidden="false" customHeight="true" outlineLevel="0" collapsed="false">
      <c r="A27" s="286" t="s">
        <v>1099</v>
      </c>
      <c r="B27" s="301" t="n">
        <f aca="false">B11/B26</f>
        <v>4.86287064177048</v>
      </c>
      <c r="C27" s="301" t="n">
        <f aca="false">C11/C26</f>
        <v>4.52234373046079</v>
      </c>
      <c r="D27" s="286" t="s">
        <v>1100</v>
      </c>
    </row>
    <row r="28" customFormat="false" ht="15" hidden="false" customHeight="true" outlineLevel="0" collapsed="false">
      <c r="A28" s="286" t="s">
        <v>1101</v>
      </c>
      <c r="B28" s="301" t="n">
        <f aca="false">4</f>
        <v>4</v>
      </c>
      <c r="C28" s="301" t="n">
        <f aca="false">4</f>
        <v>4</v>
      </c>
      <c r="D28" s="286" t="s">
        <v>1102</v>
      </c>
    </row>
    <row r="29" customFormat="false" ht="15" hidden="false" customHeight="true" outlineLevel="0" collapsed="false">
      <c r="A29" s="286" t="s">
        <v>465</v>
      </c>
      <c r="B29" s="286" t="str">
        <f aca="false">IF(B27&lt;=B28,"متوافق","فجوة")</f>
        <v>فجوة</v>
      </c>
      <c r="C29" s="286" t="str">
        <f aca="false">IF(C27&lt;=C28,"متوافق","فجوة")</f>
        <v>فجوة</v>
      </c>
      <c r="D29" s="286"/>
    </row>
    <row r="31" customFormat="false" ht="21.75" hidden="false" customHeight="true" outlineLevel="0" collapsed="false">
      <c r="A31" s="337" t="s">
        <v>1103</v>
      </c>
      <c r="B31" s="337"/>
      <c r="C31" s="337"/>
      <c r="D31" s="337"/>
    </row>
    <row r="32" customFormat="false" ht="15" hidden="false" customHeight="true" outlineLevel="0" collapsed="false">
      <c r="A32" s="286" t="s">
        <v>1104</v>
      </c>
      <c r="B32" s="287" t="n">
        <f aca="false">'Cash Flow'!B25</f>
        <v>3220917.99</v>
      </c>
      <c r="C32" s="287" t="n">
        <f aca="false">B32</f>
        <v>3220917.99</v>
      </c>
      <c r="D32" s="286"/>
    </row>
    <row r="33" customFormat="false" ht="15" hidden="false" customHeight="true" outlineLevel="0" collapsed="false">
      <c r="A33" s="286" t="s">
        <v>849</v>
      </c>
      <c r="B33" s="287" t="n">
        <f aca="false">'Cash Flow'!C11</f>
        <v>-408218402.55315</v>
      </c>
      <c r="C33" s="287" t="n">
        <f aca="false">C22+(C10*Assumptions!$B$31-'Balance Sheet'!B7)-(C10-Assumptions!B79)+(Assumptions!C100-Assumptions!B100)</f>
        <v>-365402000.5065</v>
      </c>
      <c r="D33" s="286"/>
    </row>
    <row r="34" customFormat="false" ht="15" hidden="false" customHeight="true" outlineLevel="0" collapsed="false">
      <c r="A34" s="286" t="s">
        <v>1105</v>
      </c>
      <c r="B34" s="287" t="n">
        <f aca="false">'Cash Flow'!C15</f>
        <v>-500000</v>
      </c>
      <c r="C34" s="287" t="n">
        <f aca="false">B34</f>
        <v>-500000</v>
      </c>
      <c r="D34" s="286"/>
    </row>
    <row r="35" customFormat="false" ht="15" hidden="false" customHeight="true" outlineLevel="0" collapsed="false">
      <c r="A35" s="286" t="s">
        <v>1106</v>
      </c>
      <c r="B35" s="287" t="n">
        <f aca="false">'Cash Flow'!C21</f>
        <v>415000000</v>
      </c>
      <c r="C35" s="287" t="n">
        <f aca="false">(C11-Assumptions!B90)+45000000</f>
        <v>374300000</v>
      </c>
      <c r="D35" s="286" t="s">
        <v>1107</v>
      </c>
    </row>
    <row r="36" customFormat="false" ht="15" hidden="false" customHeight="true" outlineLevel="0" collapsed="false">
      <c r="A36" s="286" t="s">
        <v>454</v>
      </c>
      <c r="B36" s="287" t="n">
        <f aca="false">B33+B34+B35</f>
        <v>6281597.44684994</v>
      </c>
      <c r="C36" s="287" t="n">
        <f aca="false">C33+C34+C35</f>
        <v>8397999.49349994</v>
      </c>
      <c r="D36" s="286"/>
    </row>
    <row r="37" customFormat="false" ht="15" hidden="false" customHeight="true" outlineLevel="0" collapsed="false">
      <c r="A37" s="286" t="s">
        <v>224</v>
      </c>
      <c r="B37" s="287" t="n">
        <f aca="false">B32+B36</f>
        <v>9502515.43684994</v>
      </c>
      <c r="C37" s="287" t="n">
        <f aca="false">C32+C36</f>
        <v>11618917.4834999</v>
      </c>
      <c r="D37" s="286"/>
    </row>
    <row r="38" customFormat="false" ht="15" hidden="false" customHeight="true" outlineLevel="0" collapsed="false">
      <c r="A38" s="286" t="s">
        <v>1108</v>
      </c>
      <c r="B38" s="287" t="n">
        <f aca="false">'Funding &amp; Liquidity'!C17</f>
        <v>16545765.2425</v>
      </c>
      <c r="C38" s="287" t="n">
        <f aca="false">(C19+C20+C17)/12+(C9*Assumptions!$B$32)/12+C11*(1-Assumptions!$C$102)*10%</f>
        <v>14936849.665825</v>
      </c>
      <c r="D38" s="286"/>
    </row>
    <row r="39" customFormat="false" ht="15" hidden="false" customHeight="true" outlineLevel="0" collapsed="false">
      <c r="A39" s="286" t="s">
        <v>1109</v>
      </c>
      <c r="B39" s="287" t="n">
        <f aca="false">MIN('Funding &amp; Liquidity'!C18,'Funding &amp; Liquidity'!C19)</f>
        <v>7964173.65666667</v>
      </c>
      <c r="C39" s="287" t="n">
        <f aca="false">MIN(C9/12,C38*90%)</f>
        <v>7088114.55443333</v>
      </c>
      <c r="D39" s="286"/>
    </row>
    <row r="40" customFormat="false" ht="15" hidden="false" customHeight="true" outlineLevel="0" collapsed="false">
      <c r="A40" s="286" t="s">
        <v>977</v>
      </c>
      <c r="B40" s="287" t="n">
        <f aca="false">MAX(1,B38-B39)</f>
        <v>8581591.58583333</v>
      </c>
      <c r="C40" s="287" t="n">
        <f aca="false">MAX(1,C38-C39)</f>
        <v>7848735.11139167</v>
      </c>
      <c r="D40" s="286"/>
    </row>
    <row r="41" customFormat="false" ht="15" hidden="false" customHeight="true" outlineLevel="0" collapsed="false">
      <c r="A41" s="286" t="s">
        <v>595</v>
      </c>
      <c r="B41" s="292" t="n">
        <f aca="false">B37/B40</f>
        <v>1.10731387549798</v>
      </c>
      <c r="C41" s="292" t="n">
        <f aca="false">C37/C40</f>
        <v>1.48035540996105</v>
      </c>
      <c r="D41" s="286"/>
    </row>
    <row r="42" customFormat="false" ht="15" hidden="false" customHeight="true" outlineLevel="0" collapsed="false">
      <c r="A42" s="286" t="s">
        <v>1110</v>
      </c>
      <c r="B42" s="286" t="str">
        <f aca="false">IF(B41&gt;=1,"استرشادي - بيانات آجال تعاقدية مطلوبة","فجوة تخطيطية")</f>
        <v>استرشادي - بيانات آجال تعاقدية مطلوبة</v>
      </c>
      <c r="C42" s="286" t="str">
        <f aca="false">IF(C41&gt;=1,"استرشادي - بيانات آجال تعاقدية مطلوبة","فجوة تخطيطية")</f>
        <v>استرشادي - بيانات آجال تعاقدية مطلوبة</v>
      </c>
      <c r="D42" s="286"/>
    </row>
    <row r="44" customFormat="false" ht="91.5" hidden="false" customHeight="true" outlineLevel="0" collapsed="false">
      <c r="A44" s="304" t="s">
        <v>1111</v>
      </c>
      <c r="B44" s="304"/>
      <c r="C44" s="304"/>
      <c r="D44" s="304"/>
    </row>
    <row r="46" customFormat="false" ht="60" hidden="false" customHeight="true" outlineLevel="0" collapsed="false">
      <c r="A46" s="304" t="s">
        <v>1112</v>
      </c>
      <c r="B46" s="304"/>
      <c r="C46" s="304"/>
      <c r="D46" s="304"/>
    </row>
    <row r="48" customFormat="false" ht="12" hidden="false" customHeight="true" outlineLevel="0" collapsed="false">
      <c r="A48" s="27" t="s">
        <v>1113</v>
      </c>
      <c r="B48" s="27"/>
      <c r="C48" s="27"/>
      <c r="D48" s="27"/>
    </row>
    <row r="49" customFormat="false" ht="15" hidden="false" customHeight="true" outlineLevel="0" collapsed="false">
      <c r="A49" s="286" t="s">
        <v>1114</v>
      </c>
      <c r="B49" s="287" t="n">
        <f aca="false">'Regulatory Capital Plan'!C19</f>
        <v>439024153.594</v>
      </c>
      <c r="C49" s="287" t="n">
        <f aca="false">C10*(1-Assumptions!$B$31)</f>
        <v>392937231.545063</v>
      </c>
    </row>
    <row r="50" customFormat="false" ht="15" hidden="false" customHeight="true" outlineLevel="0" collapsed="false">
      <c r="A50" s="286" t="s">
        <v>1115</v>
      </c>
      <c r="B50" s="287" t="n">
        <f aca="false">'Regulatory Capital Plan'!C28</f>
        <v>63134412.3694719</v>
      </c>
      <c r="C50" s="287" t="n">
        <f aca="false">'Regulatory Capital Plan'!C28</f>
        <v>63134412.3694719</v>
      </c>
      <c r="D50" s="286" t="s">
        <v>1116</v>
      </c>
    </row>
    <row r="51" customFormat="false" ht="15" hidden="false" customHeight="true" outlineLevel="0" collapsed="false">
      <c r="A51" s="286" t="s">
        <v>1117</v>
      </c>
      <c r="B51" s="287" t="n">
        <f aca="false">'Regulatory Capital Plan'!C30</f>
        <v>507218642.243472</v>
      </c>
      <c r="C51" s="287" t="n">
        <f aca="false">B49+C50+'Regulatory Capital Plan'!C29</f>
        <v>502158565.963472</v>
      </c>
    </row>
    <row r="52" customFormat="false" ht="15" hidden="false" customHeight="true" outlineLevel="0" collapsed="false">
      <c r="A52" s="286" t="s">
        <v>1118</v>
      </c>
      <c r="B52" s="293" t="n">
        <f aca="false">'Regulatory Capital Plan'!C31</f>
        <v>0.144327394961383</v>
      </c>
      <c r="C52" s="293" t="n">
        <f aca="false">IFERROR(C26/C51,0)</f>
        <v>0.145006438691041</v>
      </c>
    </row>
    <row r="53" customFormat="false" ht="15" hidden="false" customHeight="true" outlineLevel="0" collapsed="false">
      <c r="A53" s="286" t="s">
        <v>1119</v>
      </c>
      <c r="B53" s="286" t="str">
        <f aca="false">IF(B52&gt;=12%,"استرشادي - اعتماد مدخلات رقابية مطلوب","فجوة تخطيطية")</f>
        <v>استرشادي - اعتماد مدخلات رقابية مطلوب</v>
      </c>
      <c r="C53" s="286" t="str">
        <f aca="false">IF(C52&gt;=12%,"استرشادي - اعتماد مدخلات رقابية مطلوب","فجوة تخطيطية")</f>
        <v>استرشادي - اعتماد مدخلات رقابية مطلوب</v>
      </c>
    </row>
    <row r="55" customFormat="false" ht="15" hidden="false" customHeight="true" outlineLevel="0" collapsed="false">
      <c r="A55" s="286" t="s">
        <v>1120</v>
      </c>
      <c r="B55" s="293" t="n">
        <f aca="false">'Funding &amp; Liquidity'!C35</f>
        <v>1.07785194045871</v>
      </c>
      <c r="C55" s="293" t="n">
        <f aca="false">IFERROR((C26+'Balance Sheet'!C14*Assumptions!$C$102+'Balance Sheet'!C14*10%*75%+'Balance Sheet'!C14*MAX(0,1-Assumptions!$C$102-10%)*50%+'Balance Sheet'!C15*50%)/(C10*Assumptions!$B$31*0+C10*70%+C10*20%*75%+C10*10%*50%+'Balance Sheet'!C9+'Balance Sheet'!C10),0)</f>
        <v>1.15805933466744</v>
      </c>
    </row>
    <row r="56" customFormat="false" ht="15" hidden="false" customHeight="true" outlineLevel="0" collapsed="false">
      <c r="A56" s="286" t="s">
        <v>1121</v>
      </c>
      <c r="B56" s="286" t="str">
        <f aca="false">IF(B55&gt;=100%,"استرشادي - بيانات آجال تعاقدية مطلوبة","فجوة تخطيطية")</f>
        <v>استرشادي - بيانات آجال تعاقدية مطلوبة</v>
      </c>
      <c r="C56" s="286" t="str">
        <f aca="false">IF(C55&gt;=100%,"استرشادي - بيانات آجال تعاقدية مطلوبة","فجوة تخطيطية")</f>
        <v>استرشادي - بيانات آجال تعاقدية مطلوبة</v>
      </c>
    </row>
    <row r="58" customFormat="false" ht="34.5" hidden="false" customHeight="true" outlineLevel="0" collapsed="false">
      <c r="A58" s="304" t="s">
        <v>1122</v>
      </c>
      <c r="B58" s="304"/>
      <c r="C58" s="304"/>
      <c r="D58" s="304"/>
    </row>
  </sheetData>
  <mergeCells count="5">
    <mergeCell ref="A1:D1"/>
    <mergeCell ref="A44:D44"/>
    <mergeCell ref="A46:D46"/>
    <mergeCell ref="A48:D48"/>
    <mergeCell ref="A58:D58"/>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8"/>
    <col collapsed="false" customWidth="true" hidden="false" outlineLevel="0" max="3" min="2" style="1" width="20"/>
    <col collapsed="false" customWidth="true" hidden="false" outlineLevel="0" max="4" min="4" style="1" width="40"/>
  </cols>
  <sheetData>
    <row r="1" customFormat="false" ht="31.5" hidden="false" customHeight="true" outlineLevel="0" collapsed="false">
      <c r="A1" s="283" t="s">
        <v>1123</v>
      </c>
      <c r="B1" s="283"/>
      <c r="C1" s="283"/>
      <c r="D1" s="283"/>
    </row>
    <row r="3" customFormat="false" ht="30" hidden="false" customHeight="true" outlineLevel="0" collapsed="false">
      <c r="A3" s="284" t="s">
        <v>83</v>
      </c>
      <c r="B3" s="284" t="s">
        <v>1124</v>
      </c>
      <c r="C3" s="284" t="s">
        <v>1125</v>
      </c>
      <c r="D3" s="284" t="s">
        <v>1078</v>
      </c>
    </row>
    <row r="4" customFormat="false" ht="43.5" hidden="false" customHeight="true" outlineLevel="0" collapsed="false">
      <c r="A4" s="286" t="s">
        <v>1126</v>
      </c>
      <c r="B4" s="286"/>
      <c r="C4" s="66" t="n">
        <v>1</v>
      </c>
      <c r="D4" s="286" t="s">
        <v>1127</v>
      </c>
    </row>
    <row r="6" customFormat="false" ht="21.75" hidden="false" customHeight="true" outlineLevel="0" collapsed="false">
      <c r="A6" s="337" t="s">
        <v>1128</v>
      </c>
      <c r="B6" s="337"/>
      <c r="C6" s="337"/>
      <c r="D6" s="337"/>
    </row>
    <row r="7" customFormat="false" ht="15" hidden="false" customHeight="true" outlineLevel="0" collapsed="false">
      <c r="A7" s="286" t="s">
        <v>1129</v>
      </c>
      <c r="B7" s="287" t="n">
        <f aca="false">'Regulatory Capital Plan'!C12</f>
        <v>370000000</v>
      </c>
      <c r="C7" s="287" t="n">
        <f aca="false">B7</f>
        <v>370000000</v>
      </c>
      <c r="D7" s="286" t="s">
        <v>1130</v>
      </c>
    </row>
    <row r="8" customFormat="false" ht="15" hidden="false" customHeight="true" outlineLevel="0" collapsed="false">
      <c r="A8" s="286" t="s">
        <v>1131</v>
      </c>
      <c r="B8" s="287" t="n">
        <f aca="false">'Regulatory Capital Plan'!C10</f>
        <v>73205545.31085</v>
      </c>
      <c r="C8" s="287" t="n">
        <f aca="false">IF(C4=1,'Regulatory Capital Plan'!C7,'Regulatory Capital Plan'!C10)</f>
        <v>76086745.31085</v>
      </c>
      <c r="D8" s="286" t="s">
        <v>1132</v>
      </c>
    </row>
    <row r="10" customFormat="false" ht="21.75" hidden="false" customHeight="true" outlineLevel="0" collapsed="false">
      <c r="A10" s="337" t="s">
        <v>1133</v>
      </c>
      <c r="B10" s="337"/>
      <c r="C10" s="337"/>
      <c r="D10" s="337"/>
    </row>
    <row r="11" customFormat="false" ht="15" hidden="false" customHeight="true" outlineLevel="0" collapsed="false">
      <c r="A11" s="286" t="s">
        <v>1134</v>
      </c>
      <c r="B11" s="301" t="n">
        <f aca="false">'Regulatory Capital Plan'!C14</f>
        <v>4</v>
      </c>
      <c r="C11" s="301" t="n">
        <f aca="false">IF(C4=1,4,9)</f>
        <v>4</v>
      </c>
      <c r="D11" s="286" t="s">
        <v>1135</v>
      </c>
    </row>
    <row r="12" customFormat="false" ht="15" hidden="false" customHeight="true" outlineLevel="0" collapsed="false">
      <c r="A12" s="286" t="s">
        <v>1136</v>
      </c>
      <c r="B12" s="301" t="n">
        <f aca="false">B7/B8</f>
        <v>5.05426192003465</v>
      </c>
      <c r="C12" s="301" t="n">
        <f aca="false">B7/C8</f>
        <v>4.86287064177048</v>
      </c>
      <c r="D12" s="286" t="s">
        <v>1137</v>
      </c>
    </row>
    <row r="13" customFormat="false" ht="15" hidden="false" customHeight="true" outlineLevel="0" collapsed="false">
      <c r="A13" s="286" t="s">
        <v>1138</v>
      </c>
      <c r="B13" s="286" t="str">
        <f aca="false">IF(B12&lt;=B11,"متوافق","فجوة")</f>
        <v>فجوة</v>
      </c>
      <c r="C13" s="286" t="str">
        <f aca="false">IF(C12&lt;=C11,"متوافق","فجوة")</f>
        <v>فجوة</v>
      </c>
      <c r="D13" s="286"/>
    </row>
    <row r="15" customFormat="false" ht="21.75" hidden="false" customHeight="true" outlineLevel="0" collapsed="false">
      <c r="A15" s="337" t="s">
        <v>1139</v>
      </c>
      <c r="B15" s="337"/>
      <c r="C15" s="337"/>
      <c r="D15" s="337"/>
    </row>
    <row r="16" customFormat="false" ht="15" hidden="false" customHeight="true" outlineLevel="0" collapsed="false">
      <c r="A16" s="286" t="s">
        <v>1140</v>
      </c>
      <c r="B16" s="287" t="n">
        <f aca="false">B7/B11</f>
        <v>92500000</v>
      </c>
      <c r="C16" s="287" t="n">
        <f aca="false">B7/C11</f>
        <v>92500000</v>
      </c>
      <c r="D16" s="286" t="s">
        <v>1141</v>
      </c>
    </row>
    <row r="17" customFormat="false" ht="15" hidden="false" customHeight="true" outlineLevel="0" collapsed="false">
      <c r="A17" s="286" t="s">
        <v>1142</v>
      </c>
      <c r="B17" s="287" t="n">
        <f aca="false">MAX(0,B16-B8)</f>
        <v>19294454.68915</v>
      </c>
      <c r="C17" s="287" t="n">
        <f aca="false">MAX(0,C16-C8)</f>
        <v>16413254.68915</v>
      </c>
      <c r="D17" s="286"/>
    </row>
    <row r="18" customFormat="false" ht="42" hidden="false" customHeight="true" outlineLevel="0" collapsed="false">
      <c r="A18" s="304" t="s">
        <v>1143</v>
      </c>
      <c r="B18" s="287" t="n">
        <f aca="false">B17</f>
        <v>19294454.68915</v>
      </c>
      <c r="C18" s="287" t="n">
        <f aca="false">C17</f>
        <v>16413254.68915</v>
      </c>
      <c r="D18" s="304"/>
    </row>
    <row r="19" customFormat="false" ht="42" hidden="false" customHeight="true" outlineLevel="0" collapsed="false">
      <c r="A19" s="304" t="s">
        <v>1144</v>
      </c>
      <c r="B19" s="67" t="n">
        <v>0</v>
      </c>
      <c r="C19" s="67" t="n">
        <f aca="false">C18</f>
        <v>16413254.68915</v>
      </c>
      <c r="D19" s="304" t="s">
        <v>1145</v>
      </c>
    </row>
    <row r="20" customFormat="false" ht="23.25" hidden="false" customHeight="true" outlineLevel="0" collapsed="false">
      <c r="A20" s="113" t="s">
        <v>1146</v>
      </c>
      <c r="B20" s="113"/>
      <c r="C20" s="113" t="n">
        <f aca="false">MAX(0,C7-C11*C8)</f>
        <v>65653018.7566001</v>
      </c>
      <c r="D20" s="113" t="s">
        <v>1147</v>
      </c>
    </row>
    <row r="21" customFormat="false" ht="21.75" hidden="false" customHeight="true" outlineLevel="0" collapsed="false">
      <c r="A21" s="337" t="s">
        <v>1148</v>
      </c>
      <c r="B21" s="337"/>
      <c r="C21" s="337"/>
      <c r="D21" s="337"/>
    </row>
    <row r="22" customFormat="false" ht="15" hidden="false" customHeight="true" outlineLevel="0" collapsed="false">
      <c r="A22" s="286" t="s">
        <v>1149</v>
      </c>
      <c r="B22" s="287" t="n">
        <f aca="false">B8+B19</f>
        <v>73205545.31085</v>
      </c>
      <c r="C22" s="287" t="n">
        <f aca="false">C8+C19</f>
        <v>92500000</v>
      </c>
      <c r="D22" s="286"/>
    </row>
    <row r="23" customFormat="false" ht="15" hidden="false" customHeight="true" outlineLevel="0" collapsed="false">
      <c r="A23" s="286" t="s">
        <v>1150</v>
      </c>
      <c r="B23" s="301" t="n">
        <f aca="false">B7/B22</f>
        <v>5.05426192003465</v>
      </c>
      <c r="C23" s="301" t="n">
        <f aca="false">B7/C22</f>
        <v>4</v>
      </c>
      <c r="D23" s="286"/>
    </row>
    <row r="24" customFormat="false" ht="15" hidden="false" customHeight="true" outlineLevel="0" collapsed="false">
      <c r="A24" s="286" t="s">
        <v>1151</v>
      </c>
      <c r="B24" s="286" t="str">
        <f aca="false">IF(B23&lt;=B11,"متوافق","فجوة")</f>
        <v>فجوة</v>
      </c>
      <c r="C24" s="286" t="str">
        <f aca="false">IF(C23&lt;=C11,"متوافق","فجوة")</f>
        <v>متوافق</v>
      </c>
      <c r="D24" s="286"/>
    </row>
    <row r="26" customFormat="false" ht="21.75" hidden="false" customHeight="true" outlineLevel="0" collapsed="false">
      <c r="A26" s="337" t="s">
        <v>1152</v>
      </c>
      <c r="B26" s="337"/>
      <c r="C26" s="337"/>
      <c r="D26" s="337"/>
    </row>
    <row r="27" customFormat="false" ht="15" hidden="false" customHeight="true" outlineLevel="0" collapsed="false">
      <c r="A27" s="286" t="s">
        <v>1153</v>
      </c>
      <c r="B27" s="287" t="n">
        <f aca="false">'Funding &amp; Liquidity'!C16</f>
        <v>9502515.43684994</v>
      </c>
      <c r="C27" s="287" t="n">
        <f aca="false">B27</f>
        <v>9502515.43684994</v>
      </c>
      <c r="D27" s="286"/>
    </row>
    <row r="28" customFormat="false" ht="15" hidden="false" customHeight="true" outlineLevel="0" collapsed="false">
      <c r="A28" s="286" t="s">
        <v>1154</v>
      </c>
      <c r="B28" s="287" t="n">
        <f aca="false">B27+B19</f>
        <v>9502515.43684994</v>
      </c>
      <c r="C28" s="287" t="n">
        <f aca="false">B27+C19</f>
        <v>25915770.126</v>
      </c>
      <c r="D28" s="286"/>
    </row>
    <row r="29" customFormat="false" ht="15" hidden="false" customHeight="true" outlineLevel="0" collapsed="false">
      <c r="A29" s="286" t="s">
        <v>1155</v>
      </c>
      <c r="B29" s="287" t="n">
        <f aca="false">'Funding &amp; Liquidity'!C20</f>
        <v>8581591.58583333</v>
      </c>
      <c r="C29" s="287" t="n">
        <f aca="false">B29</f>
        <v>8581591.58583333</v>
      </c>
      <c r="D29" s="286"/>
    </row>
    <row r="30" customFormat="false" ht="15" hidden="false" customHeight="true" outlineLevel="0" collapsed="false">
      <c r="A30" s="286" t="s">
        <v>1156</v>
      </c>
      <c r="B30" s="292" t="n">
        <f aca="false">B27/B29</f>
        <v>1.10731387549798</v>
      </c>
      <c r="C30" s="292" t="n">
        <f aca="false">B27/C29</f>
        <v>1.10731387549798</v>
      </c>
      <c r="D30" s="286"/>
    </row>
    <row r="31" customFormat="false" ht="15" hidden="false" customHeight="true" outlineLevel="0" collapsed="false">
      <c r="A31" s="286" t="s">
        <v>1157</v>
      </c>
      <c r="B31" s="292" t="n">
        <f aca="false">B28/B29</f>
        <v>1.10731387549798</v>
      </c>
      <c r="C31" s="292" t="n">
        <f aca="false">C28/C29</f>
        <v>3.01992583389569</v>
      </c>
      <c r="D31" s="286" t="s">
        <v>1158</v>
      </c>
    </row>
    <row r="32" customFormat="false" ht="15" hidden="false" customHeight="true" outlineLevel="0" collapsed="false">
      <c r="A32" s="286" t="s">
        <v>1159</v>
      </c>
      <c r="B32" s="286" t="str">
        <f aca="false">IF(B31&gt;=1,"استرشادي - بيانات آجال تعاقدية مطلوبة","فجوة تخطيطية")</f>
        <v>استرشادي - بيانات آجال تعاقدية مطلوبة</v>
      </c>
      <c r="C32" s="286" t="str">
        <f aca="false">IF(C31&gt;=1,"استرشادي - بيانات آجال تعاقدية مطلوبة","فجوة تخطيطية")</f>
        <v>استرشادي - بيانات آجال تعاقدية مطلوبة</v>
      </c>
      <c r="D32" s="286"/>
    </row>
    <row r="34" customFormat="false" ht="99.75" hidden="false" customHeight="true" outlineLevel="0" collapsed="false">
      <c r="A34" s="304" t="s">
        <v>1160</v>
      </c>
      <c r="B34" s="304"/>
      <c r="C34" s="304"/>
      <c r="D34" s="304"/>
    </row>
    <row r="36" customFormat="false" ht="69.75" hidden="false" customHeight="true" outlineLevel="0" collapsed="false">
      <c r="A36" s="304" t="s">
        <v>1161</v>
      </c>
      <c r="B36" s="304"/>
      <c r="C36" s="304"/>
      <c r="D36" s="304"/>
    </row>
    <row r="38" customFormat="false" ht="12" hidden="false" customHeight="true" outlineLevel="0" collapsed="false">
      <c r="A38" s="27" t="s">
        <v>1162</v>
      </c>
      <c r="B38" s="27"/>
      <c r="C38" s="27"/>
      <c r="D38" s="27"/>
    </row>
    <row r="39" customFormat="false" ht="15" hidden="false" customHeight="true" outlineLevel="0" collapsed="false">
      <c r="A39" s="1" t="s">
        <v>1163</v>
      </c>
      <c r="B39" s="293" t="n">
        <f aca="false">'Regulatory Capital Plan'!C31</f>
        <v>0.144327394961383</v>
      </c>
      <c r="C39" s="293" t="n">
        <f aca="false">'Regulatory Capital Plan'!C31</f>
        <v>0.144327394961383</v>
      </c>
    </row>
    <row r="40" customFormat="false" ht="15" hidden="false" customHeight="true" outlineLevel="0" collapsed="false">
      <c r="A40" s="1" t="s">
        <v>1164</v>
      </c>
      <c r="B40" s="293" t="n">
        <f aca="false">('Regulatory Capital Plan'!C10+B19)/'Regulatory Capital Plan'!$C$30</f>
        <v>0.144327394961383</v>
      </c>
      <c r="C40" s="293" t="n">
        <f aca="false">('Regulatory Capital Plan'!C10+C19)/'Regulatory Capital Plan'!$C$30</f>
        <v>0.176686723507654</v>
      </c>
    </row>
    <row r="41" customFormat="false" ht="15" hidden="false" customHeight="true" outlineLevel="0" collapsed="false">
      <c r="A41" s="286" t="s">
        <v>1165</v>
      </c>
      <c r="B41" s="286" t="str">
        <f aca="false">IF(B40&gt;=12%,"استرشادي - اعتماد مدخلات رقابية مطلوب","فجوة تخطيطية")</f>
        <v>استرشادي - اعتماد مدخلات رقابية مطلوب</v>
      </c>
      <c r="C41" s="286" t="str">
        <f aca="false">IF(C40&gt;=12%,"استرشادي - اعتماد مدخلات رقابية مطلوب","فجوة تخطيطية")</f>
        <v>استرشادي - اعتماد مدخلات رقابية مطلوب</v>
      </c>
    </row>
    <row r="43" customFormat="false" ht="12" hidden="false" customHeight="true" outlineLevel="0" collapsed="false">
      <c r="A43" s="27" t="s">
        <v>1166</v>
      </c>
      <c r="B43" s="27"/>
      <c r="C43" s="27"/>
      <c r="D43" s="27"/>
    </row>
    <row r="44" customFormat="false" ht="12" hidden="false" customHeight="true" outlineLevel="0" collapsed="false">
      <c r="A44" s="286" t="s">
        <v>1167</v>
      </c>
      <c r="B44" s="286"/>
      <c r="C44" s="286"/>
      <c r="D44" s="286"/>
    </row>
  </sheetData>
  <mergeCells count="6">
    <mergeCell ref="A1:D1"/>
    <mergeCell ref="A34:D34"/>
    <mergeCell ref="A36:D36"/>
    <mergeCell ref="A38:D38"/>
    <mergeCell ref="A43:D43"/>
    <mergeCell ref="A44:D44"/>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5"/>
    <col collapsed="false" customWidth="true" hidden="false" outlineLevel="0" max="2" min="2" style="1" width="39"/>
    <col collapsed="false" customWidth="true" hidden="false" outlineLevel="0" max="3" min="3" style="1" width="58"/>
    <col collapsed="false" customWidth="true" hidden="false" outlineLevel="0" max="4" min="4" style="1" width="25"/>
  </cols>
  <sheetData>
    <row r="1" customFormat="false" ht="33.75" hidden="false" customHeight="true" outlineLevel="0" collapsed="false">
      <c r="A1" s="310" t="s">
        <v>1168</v>
      </c>
      <c r="B1" s="310"/>
      <c r="C1" s="310"/>
      <c r="D1" s="310"/>
    </row>
    <row r="2" customFormat="false" ht="15" hidden="false" customHeight="true" outlineLevel="0" collapsed="false">
      <c r="A2" s="113"/>
      <c r="B2" s="113"/>
      <c r="C2" s="113"/>
      <c r="D2" s="113"/>
    </row>
    <row r="3" customFormat="false" ht="30" hidden="false" customHeight="true" outlineLevel="0" collapsed="false">
      <c r="A3" s="315" t="s">
        <v>1169</v>
      </c>
      <c r="B3" s="315" t="s">
        <v>1170</v>
      </c>
      <c r="C3" s="315" t="s">
        <v>1171</v>
      </c>
      <c r="D3" s="315" t="s">
        <v>1172</v>
      </c>
    </row>
    <row r="4" customFormat="false" ht="15" hidden="false" customHeight="true" outlineLevel="0" collapsed="false">
      <c r="A4" s="113"/>
      <c r="B4" s="113"/>
      <c r="C4" s="113"/>
      <c r="D4" s="113"/>
    </row>
    <row r="5" customFormat="false" ht="24" hidden="false" customHeight="true" outlineLevel="0" collapsed="false">
      <c r="A5" s="338" t="s">
        <v>1173</v>
      </c>
      <c r="B5" s="338"/>
      <c r="C5" s="338"/>
      <c r="D5" s="338"/>
    </row>
    <row r="6" customFormat="false" ht="49.5" hidden="false" customHeight="true" outlineLevel="0" collapsed="false">
      <c r="A6" s="339" t="n">
        <v>1</v>
      </c>
      <c r="B6" s="340" t="s">
        <v>1174</v>
      </c>
      <c r="C6" s="340" t="s">
        <v>1175</v>
      </c>
      <c r="D6" s="341" t="s">
        <v>40</v>
      </c>
    </row>
    <row r="7" customFormat="false" ht="49.5" hidden="false" customHeight="true" outlineLevel="0" collapsed="false">
      <c r="A7" s="339" t="n">
        <v>2</v>
      </c>
      <c r="B7" s="340" t="s">
        <v>1176</v>
      </c>
      <c r="C7" s="340" t="s">
        <v>1177</v>
      </c>
      <c r="D7" s="341" t="s">
        <v>42</v>
      </c>
    </row>
    <row r="8" customFormat="false" ht="49.5" hidden="false" customHeight="true" outlineLevel="0" collapsed="false">
      <c r="A8" s="339" t="n">
        <v>3</v>
      </c>
      <c r="B8" s="340" t="s">
        <v>1178</v>
      </c>
      <c r="C8" s="340" t="s">
        <v>1179</v>
      </c>
      <c r="D8" s="341" t="s">
        <v>44</v>
      </c>
    </row>
    <row r="9" customFormat="false" ht="69.75" hidden="false" customHeight="true" outlineLevel="0" collapsed="false">
      <c r="A9" s="339" t="n">
        <v>4</v>
      </c>
      <c r="B9" s="340" t="s">
        <v>1180</v>
      </c>
      <c r="C9" s="340" t="s">
        <v>1181</v>
      </c>
      <c r="D9" s="341" t="s">
        <v>20</v>
      </c>
    </row>
    <row r="10" customFormat="false" ht="49.5" hidden="false" customHeight="true" outlineLevel="0" collapsed="false">
      <c r="A10" s="339" t="n">
        <v>5</v>
      </c>
      <c r="B10" s="340" t="s">
        <v>1182</v>
      </c>
      <c r="C10" s="340" t="s">
        <v>1183</v>
      </c>
      <c r="D10" s="341" t="s">
        <v>20</v>
      </c>
    </row>
    <row r="11" customFormat="false" ht="49.5" hidden="false" customHeight="true" outlineLevel="0" collapsed="false">
      <c r="A11" s="339" t="n">
        <v>6</v>
      </c>
      <c r="B11" s="340" t="s">
        <v>1184</v>
      </c>
      <c r="C11" s="340" t="s">
        <v>1185</v>
      </c>
      <c r="D11" s="341" t="s">
        <v>28</v>
      </c>
    </row>
    <row r="12" customFormat="false" ht="69.75" hidden="false" customHeight="true" outlineLevel="0" collapsed="false">
      <c r="A12" s="339" t="n">
        <v>7</v>
      </c>
      <c r="B12" s="340" t="s">
        <v>1186</v>
      </c>
      <c r="C12" s="340" t="s">
        <v>1187</v>
      </c>
      <c r="D12" s="341" t="s">
        <v>26</v>
      </c>
    </row>
    <row r="13" customFormat="false" ht="15" hidden="false" customHeight="true" outlineLevel="0" collapsed="false">
      <c r="A13" s="342"/>
      <c r="B13" s="342"/>
      <c r="C13" s="342"/>
      <c r="D13" s="342"/>
    </row>
    <row r="14" customFormat="false" ht="24" hidden="false" customHeight="true" outlineLevel="0" collapsed="false">
      <c r="A14" s="338" t="s">
        <v>1188</v>
      </c>
      <c r="B14" s="338"/>
      <c r="C14" s="338"/>
      <c r="D14" s="338"/>
    </row>
    <row r="15" customFormat="false" ht="57.75" hidden="false" customHeight="true" outlineLevel="0" collapsed="false">
      <c r="A15" s="339" t="n">
        <v>8</v>
      </c>
      <c r="B15" s="340" t="s">
        <v>1189</v>
      </c>
      <c r="C15" s="340" t="s">
        <v>1190</v>
      </c>
      <c r="D15" s="341" t="s">
        <v>22</v>
      </c>
    </row>
    <row r="16" customFormat="false" ht="57.75" hidden="false" customHeight="true" outlineLevel="0" collapsed="false">
      <c r="A16" s="339" t="n">
        <v>9</v>
      </c>
      <c r="B16" s="340" t="s">
        <v>1191</v>
      </c>
      <c r="C16" s="340" t="s">
        <v>1192</v>
      </c>
      <c r="D16" s="341" t="s">
        <v>22</v>
      </c>
    </row>
    <row r="17" customFormat="false" ht="49.5" hidden="false" customHeight="true" outlineLevel="0" collapsed="false">
      <c r="A17" s="339" t="n">
        <v>10</v>
      </c>
      <c r="B17" s="340" t="s">
        <v>1193</v>
      </c>
      <c r="C17" s="340" t="s">
        <v>1194</v>
      </c>
      <c r="D17" s="341" t="s">
        <v>22</v>
      </c>
    </row>
    <row r="18" customFormat="false" ht="57.75" hidden="false" customHeight="true" outlineLevel="0" collapsed="false">
      <c r="A18" s="339" t="n">
        <v>11</v>
      </c>
      <c r="B18" s="340" t="s">
        <v>1195</v>
      </c>
      <c r="C18" s="340" t="s">
        <v>1196</v>
      </c>
      <c r="D18" s="341" t="s">
        <v>48</v>
      </c>
    </row>
    <row r="19" customFormat="false" ht="57.75" hidden="false" customHeight="true" outlineLevel="0" collapsed="false">
      <c r="A19" s="339" t="n">
        <v>12</v>
      </c>
      <c r="B19" s="340" t="s">
        <v>1197</v>
      </c>
      <c r="C19" s="340" t="s">
        <v>1198</v>
      </c>
      <c r="D19" s="341" t="s">
        <v>68</v>
      </c>
    </row>
    <row r="20" customFormat="false" ht="57.75" hidden="false" customHeight="true" outlineLevel="0" collapsed="false">
      <c r="A20" s="339" t="n">
        <v>13</v>
      </c>
      <c r="B20" s="340" t="s">
        <v>1199</v>
      </c>
      <c r="C20" s="340" t="s">
        <v>1200</v>
      </c>
      <c r="D20" s="341" t="s">
        <v>68</v>
      </c>
    </row>
    <row r="21" customFormat="false" ht="57.75" hidden="false" customHeight="true" outlineLevel="0" collapsed="false">
      <c r="A21" s="339" t="n">
        <v>14</v>
      </c>
      <c r="B21" s="340" t="s">
        <v>1201</v>
      </c>
      <c r="C21" s="340" t="s">
        <v>1202</v>
      </c>
      <c r="D21" s="341" t="s">
        <v>22</v>
      </c>
    </row>
    <row r="22" customFormat="false" ht="69.75" hidden="false" customHeight="true" outlineLevel="0" collapsed="false">
      <c r="A22" s="339" t="n">
        <v>15</v>
      </c>
      <c r="B22" s="340" t="s">
        <v>1203</v>
      </c>
      <c r="C22" s="340" t="s">
        <v>1204</v>
      </c>
      <c r="D22" s="341" t="s">
        <v>46</v>
      </c>
    </row>
    <row r="23" customFormat="false" ht="49.5" hidden="false" customHeight="true" outlineLevel="0" collapsed="false">
      <c r="A23" s="339" t="n">
        <v>16</v>
      </c>
      <c r="B23" s="340" t="s">
        <v>1205</v>
      </c>
      <c r="C23" s="340" t="s">
        <v>1206</v>
      </c>
      <c r="D23" s="341" t="s">
        <v>30</v>
      </c>
    </row>
    <row r="24" customFormat="false" ht="15" hidden="false" customHeight="true" outlineLevel="0" collapsed="false">
      <c r="A24" s="342"/>
      <c r="B24" s="342"/>
      <c r="C24" s="342"/>
      <c r="D24" s="342"/>
    </row>
    <row r="25" customFormat="false" ht="24" hidden="false" customHeight="true" outlineLevel="0" collapsed="false">
      <c r="A25" s="338" t="s">
        <v>1207</v>
      </c>
      <c r="B25" s="338"/>
      <c r="C25" s="338"/>
      <c r="D25" s="338"/>
    </row>
    <row r="26" customFormat="false" ht="57.75" hidden="false" customHeight="true" outlineLevel="0" collapsed="false">
      <c r="A26" s="339" t="n">
        <v>17</v>
      </c>
      <c r="B26" s="340" t="s">
        <v>1208</v>
      </c>
      <c r="C26" s="340" t="s">
        <v>1209</v>
      </c>
      <c r="D26" s="341" t="s">
        <v>48</v>
      </c>
    </row>
    <row r="27" customFormat="false" ht="57.75" hidden="false" customHeight="true" outlineLevel="0" collapsed="false">
      <c r="A27" s="339" t="n">
        <v>18</v>
      </c>
      <c r="B27" s="340" t="s">
        <v>1210</v>
      </c>
      <c r="C27" s="340" t="s">
        <v>1211</v>
      </c>
      <c r="D27" s="341" t="s">
        <v>48</v>
      </c>
    </row>
    <row r="28" customFormat="false" ht="57.75" hidden="false" customHeight="true" outlineLevel="0" collapsed="false">
      <c r="A28" s="339" t="n">
        <v>19</v>
      </c>
      <c r="B28" s="340" t="s">
        <v>1212</v>
      </c>
      <c r="C28" s="340" t="s">
        <v>1213</v>
      </c>
      <c r="D28" s="341" t="s">
        <v>48</v>
      </c>
    </row>
    <row r="29" customFormat="false" ht="57.75" hidden="false" customHeight="true" outlineLevel="0" collapsed="false">
      <c r="A29" s="339" t="n">
        <v>20</v>
      </c>
      <c r="B29" s="340" t="s">
        <v>1214</v>
      </c>
      <c r="C29" s="340" t="s">
        <v>1215</v>
      </c>
      <c r="D29" s="341" t="s">
        <v>48</v>
      </c>
    </row>
    <row r="30" customFormat="false" ht="57.75" hidden="false" customHeight="true" outlineLevel="0" collapsed="false">
      <c r="A30" s="339" t="n">
        <v>21</v>
      </c>
      <c r="B30" s="340" t="s">
        <v>1216</v>
      </c>
      <c r="C30" s="340" t="s">
        <v>1217</v>
      </c>
      <c r="D30" s="341" t="s">
        <v>48</v>
      </c>
    </row>
    <row r="31" customFormat="false" ht="57.75" hidden="false" customHeight="true" outlineLevel="0" collapsed="false">
      <c r="A31" s="339" t="n">
        <v>22</v>
      </c>
      <c r="B31" s="340" t="s">
        <v>1218</v>
      </c>
      <c r="C31" s="340" t="s">
        <v>1219</v>
      </c>
      <c r="D31" s="341" t="s">
        <v>48</v>
      </c>
    </row>
    <row r="32" customFormat="false" ht="57.75" hidden="false" customHeight="true" outlineLevel="0" collapsed="false">
      <c r="A32" s="339" t="n">
        <v>23</v>
      </c>
      <c r="B32" s="340" t="s">
        <v>1220</v>
      </c>
      <c r="C32" s="340" t="s">
        <v>1221</v>
      </c>
      <c r="D32" s="341" t="s">
        <v>48</v>
      </c>
    </row>
    <row r="33" customFormat="false" ht="57.75" hidden="false" customHeight="true" outlineLevel="0" collapsed="false">
      <c r="A33" s="339" t="n">
        <v>24</v>
      </c>
      <c r="B33" s="340" t="s">
        <v>1222</v>
      </c>
      <c r="C33" s="340" t="s">
        <v>1223</v>
      </c>
      <c r="D33" s="341" t="s">
        <v>56</v>
      </c>
    </row>
    <row r="34" customFormat="false" ht="57.75" hidden="false" customHeight="true" outlineLevel="0" collapsed="false">
      <c r="A34" s="339" t="n">
        <v>25</v>
      </c>
      <c r="B34" s="340" t="s">
        <v>1224</v>
      </c>
      <c r="C34" s="340" t="s">
        <v>1225</v>
      </c>
      <c r="D34" s="341" t="s">
        <v>54</v>
      </c>
    </row>
    <row r="35" customFormat="false" ht="57.75" hidden="false" customHeight="true" outlineLevel="0" collapsed="false">
      <c r="A35" s="339" t="n">
        <v>26</v>
      </c>
      <c r="B35" s="340" t="s">
        <v>1226</v>
      </c>
      <c r="C35" s="340" t="s">
        <v>1227</v>
      </c>
      <c r="D35" s="341" t="s">
        <v>52</v>
      </c>
    </row>
    <row r="36" customFormat="false" ht="15" hidden="false" customHeight="true" outlineLevel="0" collapsed="false">
      <c r="A36" s="342"/>
      <c r="B36" s="342"/>
      <c r="C36" s="342"/>
      <c r="D36" s="342"/>
    </row>
    <row r="37" customFormat="false" ht="24" hidden="false" customHeight="true" outlineLevel="0" collapsed="false">
      <c r="A37" s="338" t="s">
        <v>1228</v>
      </c>
      <c r="B37" s="338"/>
      <c r="C37" s="338"/>
      <c r="D37" s="338"/>
    </row>
    <row r="38" customFormat="false" ht="57.75" hidden="false" customHeight="true" outlineLevel="0" collapsed="false">
      <c r="A38" s="339" t="n">
        <v>27</v>
      </c>
      <c r="B38" s="340" t="s">
        <v>1229</v>
      </c>
      <c r="C38" s="340" t="s">
        <v>1230</v>
      </c>
      <c r="D38" s="341" t="s">
        <v>50</v>
      </c>
    </row>
    <row r="39" customFormat="false" ht="30" hidden="false" customHeight="true" outlineLevel="0" collapsed="false">
      <c r="A39" s="339" t="n">
        <v>28</v>
      </c>
      <c r="B39" s="340" t="s">
        <v>1231</v>
      </c>
      <c r="C39" s="340" t="s">
        <v>1232</v>
      </c>
      <c r="D39" s="341" t="s">
        <v>50</v>
      </c>
    </row>
    <row r="40" customFormat="false" ht="30" hidden="false" customHeight="true" outlineLevel="0" collapsed="false">
      <c r="A40" s="339" t="n">
        <v>29</v>
      </c>
      <c r="B40" s="340" t="s">
        <v>1233</v>
      </c>
      <c r="C40" s="340" t="s">
        <v>1234</v>
      </c>
      <c r="D40" s="341" t="s">
        <v>50</v>
      </c>
    </row>
    <row r="41" customFormat="false" ht="49.5" hidden="false" customHeight="true" outlineLevel="0" collapsed="false">
      <c r="A41" s="339" t="n">
        <v>30</v>
      </c>
      <c r="B41" s="340" t="s">
        <v>1235</v>
      </c>
      <c r="C41" s="340" t="s">
        <v>1236</v>
      </c>
      <c r="D41" s="341" t="s">
        <v>50</v>
      </c>
    </row>
    <row r="42" customFormat="false" ht="57.75" hidden="false" customHeight="true" outlineLevel="0" collapsed="false">
      <c r="A42" s="339" t="n">
        <v>31</v>
      </c>
      <c r="B42" s="340" t="s">
        <v>1237</v>
      </c>
      <c r="C42" s="340" t="s">
        <v>1238</v>
      </c>
      <c r="D42" s="341" t="s">
        <v>66</v>
      </c>
    </row>
    <row r="43" customFormat="false" ht="57.75" hidden="false" customHeight="true" outlineLevel="0" collapsed="false">
      <c r="A43" s="339" t="n">
        <v>32</v>
      </c>
      <c r="B43" s="340" t="s">
        <v>1239</v>
      </c>
      <c r="C43" s="340" t="s">
        <v>1240</v>
      </c>
      <c r="D43" s="341" t="s">
        <v>70</v>
      </c>
    </row>
    <row r="44" customFormat="false" ht="57.75" hidden="false" customHeight="true" outlineLevel="0" collapsed="false">
      <c r="A44" s="339" t="n">
        <v>33</v>
      </c>
      <c r="B44" s="340" t="s">
        <v>1241</v>
      </c>
      <c r="C44" s="340" t="s">
        <v>1242</v>
      </c>
      <c r="D44" s="341" t="s">
        <v>72</v>
      </c>
    </row>
    <row r="45" customFormat="false" ht="15" hidden="false" customHeight="true" outlineLevel="0" collapsed="false">
      <c r="A45" s="342"/>
      <c r="B45" s="342"/>
      <c r="C45" s="342"/>
      <c r="D45" s="342"/>
    </row>
    <row r="46" customFormat="false" ht="24" hidden="false" customHeight="true" outlineLevel="0" collapsed="false">
      <c r="A46" s="338" t="s">
        <v>1243</v>
      </c>
      <c r="B46" s="338"/>
      <c r="C46" s="338"/>
      <c r="D46" s="338"/>
    </row>
    <row r="47" customFormat="false" ht="57.75" hidden="false" customHeight="true" outlineLevel="0" collapsed="false">
      <c r="A47" s="339" t="n">
        <v>34</v>
      </c>
      <c r="B47" s="340" t="s">
        <v>1244</v>
      </c>
      <c r="C47" s="340" t="s">
        <v>1245</v>
      </c>
      <c r="D47" s="341" t="s">
        <v>26</v>
      </c>
    </row>
    <row r="48" customFormat="false" ht="15" hidden="false" customHeight="true" outlineLevel="0" collapsed="false">
      <c r="A48" s="342"/>
      <c r="B48" s="342"/>
      <c r="C48" s="342"/>
      <c r="D48" s="342"/>
    </row>
    <row r="49" customFormat="false" ht="48" hidden="false" customHeight="true" outlineLevel="0" collapsed="false">
      <c r="A49" s="343" t="s">
        <v>1246</v>
      </c>
      <c r="B49" s="343"/>
      <c r="C49" s="343"/>
      <c r="D49" s="343"/>
    </row>
    <row r="50" customFormat="false" ht="15" hidden="false" customHeight="true" outlineLevel="0" collapsed="false">
      <c r="A50" s="337"/>
    </row>
    <row r="51" customFormat="false" ht="258.75" hidden="false" customHeight="true" outlineLevel="0" collapsed="false">
      <c r="A51" s="288"/>
      <c r="B51" s="304"/>
      <c r="C51" s="304"/>
      <c r="D51" s="344"/>
    </row>
    <row r="52" customFormat="false" ht="45.75" hidden="false" customHeight="true" outlineLevel="0" collapsed="false">
      <c r="A52" s="304"/>
      <c r="B52" s="304"/>
      <c r="C52" s="304"/>
      <c r="D52" s="304"/>
    </row>
    <row r="54" customFormat="false" ht="12" hidden="false" customHeight="true" outlineLevel="0" collapsed="false">
      <c r="A54" s="27"/>
      <c r="B54" s="27"/>
      <c r="C54" s="27"/>
      <c r="D54" s="27"/>
    </row>
    <row r="55" customFormat="false" ht="113.25" hidden="false" customHeight="true" outlineLevel="0" collapsed="false">
      <c r="A55" s="288"/>
      <c r="B55" s="304"/>
      <c r="C55" s="304"/>
      <c r="D55" s="344"/>
    </row>
    <row r="56" customFormat="false" ht="90.75" hidden="false" customHeight="true" outlineLevel="0" collapsed="false">
      <c r="A56" s="304"/>
      <c r="B56" s="304"/>
      <c r="C56" s="304"/>
      <c r="D56" s="304"/>
    </row>
  </sheetData>
  <mergeCells count="5">
    <mergeCell ref="A1:D1"/>
    <mergeCell ref="A49:D49"/>
    <mergeCell ref="A52:D52"/>
    <mergeCell ref="A54:D54"/>
    <mergeCell ref="A56:D56"/>
  </mergeCells>
  <hyperlinks>
    <hyperlink ref="D6" location="'Income Statement'!A1" display="Income Statement"/>
    <hyperlink ref="D7" location="'Balance Sheet'!A1" display="Balance Sheet"/>
    <hyperlink ref="D8" location="'Cash Flow'!A1" display="Cash Flow"/>
    <hyperlink ref="D9" location="Assumptions!A1" display="Assumptions"/>
    <hyperlink ref="D10" location="Assumptions!A1" display="Assumptions"/>
    <hyperlink ref="D11" location="Opex!A1" display="Opex"/>
    <hyperlink ref="D12" location="Staff!A1" display="Staff"/>
    <hyperlink ref="D15" location="Capital!B14" display="Capital"/>
    <hyperlink ref="D16" location="Capital!B19" display="Capital"/>
    <hyperlink ref="D17" location="Capital!B17" display="Capital"/>
    <hyperlink ref="D18" location="Feasibility!A24" display="Feasibility"/>
    <hyperlink ref="D19" location="'Funding &amp; Liquidity'!A13" display="Funding &amp; Liquidity"/>
    <hyperlink ref="D20" location="'Funding &amp; Liquidity'!A38" display="Funding &amp; Liquidity"/>
    <hyperlink ref="D21" location="Capital!A4" display="Capital"/>
    <hyperlink ref="D22" location="Investments!A1" display="Investments"/>
    <hyperlink ref="D23" location="Originations!A13" display="Originations"/>
    <hyperlink ref="D26" location="Feasibility!B13" display="Feasibility"/>
    <hyperlink ref="D27" location="Feasibility!B15" display="Feasibility"/>
    <hyperlink ref="D28" location="Feasibility!B16" display="Feasibility"/>
    <hyperlink ref="D29" location="Feasibility!B17" display="Feasibility"/>
    <hyperlink ref="D30" location="Feasibility!B14" display="Feasibility"/>
    <hyperlink ref="D31" location="Feasibility!B20" display="Feasibility"/>
    <hyperlink ref="D32" location="Feasibility!B18" display="Feasibility"/>
    <hyperlink ref="D33" location="'Break Even'!A17" display="Break Even"/>
    <hyperlink ref="D34" location="Sensitivity!A1" display="Sensitivity"/>
    <hyperlink ref="D35" location="Scenarios!A1" display="Scenarios"/>
    <hyperlink ref="D38" location="Ratios!A4" display="Ratios"/>
    <hyperlink ref="D39" location="Ratios!B11" display="Ratios"/>
    <hyperlink ref="D40" location="Ratios!B12" display="Ratios"/>
    <hyperlink ref="D41" location="Ratios!B13" display="Ratios"/>
    <hyperlink ref="D42" location="'Regulatory Capital Plan'!B13" display="Regulatory Capital Plan"/>
    <hyperlink ref="D43" location="'Scenario - Slower 2028'!A1" display="Scenario - Slower Year 2"/>
    <hyperlink ref="D44" location="'Scenario - Standby Capital'!A1" display="Scenario - Standby Capital"/>
    <hyperlink ref="D47" location="Staff!A12" display="Staff"/>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345" width="57.29"/>
    <col collapsed="false" customWidth="true" hidden="false" outlineLevel="0" max="6" min="2" style="1" width="17"/>
    <col collapsed="false" customWidth="true" hidden="false" outlineLevel="0" max="9" min="7" style="1" width="16"/>
    <col collapsed="false" customWidth="true" hidden="false" outlineLevel="0" max="11" min="10" style="1" width="14"/>
    <col collapsed="false" customWidth="true" hidden="false" outlineLevel="0" max="12" min="12" style="1" width="16"/>
  </cols>
  <sheetData>
    <row r="1" customFormat="false" ht="30" hidden="false" customHeight="true" outlineLevel="0" collapsed="false">
      <c r="A1" s="283" t="s">
        <v>1247</v>
      </c>
      <c r="B1" s="283"/>
      <c r="C1" s="283"/>
      <c r="D1" s="283"/>
      <c r="E1" s="283"/>
      <c r="F1" s="283"/>
    </row>
    <row r="3" customFormat="false" ht="21.75" hidden="false" customHeight="true" outlineLevel="0" collapsed="false">
      <c r="A3" s="346" t="s">
        <v>83</v>
      </c>
      <c r="B3" s="284" t="s">
        <v>84</v>
      </c>
      <c r="C3" s="284" t="s">
        <v>85</v>
      </c>
      <c r="D3" s="284" t="s">
        <v>86</v>
      </c>
      <c r="E3" s="284" t="s">
        <v>87</v>
      </c>
      <c r="F3" s="284" t="s">
        <v>88</v>
      </c>
    </row>
    <row r="4" customFormat="false" ht="21.75" hidden="false" customHeight="true" outlineLevel="0" collapsed="false">
      <c r="A4" s="347" t="s">
        <v>1050</v>
      </c>
      <c r="B4" s="337"/>
      <c r="C4" s="337"/>
      <c r="D4" s="337"/>
      <c r="E4" s="337"/>
      <c r="F4" s="337"/>
    </row>
    <row r="5" customFormat="false" ht="18" hidden="false" customHeight="true" outlineLevel="0" collapsed="false">
      <c r="A5" s="348" t="s">
        <v>897</v>
      </c>
      <c r="B5" s="287" t="n">
        <f aca="false">'Regulatory Capital Plan'!B4</f>
        <v>30000000</v>
      </c>
      <c r="C5" s="287" t="n">
        <f aca="false">'Regulatory Capital Plan'!C4</f>
        <v>75000000</v>
      </c>
      <c r="D5" s="287" t="n">
        <f aca="false">'Regulatory Capital Plan'!D4</f>
        <v>75000000</v>
      </c>
      <c r="E5" s="287" t="n">
        <f aca="false">'Regulatory Capital Plan'!E4</f>
        <v>75000000</v>
      </c>
      <c r="F5" s="287" t="n">
        <f aca="false">'Regulatory Capital Plan'!F4</f>
        <v>75000000</v>
      </c>
    </row>
    <row r="6" customFormat="false" ht="18" hidden="false" customHeight="true" outlineLevel="0" collapsed="false">
      <c r="A6" s="348" t="s">
        <v>1248</v>
      </c>
      <c r="B6" s="287" t="n">
        <f aca="false">'Regulatory Capital Plan'!B5</f>
        <v>0</v>
      </c>
      <c r="C6" s="287" t="n">
        <f aca="false">'Regulatory Capital Plan'!C5</f>
        <v>462680.803677499</v>
      </c>
      <c r="D6" s="287" t="n">
        <f aca="false">'Regulatory Capital Plan'!D5</f>
        <v>4300246.3851805</v>
      </c>
      <c r="E6" s="287" t="n">
        <f aca="false">'Regulatory Capital Plan'!E5</f>
        <v>12297288.1124179</v>
      </c>
      <c r="F6" s="287" t="n">
        <f aca="false">'Regulatory Capital Plan'!F5</f>
        <v>26785287.0844617</v>
      </c>
    </row>
    <row r="7" customFormat="false" ht="18" hidden="false" customHeight="true" outlineLevel="0" collapsed="false">
      <c r="A7" s="348" t="s">
        <v>1249</v>
      </c>
      <c r="B7" s="287" t="n">
        <f aca="false">'Regulatory Capital Plan'!B6</f>
        <v>-8166870.7627</v>
      </c>
      <c r="C7" s="287" t="n">
        <f aca="false">'Regulatory Capital Plan'!C6</f>
        <v>624064.507172481</v>
      </c>
      <c r="D7" s="287" t="n">
        <f aca="false">'Regulatory Capital Plan'!D6</f>
        <v>73537810.5557294</v>
      </c>
      <c r="E7" s="287" t="n">
        <f aca="false">'Regulatory Capital Plan'!E6</f>
        <v>225481603.37324</v>
      </c>
      <c r="F7" s="287" t="n">
        <f aca="false">'Regulatory Capital Plan'!F6</f>
        <v>500753583.842072</v>
      </c>
    </row>
    <row r="8" customFormat="false" ht="18" hidden="false" customHeight="true" outlineLevel="0" collapsed="false">
      <c r="A8" s="348" t="s">
        <v>1250</v>
      </c>
      <c r="B8" s="287" t="n">
        <f aca="false">'Regulatory Capital Plan'!B7</f>
        <v>21833129.2373</v>
      </c>
      <c r="C8" s="287" t="n">
        <f aca="false">'Regulatory Capital Plan'!C7</f>
        <v>76086745.31085</v>
      </c>
      <c r="D8" s="287" t="n">
        <f aca="false">'Regulatory Capital Plan'!D7</f>
        <v>152838056.94091</v>
      </c>
      <c r="E8" s="287" t="n">
        <f aca="false">'Regulatory Capital Plan'!E7</f>
        <v>312778891.485658</v>
      </c>
      <c r="F8" s="287" t="n">
        <f aca="false">'Regulatory Capital Plan'!F7</f>
        <v>602538870.926534</v>
      </c>
    </row>
    <row r="9" customFormat="false" ht="18" hidden="false" customHeight="true" outlineLevel="0" collapsed="false">
      <c r="A9" s="348" t="s">
        <v>1251</v>
      </c>
      <c r="B9" s="287" t="n">
        <f aca="false">'Regulatory Capital Plan'!B8</f>
        <v>2581200</v>
      </c>
      <c r="C9" s="287" t="n">
        <f aca="false">'Regulatory Capital Plan'!C8</f>
        <v>2881200</v>
      </c>
      <c r="D9" s="287" t="n">
        <f aca="false">'Regulatory Capital Plan'!D8</f>
        <v>2881200</v>
      </c>
      <c r="E9" s="287" t="n">
        <f aca="false">'Regulatory Capital Plan'!E8</f>
        <v>2881200</v>
      </c>
      <c r="F9" s="287" t="n">
        <f aca="false">'Regulatory Capital Plan'!F8</f>
        <v>2881200</v>
      </c>
    </row>
    <row r="10" customFormat="false" ht="18" hidden="false" customHeight="true" outlineLevel="0" collapsed="false">
      <c r="A10" s="348" t="s">
        <v>1252</v>
      </c>
      <c r="B10" s="287" t="n">
        <f aca="false">'Regulatory Capital Plan'!B10</f>
        <v>19251929.2373</v>
      </c>
      <c r="C10" s="287" t="n">
        <f aca="false">'Regulatory Capital Plan'!C10</f>
        <v>73205545.31085</v>
      </c>
      <c r="D10" s="287" t="n">
        <f aca="false">'Regulatory Capital Plan'!D10</f>
        <v>149956856.94091</v>
      </c>
      <c r="E10" s="287" t="n">
        <f aca="false">'Regulatory Capital Plan'!E10</f>
        <v>309897691.485658</v>
      </c>
      <c r="F10" s="287" t="n">
        <f aca="false">'Regulatory Capital Plan'!F10</f>
        <v>599657670.926534</v>
      </c>
    </row>
    <row r="11" customFormat="false" ht="18" hidden="false" customHeight="true" outlineLevel="0" collapsed="false">
      <c r="A11" s="348" t="s">
        <v>937</v>
      </c>
      <c r="B11" s="292" t="n">
        <f aca="false">'Regulatory Capital Plan'!B31</f>
        <v>0.398280956375838</v>
      </c>
      <c r="C11" s="292" t="n">
        <f aca="false">'Regulatory Capital Plan'!C31</f>
        <v>0.144327394961383</v>
      </c>
      <c r="D11" s="292" t="n">
        <f aca="false">'Regulatory Capital Plan'!D31</f>
        <v>0.159763521005685</v>
      </c>
      <c r="E11" s="292" t="n">
        <f aca="false">'Regulatory Capital Plan'!E31</f>
        <v>0.172007504825977</v>
      </c>
      <c r="F11" s="292" t="n">
        <f aca="false">'Regulatory Capital Plan'!F31</f>
        <v>0.177928765545992</v>
      </c>
    </row>
    <row r="13" customFormat="false" ht="21.75" hidden="false" customHeight="true" outlineLevel="0" collapsed="false">
      <c r="A13" s="347" t="s">
        <v>1253</v>
      </c>
      <c r="B13" s="337"/>
      <c r="C13" s="337"/>
      <c r="D13" s="337"/>
      <c r="E13" s="337"/>
      <c r="F13" s="337"/>
    </row>
    <row r="14" customFormat="false" ht="18" hidden="false" customHeight="true" outlineLevel="0" collapsed="false">
      <c r="A14" s="348" t="s">
        <v>1254</v>
      </c>
      <c r="B14" s="287" t="n">
        <f aca="false">'Regulatory Capital Plan'!B19</f>
        <v>20052134.9673</v>
      </c>
      <c r="C14" s="287" t="n">
        <f aca="false">'Regulatory Capital Plan'!C19</f>
        <v>439024153.594</v>
      </c>
      <c r="D14" s="287" t="n">
        <f aca="false">'Regulatory Capital Plan'!D19</f>
        <v>840564492.1564</v>
      </c>
      <c r="E14" s="287" t="n">
        <f aca="false">'Regulatory Capital Plan'!E19</f>
        <v>1617413695.29384</v>
      </c>
      <c r="F14" s="287" t="n">
        <f aca="false">'Regulatory Capital Plan'!F19</f>
        <v>3031698217.1763</v>
      </c>
    </row>
    <row r="15" customFormat="false" ht="18" hidden="false" customHeight="true" outlineLevel="0" collapsed="false">
      <c r="A15" s="348" t="s">
        <v>1255</v>
      </c>
      <c r="B15" s="287" t="n">
        <f aca="false">'Regulatory Capital Plan'!B20</f>
        <v>4560076.28</v>
      </c>
      <c r="C15" s="287" t="n">
        <f aca="false">'Regulatory Capital Plan'!C20</f>
        <v>5060076.28</v>
      </c>
      <c r="D15" s="287" t="n">
        <f aca="false">'Regulatory Capital Plan'!D20</f>
        <v>5060076.28</v>
      </c>
      <c r="E15" s="287" t="n">
        <f aca="false">'Regulatory Capital Plan'!E20</f>
        <v>5060076.28</v>
      </c>
      <c r="F15" s="287" t="n">
        <f aca="false">'Regulatory Capital Plan'!F20</f>
        <v>5060076.28</v>
      </c>
    </row>
    <row r="16" customFormat="false" ht="18" hidden="false" customHeight="true" outlineLevel="0" collapsed="false">
      <c r="A16" s="348" t="s">
        <v>1256</v>
      </c>
      <c r="B16" s="287" t="n">
        <f aca="false">'Regulatory Capital Plan'!B19+'Regulatory Capital Plan'!B20</f>
        <v>24612211.2473</v>
      </c>
      <c r="C16" s="287" t="n">
        <f aca="false">'Regulatory Capital Plan'!C19+'Regulatory Capital Plan'!C20</f>
        <v>444084229.874</v>
      </c>
      <c r="D16" s="287" t="n">
        <f aca="false">'Regulatory Capital Plan'!D19+'Regulatory Capital Plan'!D20</f>
        <v>845624568.4364</v>
      </c>
      <c r="E16" s="287" t="n">
        <f aca="false">'Regulatory Capital Plan'!E19+'Regulatory Capital Plan'!E20</f>
        <v>1622473771.57384</v>
      </c>
      <c r="F16" s="287" t="n">
        <f aca="false">'Regulatory Capital Plan'!F19+'Regulatory Capital Plan'!F20</f>
        <v>3036758293.4563</v>
      </c>
    </row>
    <row r="18" customFormat="false" ht="21.75" hidden="false" customHeight="true" outlineLevel="0" collapsed="false">
      <c r="A18" s="347" t="s">
        <v>1257</v>
      </c>
      <c r="B18" s="337"/>
      <c r="C18" s="337"/>
      <c r="D18" s="337"/>
      <c r="E18" s="337"/>
      <c r="F18" s="337"/>
    </row>
    <row r="19" customFormat="false" ht="18" hidden="false" customHeight="true" outlineLevel="0" collapsed="false">
      <c r="A19" s="348" t="s">
        <v>1258</v>
      </c>
      <c r="B19" s="287" t="n">
        <f aca="false">'Regulatory Capital Plan'!B21</f>
        <v>225586.518382125</v>
      </c>
      <c r="C19" s="287" t="n">
        <f aca="false">'Regulatory Capital Plan'!C21</f>
        <v>5164608.24631462</v>
      </c>
      <c r="D19" s="287" t="n">
        <f aca="false">'Regulatory Capital Plan'!D21</f>
        <v>14395372.264692</v>
      </c>
      <c r="E19" s="287" t="n">
        <f aca="false">'Regulatory Capital Plan'!E21</f>
        <v>27652254.6088152</v>
      </c>
      <c r="F19" s="287" t="n">
        <f aca="false">'Regulatory Capital Plan'!F21</f>
        <v>52302509.0152891</v>
      </c>
    </row>
    <row r="20" customFormat="false" ht="18" hidden="false" customHeight="true" outlineLevel="0" collapsed="false">
      <c r="A20" s="348" t="s">
        <v>1259</v>
      </c>
      <c r="B20" s="287" t="n">
        <f aca="false">'Regulatory Capital Plan'!B22</f>
        <v>15591312</v>
      </c>
      <c r="C20" s="287" t="n">
        <f aca="false">'Regulatory Capital Plan'!C22</f>
        <v>36925000</v>
      </c>
      <c r="D20" s="287" t="n">
        <f aca="false">'Regulatory Capital Plan'!D22</f>
        <v>47600000</v>
      </c>
      <c r="E20" s="287" t="n">
        <f aca="false">'Regulatory Capital Plan'!E22</f>
        <v>91800000</v>
      </c>
      <c r="F20" s="287" t="n">
        <f aca="false">'Regulatory Capital Plan'!F22</f>
        <v>170000000</v>
      </c>
    </row>
    <row r="21" customFormat="false" ht="18" hidden="false" customHeight="true" outlineLevel="0" collapsed="false">
      <c r="A21" s="348" t="s">
        <v>1260</v>
      </c>
      <c r="B21" s="287" t="n">
        <f aca="false">'Regulatory Capital Plan'!B23</f>
        <v>0</v>
      </c>
      <c r="C21" s="287" t="n">
        <f aca="false">'Regulatory Capital Plan'!C23</f>
        <v>0</v>
      </c>
      <c r="D21" s="287" t="n">
        <f aca="false">'Regulatory Capital Plan'!D23</f>
        <v>0</v>
      </c>
      <c r="E21" s="287" t="n">
        <f aca="false">'Regulatory Capital Plan'!E23</f>
        <v>0</v>
      </c>
      <c r="F21" s="287" t="n">
        <f aca="false">'Regulatory Capital Plan'!F23</f>
        <v>0</v>
      </c>
    </row>
    <row r="22" customFormat="false" ht="18" hidden="false" customHeight="true" outlineLevel="0" collapsed="false">
      <c r="A22" s="348" t="s">
        <v>1261</v>
      </c>
      <c r="B22" s="287" t="n">
        <f aca="false">'Regulatory Capital Plan'!B24</f>
        <v>15816898.5183821</v>
      </c>
      <c r="C22" s="287" t="n">
        <f aca="false">'Regulatory Capital Plan'!C24</f>
        <v>42089608.2463146</v>
      </c>
      <c r="D22" s="287" t="n">
        <f aca="false">'Regulatory Capital Plan'!D24</f>
        <v>61995372.264692</v>
      </c>
      <c r="E22" s="287" t="n">
        <f aca="false">'Regulatory Capital Plan'!E24</f>
        <v>119452254.608815</v>
      </c>
      <c r="F22" s="287" t="n">
        <f aca="false">'Regulatory Capital Plan'!F24</f>
        <v>222302509.015289</v>
      </c>
    </row>
    <row r="23" customFormat="false" ht="18" hidden="false" customHeight="true" outlineLevel="0" collapsed="false">
      <c r="A23" s="348" t="s">
        <v>1262</v>
      </c>
      <c r="B23" s="292" t="n">
        <f aca="false">B96</f>
        <v>0.12</v>
      </c>
      <c r="C23" s="292" t="n">
        <f aca="false">C96</f>
        <v>0.12</v>
      </c>
      <c r="D23" s="292" t="n">
        <f aca="false">D96</f>
        <v>0.12</v>
      </c>
      <c r="E23" s="292" t="n">
        <f aca="false">E96</f>
        <v>0.12</v>
      </c>
      <c r="F23" s="292" t="n">
        <f aca="false">F96</f>
        <v>0.12</v>
      </c>
    </row>
    <row r="24" customFormat="false" ht="18" hidden="false" customHeight="true" outlineLevel="0" collapsed="false">
      <c r="A24" s="348" t="s">
        <v>1263</v>
      </c>
      <c r="B24" s="301" t="n">
        <f aca="false">1</f>
        <v>1</v>
      </c>
      <c r="C24" s="301" t="n">
        <f aca="false">1</f>
        <v>1</v>
      </c>
      <c r="D24" s="301" t="n">
        <f aca="false">1</f>
        <v>1</v>
      </c>
      <c r="E24" s="301" t="n">
        <f aca="false">1</f>
        <v>1</v>
      </c>
      <c r="F24" s="301" t="n">
        <f aca="false">1</f>
        <v>1</v>
      </c>
    </row>
    <row r="25" customFormat="false" ht="18" hidden="false" customHeight="true" outlineLevel="0" collapsed="false">
      <c r="A25" s="348" t="s">
        <v>1264</v>
      </c>
      <c r="B25" s="301" t="n">
        <f aca="false">Assumptions!B97</f>
        <v>12.5</v>
      </c>
      <c r="C25" s="301" t="n">
        <f aca="false">Assumptions!C97</f>
        <v>12.5</v>
      </c>
      <c r="D25" s="301" t="n">
        <f aca="false">Assumptions!D97</f>
        <v>12.5</v>
      </c>
      <c r="E25" s="301" t="n">
        <f aca="false">Assumptions!E97</f>
        <v>12.5</v>
      </c>
      <c r="F25" s="301" t="n">
        <f aca="false">Assumptions!F97</f>
        <v>12.5</v>
      </c>
    </row>
    <row r="26" customFormat="false" ht="18" hidden="false" customHeight="true" outlineLevel="0" collapsed="false">
      <c r="A26" s="348" t="s">
        <v>1265</v>
      </c>
      <c r="B26" s="287" t="n">
        <f aca="false">'Regulatory Capital Plan'!B28</f>
        <v>23725347.7775732</v>
      </c>
      <c r="C26" s="287" t="n">
        <f aca="false">'Regulatory Capital Plan'!C28</f>
        <v>63134412.3694719</v>
      </c>
      <c r="D26" s="287" t="n">
        <f aca="false">'Regulatory Capital Plan'!D28</f>
        <v>92993058.397038</v>
      </c>
      <c r="E26" s="287" t="n">
        <f aca="false">'Regulatory Capital Plan'!E28</f>
        <v>179178381.913223</v>
      </c>
      <c r="F26" s="287" t="n">
        <f aca="false">'Regulatory Capital Plan'!F28</f>
        <v>333453763.522934</v>
      </c>
    </row>
    <row r="28" customFormat="false" ht="21.75" hidden="false" customHeight="true" outlineLevel="0" collapsed="false">
      <c r="A28" s="347" t="s">
        <v>1266</v>
      </c>
      <c r="B28" s="337"/>
      <c r="C28" s="337"/>
      <c r="D28" s="337"/>
      <c r="E28" s="337"/>
      <c r="F28" s="337"/>
    </row>
    <row r="29" customFormat="false" ht="18" hidden="false" customHeight="true" outlineLevel="0" collapsed="false">
      <c r="A29" s="348" t="s">
        <v>1267</v>
      </c>
      <c r="B29" s="287" t="n">
        <f aca="false">'Regulatory Capital Plan'!B29</f>
        <v>0</v>
      </c>
      <c r="C29" s="287" t="n">
        <f aca="false">'Regulatory Capital Plan'!C29</f>
        <v>0</v>
      </c>
      <c r="D29" s="287" t="n">
        <f aca="false">'Regulatory Capital Plan'!D29</f>
        <v>0</v>
      </c>
      <c r="E29" s="287" t="n">
        <f aca="false">'Regulatory Capital Plan'!E29</f>
        <v>0</v>
      </c>
      <c r="F29" s="287" t="n">
        <f aca="false">'Regulatory Capital Plan'!F29</f>
        <v>0</v>
      </c>
    </row>
    <row r="31" customFormat="false" ht="21.75" hidden="false" customHeight="true" outlineLevel="0" collapsed="false">
      <c r="A31" s="347" t="s">
        <v>1268</v>
      </c>
      <c r="B31" s="337"/>
      <c r="C31" s="337"/>
      <c r="D31" s="337"/>
      <c r="E31" s="337"/>
      <c r="F31" s="337"/>
    </row>
    <row r="32" customFormat="false" ht="18" hidden="false" customHeight="true" outlineLevel="0" collapsed="false">
      <c r="A32" s="348" t="s">
        <v>1269</v>
      </c>
      <c r="B32" s="287" t="n">
        <f aca="false">'Regulatory Capital Plan'!B30</f>
        <v>48337559.0248732</v>
      </c>
      <c r="C32" s="287" t="n">
        <f aca="false">'Regulatory Capital Plan'!C30</f>
        <v>507218642.243472</v>
      </c>
      <c r="D32" s="287" t="n">
        <f aca="false">'Regulatory Capital Plan'!D30</f>
        <v>938617626.833438</v>
      </c>
      <c r="E32" s="287" t="n">
        <f aca="false">'Regulatory Capital Plan'!E30</f>
        <v>1801652153.48706</v>
      </c>
      <c r="F32" s="287" t="n">
        <f aca="false">'Regulatory Capital Plan'!F30</f>
        <v>3370212056.97924</v>
      </c>
    </row>
    <row r="33" customFormat="false" ht="18" hidden="false" customHeight="true" outlineLevel="0" collapsed="false">
      <c r="A33" s="348" t="s">
        <v>1270</v>
      </c>
      <c r="B33" s="292" t="n">
        <f aca="false">'Regulatory Capital Plan'!B31</f>
        <v>0.398280956375838</v>
      </c>
      <c r="C33" s="292" t="n">
        <f aca="false">'Regulatory Capital Plan'!C31</f>
        <v>0.144327394961383</v>
      </c>
      <c r="D33" s="292" t="n">
        <f aca="false">'Regulatory Capital Plan'!D31</f>
        <v>0.159763521005685</v>
      </c>
      <c r="E33" s="292" t="n">
        <f aca="false">'Regulatory Capital Plan'!E31</f>
        <v>0.172007504825977</v>
      </c>
      <c r="F33" s="292" t="n">
        <f aca="false">'Regulatory Capital Plan'!F31</f>
        <v>0.177928765545992</v>
      </c>
    </row>
    <row r="34" customFormat="false" ht="18" hidden="false" customHeight="true" outlineLevel="0" collapsed="false">
      <c r="A34" s="348" t="s">
        <v>1271</v>
      </c>
      <c r="B34" s="292" t="n">
        <f aca="false">Assumptions!B95</f>
        <v>0.12</v>
      </c>
      <c r="C34" s="292" t="n">
        <f aca="false">Assumptions!C95</f>
        <v>0.12</v>
      </c>
      <c r="D34" s="292" t="n">
        <f aca="false">Assumptions!D95</f>
        <v>0.12</v>
      </c>
      <c r="E34" s="292" t="n">
        <f aca="false">Assumptions!E95</f>
        <v>0.12</v>
      </c>
      <c r="F34" s="292" t="n">
        <f aca="false">Assumptions!F95</f>
        <v>0.12</v>
      </c>
    </row>
    <row r="35" customFormat="false" ht="18" hidden="false" customHeight="true" outlineLevel="0" collapsed="false">
      <c r="A35" s="348" t="s">
        <v>1272</v>
      </c>
      <c r="B35" s="292" t="n">
        <f aca="false">'Regulatory Capital Plan'!B31-'Regulatory Capital Plan'!B32</f>
        <v>0.278280956375838</v>
      </c>
      <c r="C35" s="292" t="n">
        <f aca="false">'Regulatory Capital Plan'!C31-'Regulatory Capital Plan'!C32</f>
        <v>0.024327394961383</v>
      </c>
      <c r="D35" s="292" t="n">
        <f aca="false">'Regulatory Capital Plan'!D31-'Regulatory Capital Plan'!D32</f>
        <v>0.0397635210056848</v>
      </c>
      <c r="E35" s="292" t="n">
        <f aca="false">'Regulatory Capital Plan'!E31-'Regulatory Capital Plan'!E32</f>
        <v>0.0520075048259771</v>
      </c>
      <c r="F35" s="292" t="n">
        <f aca="false">'Regulatory Capital Plan'!F31-'Regulatory Capital Plan'!F32</f>
        <v>0.0579287655459919</v>
      </c>
    </row>
    <row r="36" customFormat="false" ht="18" hidden="false" customHeight="true" outlineLevel="0" collapsed="false">
      <c r="A36" s="348" t="s">
        <v>1273</v>
      </c>
      <c r="B36" s="287" t="n">
        <f aca="false">'Regulatory Capital Plan'!B33</f>
        <v>13451422.1543152</v>
      </c>
      <c r="C36" s="287" t="n">
        <f aca="false">'Regulatory Capital Plan'!C33</f>
        <v>12339308.2416333</v>
      </c>
      <c r="D36" s="287" t="n">
        <f aca="false">'Regulatory Capital Plan'!D33</f>
        <v>37322741.7208974</v>
      </c>
      <c r="E36" s="287" t="n">
        <f aca="false">'Regulatory Capital Plan'!E33</f>
        <v>93699433.0672104</v>
      </c>
      <c r="F36" s="287" t="n">
        <f aca="false">'Regulatory Capital Plan'!F33</f>
        <v>195232224.089025</v>
      </c>
    </row>
    <row r="37" customFormat="false" ht="18" hidden="false" customHeight="true" outlineLevel="0" collapsed="false">
      <c r="A37" s="348" t="s">
        <v>1274</v>
      </c>
      <c r="B37" s="286" t="str">
        <f aca="false">IF(B33&lt;12%,"فجوة تخطيطية","استرشادي - يحتاج اعتماد مدخلات القاعدة/BI/ILM")</f>
        <v>استرشادي - يحتاج اعتماد مدخلات القاعدة/BI/ILM</v>
      </c>
      <c r="C37" s="286" t="str">
        <f aca="false">IF(C33&lt;12%,"فجوة تخطيطية","استرشادي - يحتاج اعتماد مدخلات القاعدة/BI/ILM")</f>
        <v>استرشادي - يحتاج اعتماد مدخلات القاعدة/BI/ILM</v>
      </c>
      <c r="D37" s="286" t="str">
        <f aca="false">IF(D33&lt;12%,"فجوة تخطيطية","استرشادي - يحتاج اعتماد مدخلات القاعدة/BI/ILM")</f>
        <v>استرشادي - يحتاج اعتماد مدخلات القاعدة/BI/ILM</v>
      </c>
      <c r="E37" s="286" t="str">
        <f aca="false">IF(E33&lt;12%,"فجوة تخطيطية","استرشادي - يحتاج اعتماد مدخلات القاعدة/BI/ILM")</f>
        <v>استرشادي - يحتاج اعتماد مدخلات القاعدة/BI/ILM</v>
      </c>
      <c r="F37" s="286" t="str">
        <f aca="false">IF(F33&lt;12%,"فجوة تخطيطية","استرشادي - يحتاج اعتماد مدخلات القاعدة/BI/ILM")</f>
        <v>استرشادي - يحتاج اعتماد مدخلات القاعدة/BI/ILM</v>
      </c>
    </row>
    <row r="39" customFormat="false" ht="21.75" hidden="false" customHeight="true" outlineLevel="0" collapsed="false">
      <c r="A39" s="347" t="s">
        <v>1275</v>
      </c>
      <c r="B39" s="337"/>
      <c r="C39" s="337"/>
      <c r="D39" s="337"/>
      <c r="E39" s="337"/>
      <c r="F39" s="337"/>
    </row>
    <row r="40" customFormat="false" ht="18" hidden="false" customHeight="true" outlineLevel="0" collapsed="false">
      <c r="A40" s="348" t="s">
        <v>1276</v>
      </c>
      <c r="B40" s="287" t="n">
        <f aca="false">'Regulatory Capital Plan'!B12</f>
        <v>0</v>
      </c>
      <c r="C40" s="287" t="n">
        <f aca="false">'Regulatory Capital Plan'!C12</f>
        <v>370000000</v>
      </c>
      <c r="D40" s="287" t="n">
        <f aca="false">'Regulatory Capital Plan'!D12</f>
        <v>685000000</v>
      </c>
      <c r="E40" s="287" t="n">
        <f aca="false">'Regulatory Capital Plan'!E12</f>
        <v>1335000000</v>
      </c>
      <c r="F40" s="287" t="n">
        <f aca="false">'Regulatory Capital Plan'!F12</f>
        <v>2600000000</v>
      </c>
    </row>
    <row r="41" customFormat="false" ht="18" hidden="false" customHeight="true" outlineLevel="0" collapsed="false">
      <c r="A41" s="348" t="s">
        <v>1277</v>
      </c>
      <c r="B41" s="287" t="n">
        <f aca="false">IF('Regulatory Capital Plan'!B14=9,'Regulatory Capital Plan'!B10,'Regulatory Capital Plan'!B7)</f>
        <v>21833129.2373</v>
      </c>
      <c r="C41" s="287" t="n">
        <f aca="false">IF('Regulatory Capital Plan'!C14=9,'Regulatory Capital Plan'!C10,'Regulatory Capital Plan'!C7)</f>
        <v>76086745.31085</v>
      </c>
      <c r="D41" s="287" t="n">
        <f aca="false">IF('Regulatory Capital Plan'!D14=9,'Regulatory Capital Plan'!D10,'Regulatory Capital Plan'!D7)</f>
        <v>149956856.94091</v>
      </c>
      <c r="E41" s="287" t="n">
        <f aca="false">IF('Regulatory Capital Plan'!E14=9,'Regulatory Capital Plan'!E10,'Regulatory Capital Plan'!E7)</f>
        <v>309897691.485658</v>
      </c>
      <c r="F41" s="287" t="n">
        <f aca="false">IF('Regulatory Capital Plan'!F14=9,'Regulatory Capital Plan'!F10,'Regulatory Capital Plan'!F7)</f>
        <v>599657670.926534</v>
      </c>
    </row>
    <row r="42" customFormat="false" ht="18" hidden="false" customHeight="true" outlineLevel="0" collapsed="false">
      <c r="A42" s="348" t="s">
        <v>1278</v>
      </c>
      <c r="B42" s="301" t="n">
        <f aca="false">'Regulatory Capital Plan'!B13</f>
        <v>0</v>
      </c>
      <c r="C42" s="301" t="n">
        <f aca="false">'Regulatory Capital Plan'!C13</f>
        <v>4.86287064177048</v>
      </c>
      <c r="D42" s="301" t="n">
        <f aca="false">'Regulatory Capital Plan'!D13</f>
        <v>4.56798051102073</v>
      </c>
      <c r="E42" s="301" t="n">
        <f aca="false">'Regulatory Capital Plan'!E13</f>
        <v>4.30787332942035</v>
      </c>
      <c r="F42" s="301" t="n">
        <f aca="false">'Regulatory Capital Plan'!F13</f>
        <v>4.33580712139099</v>
      </c>
    </row>
    <row r="43" customFormat="false" ht="18" hidden="false" customHeight="true" outlineLevel="0" collapsed="false">
      <c r="A43" s="348" t="s">
        <v>1279</v>
      </c>
      <c r="B43" s="301" t="n">
        <f aca="false">Assumptions!B51</f>
        <v>4</v>
      </c>
      <c r="C43" s="301" t="n">
        <f aca="false">Assumptions!C51</f>
        <v>4</v>
      </c>
      <c r="D43" s="301" t="n">
        <f aca="false">Assumptions!D51</f>
        <v>9</v>
      </c>
      <c r="E43" s="301" t="n">
        <f aca="false">Assumptions!E51</f>
        <v>9</v>
      </c>
      <c r="F43" s="301" t="n">
        <f aca="false">Assumptions!F51</f>
        <v>9</v>
      </c>
    </row>
    <row r="44" customFormat="false" ht="18" hidden="false" customHeight="true" outlineLevel="0" collapsed="false">
      <c r="A44" s="348" t="s">
        <v>657</v>
      </c>
      <c r="B44" s="286" t="str">
        <f aca="false">'Regulatory Capital Plan'!B16</f>
        <v>متوافق</v>
      </c>
      <c r="C44" s="286" t="str">
        <f aca="false">'Regulatory Capital Plan'!C16</f>
        <v>فجوة</v>
      </c>
      <c r="D44" s="286" t="str">
        <f aca="false">'Regulatory Capital Plan'!D16</f>
        <v>متوافق</v>
      </c>
      <c r="E44" s="286" t="str">
        <f aca="false">'Regulatory Capital Plan'!E16</f>
        <v>متوافق</v>
      </c>
      <c r="F44" s="286" t="str">
        <f aca="false">'Regulatory Capital Plan'!F16</f>
        <v>متوافق</v>
      </c>
    </row>
    <row r="45" customFormat="false" ht="15.75" hidden="false" customHeight="true" outlineLevel="0" collapsed="false">
      <c r="A45" s="286" t="s">
        <v>1280</v>
      </c>
      <c r="B45" s="286"/>
      <c r="C45" s="286"/>
      <c r="D45" s="286"/>
      <c r="E45" s="286"/>
      <c r="F45" s="286"/>
    </row>
    <row r="47" customFormat="false" ht="14.25" hidden="false" customHeight="true" outlineLevel="0" collapsed="false">
      <c r="A47" s="349" t="s">
        <v>1281</v>
      </c>
      <c r="B47" s="349"/>
      <c r="C47" s="349"/>
      <c r="D47" s="349"/>
      <c r="E47" s="349"/>
      <c r="F47" s="349"/>
    </row>
    <row r="48" customFormat="false" ht="43.5" hidden="false" customHeight="true" outlineLevel="0" collapsed="false">
      <c r="A48" s="350" t="s">
        <v>1282</v>
      </c>
      <c r="B48" s="350"/>
      <c r="C48" s="350"/>
      <c r="D48" s="350"/>
      <c r="E48" s="350"/>
      <c r="F48" s="350"/>
    </row>
    <row r="49" customFormat="false" ht="15" hidden="false" customHeight="true" outlineLevel="0" collapsed="false">
      <c r="A49" s="351" t="s">
        <v>1283</v>
      </c>
      <c r="B49" s="287" t="n">
        <f aca="false">'Regulatory Capital Plan'!B10</f>
        <v>19251929.2373</v>
      </c>
      <c r="C49" s="287" t="n">
        <f aca="false">'Regulatory Capital Plan'!C10</f>
        <v>73205545.31085</v>
      </c>
      <c r="D49" s="287" t="n">
        <f aca="false">'Regulatory Capital Plan'!D10</f>
        <v>149956856.94091</v>
      </c>
      <c r="E49" s="287" t="n">
        <f aca="false">'Regulatory Capital Plan'!E10</f>
        <v>309897691.485658</v>
      </c>
      <c r="F49" s="287" t="n">
        <f aca="false">'Regulatory Capital Plan'!F10</f>
        <v>599657670.926534</v>
      </c>
    </row>
    <row r="50" customFormat="false" ht="15" hidden="false" customHeight="true" outlineLevel="0" collapsed="false">
      <c r="A50" s="352" t="s">
        <v>1284</v>
      </c>
      <c r="B50" s="287" t="n">
        <f aca="false">'Balance Sheet'!B11</f>
        <v>27833129.2373</v>
      </c>
      <c r="C50" s="287" t="n">
        <f aca="false">'Balance Sheet'!C11</f>
        <v>453586745.31085</v>
      </c>
      <c r="D50" s="287" t="n">
        <f aca="false">'Balance Sheet'!D11</f>
        <v>858838056.94091</v>
      </c>
      <c r="E50" s="287" t="n">
        <f aca="false">'Balance Sheet'!E11</f>
        <v>1688278891.48566</v>
      </c>
      <c r="F50" s="287" t="n">
        <f aca="false">'Balance Sheet'!F11</f>
        <v>3277538870.92653</v>
      </c>
    </row>
    <row r="51" customFormat="false" ht="15" hidden="false" customHeight="true" outlineLevel="0" collapsed="false">
      <c r="A51" s="352" t="s">
        <v>1285</v>
      </c>
      <c r="B51" s="287" t="n">
        <f aca="false">Assumptions!B121*Assumptions!B107</f>
        <v>0</v>
      </c>
      <c r="C51" s="287" t="n">
        <f aca="false">Assumptions!C121*Assumptions!C107</f>
        <v>0</v>
      </c>
      <c r="D51" s="287" t="n">
        <f aca="false">Assumptions!D121*Assumptions!D107</f>
        <v>0</v>
      </c>
      <c r="E51" s="287" t="n">
        <f aca="false">Assumptions!E121*Assumptions!E107</f>
        <v>0</v>
      </c>
      <c r="F51" s="287" t="n">
        <f aca="false">Assumptions!F121*Assumptions!F107</f>
        <v>0</v>
      </c>
    </row>
    <row r="52" customFormat="false" ht="15" hidden="false" customHeight="true" outlineLevel="0" collapsed="false">
      <c r="A52" s="352" t="s">
        <v>1286</v>
      </c>
      <c r="B52" s="287" t="n">
        <f aca="false">Assumptions!B124</f>
        <v>0</v>
      </c>
      <c r="C52" s="287" t="n">
        <f aca="false">Assumptions!C124</f>
        <v>0</v>
      </c>
      <c r="D52" s="287" t="n">
        <f aca="false">Assumptions!D124</f>
        <v>0</v>
      </c>
      <c r="E52" s="287" t="n">
        <f aca="false">Assumptions!E124</f>
        <v>0</v>
      </c>
      <c r="F52" s="287" t="n">
        <f aca="false">Assumptions!F124</f>
        <v>0</v>
      </c>
    </row>
    <row r="53" customFormat="false" ht="15" hidden="false" customHeight="true" outlineLevel="0" collapsed="false">
      <c r="A53" s="352" t="s">
        <v>1287</v>
      </c>
      <c r="B53" s="287" t="n">
        <f aca="false">SUM(B50:B52)</f>
        <v>27833129.2373</v>
      </c>
      <c r="C53" s="287" t="n">
        <f aca="false">SUM(C50:C52)</f>
        <v>453586745.31085</v>
      </c>
      <c r="D53" s="287" t="n">
        <f aca="false">SUM(D50:D52)</f>
        <v>858838056.94091</v>
      </c>
      <c r="E53" s="287" t="n">
        <f aca="false">SUM(E50:E52)</f>
        <v>1688278891.48566</v>
      </c>
      <c r="F53" s="287" t="n">
        <f aca="false">SUM(F50:F52)</f>
        <v>3277538870.92653</v>
      </c>
    </row>
    <row r="54" customFormat="false" ht="15" hidden="false" customHeight="true" outlineLevel="0" collapsed="false">
      <c r="A54" s="352" t="s">
        <v>1288</v>
      </c>
      <c r="B54" s="292" t="n">
        <f aca="false">IFERROR(B49/B53,0)</f>
        <v>0.69169115240912</v>
      </c>
      <c r="C54" s="292" t="n">
        <f aca="false">IFERROR(C49/C53,0)</f>
        <v>0.161392602556499</v>
      </c>
      <c r="D54" s="292" t="n">
        <f aca="false">IFERROR(D49/D53,0)</f>
        <v>0.174604345637687</v>
      </c>
      <c r="E54" s="292" t="n">
        <f aca="false">IFERROR(E49/E53,0)</f>
        <v>0.183558352265456</v>
      </c>
      <c r="F54" s="292" t="n">
        <f aca="false">IFERROR(F49/F53,0)</f>
        <v>0.182959743436091</v>
      </c>
    </row>
    <row r="55" customFormat="false" ht="15" hidden="false" customHeight="true" outlineLevel="0" collapsed="false">
      <c r="A55" s="351" t="s">
        <v>1289</v>
      </c>
      <c r="B55" s="292" t="n">
        <v>0.03</v>
      </c>
      <c r="C55" s="292" t="n">
        <v>0.03</v>
      </c>
      <c r="D55" s="292" t="n">
        <v>0.03</v>
      </c>
      <c r="E55" s="292" t="n">
        <v>0.03</v>
      </c>
      <c r="F55" s="292" t="n">
        <v>0.03</v>
      </c>
    </row>
    <row r="56" customFormat="false" ht="14.25" hidden="false" customHeight="true" outlineLevel="0" collapsed="false">
      <c r="A56" s="351" t="s">
        <v>1290</v>
      </c>
      <c r="B56" s="286" t="str">
        <f aca="false">IF(B54&gt;=B55,"متوافق استرشاديا بشرط تأكيد الانكشافات خارج الميزانية","فجوة")</f>
        <v>متوافق استرشاديا بشرط تأكيد الانكشافات خارج الميزانية</v>
      </c>
      <c r="C56" s="286" t="str">
        <f aca="false">IF(C54&gt;=C55,"متوافق استرشاديا بشرط تأكيد الانكشافات خارج الميزانية","فجوة")</f>
        <v>متوافق استرشاديا بشرط تأكيد الانكشافات خارج الميزانية</v>
      </c>
      <c r="D56" s="286" t="str">
        <f aca="false">IF(D54&gt;=D55,"متوافق استرشاديا بشرط تأكيد الانكشافات خارج الميزانية","فجوة")</f>
        <v>متوافق استرشاديا بشرط تأكيد الانكشافات خارج الميزانية</v>
      </c>
      <c r="E56" s="286" t="str">
        <f aca="false">IF(E54&gt;=E55,"متوافق استرشاديا بشرط تأكيد الانكشافات خارج الميزانية","فجوة")</f>
        <v>متوافق استرشاديا بشرط تأكيد الانكشافات خارج الميزانية</v>
      </c>
      <c r="F56" s="286" t="str">
        <f aca="false">IF(F54&gt;=F55,"متوافق استرشاديا بشرط تأكيد الانكشافات خارج الميزانية","فجوة")</f>
        <v>متوافق استرشاديا بشرط تأكيد الانكشافات خارج الميزانية</v>
      </c>
    </row>
    <row r="57" customFormat="false" ht="63.75" hidden="false" customHeight="true" outlineLevel="0" collapsed="false">
      <c r="A57" s="353" t="s">
        <v>1291</v>
      </c>
      <c r="B57" s="353"/>
      <c r="C57" s="353"/>
      <c r="D57" s="353"/>
      <c r="E57" s="353"/>
      <c r="F57" s="353"/>
    </row>
    <row r="59" customFormat="false" ht="21.75" hidden="false" customHeight="true" outlineLevel="0" collapsed="false">
      <c r="A59" s="347" t="s">
        <v>1292</v>
      </c>
      <c r="B59" s="337"/>
      <c r="C59" s="337"/>
      <c r="D59" s="337"/>
      <c r="E59" s="337"/>
      <c r="F59" s="337"/>
    </row>
    <row r="60" customFormat="false" ht="18" hidden="false" customHeight="true" outlineLevel="0" collapsed="false">
      <c r="A60" s="348" t="s">
        <v>1293</v>
      </c>
      <c r="B60" s="287" t="n">
        <f aca="false">'Funding &amp; Liquidity'!B16</f>
        <v>3220917.99</v>
      </c>
      <c r="C60" s="287" t="n">
        <f aca="false">'Funding &amp; Liquidity'!C16</f>
        <v>9502515.43684994</v>
      </c>
      <c r="D60" s="287" t="n">
        <f aca="false">'Funding &amp; Liquidity'!D16</f>
        <v>13213488.5045099</v>
      </c>
      <c r="E60" s="287" t="n">
        <f aca="false">'Funding &amp; Liquidity'!E16</f>
        <v>65805119.911818</v>
      </c>
      <c r="F60" s="287" t="n">
        <f aca="false">'Funding &amp; Liquidity'!F16</f>
        <v>240780577.47023</v>
      </c>
    </row>
    <row r="61" customFormat="false" ht="18" hidden="false" customHeight="true" outlineLevel="0" collapsed="false">
      <c r="A61" s="348" t="s">
        <v>1294</v>
      </c>
      <c r="B61" s="287" t="n">
        <f aca="false">'Funding &amp; Liquidity'!B17</f>
        <v>1299276</v>
      </c>
      <c r="C61" s="287" t="n">
        <f aca="false">'Funding &amp; Liquidity'!C17</f>
        <v>16545765.2425</v>
      </c>
      <c r="D61" s="287" t="n">
        <f aca="false">'Funding &amp; Liquidity'!D17</f>
        <v>42310150.75</v>
      </c>
      <c r="E61" s="287" t="n">
        <f aca="false">'Funding &amp; Liquidity'!E17</f>
        <v>82488183.6666667</v>
      </c>
      <c r="F61" s="287" t="n">
        <f aca="false">'Funding &amp; Liquidity'!F17</f>
        <v>153996020.95</v>
      </c>
    </row>
    <row r="62" customFormat="false" ht="18" hidden="false" customHeight="true" outlineLevel="0" collapsed="false">
      <c r="A62" s="348" t="s">
        <v>1295</v>
      </c>
      <c r="B62" s="287" t="n">
        <f aca="false">'Funding &amp; Liquidity'!B18</f>
        <v>589807.9925</v>
      </c>
      <c r="C62" s="287" t="n">
        <f aca="false">'Funding &amp; Liquidity'!C18</f>
        <v>7964173.65666667</v>
      </c>
      <c r="D62" s="287" t="n">
        <f aca="false">'Funding &amp; Liquidity'!D18</f>
        <v>32500000</v>
      </c>
      <c r="E62" s="287" t="n">
        <f aca="false">'Funding &amp; Liquidity'!E18</f>
        <v>68333333.3333333</v>
      </c>
      <c r="F62" s="287" t="n">
        <f aca="false">'Funding &amp; Liquidity'!F18</f>
        <v>129166666.666667</v>
      </c>
    </row>
    <row r="63" customFormat="false" ht="18" hidden="false" customHeight="true" outlineLevel="0" collapsed="false">
      <c r="A63" s="348" t="s">
        <v>1039</v>
      </c>
      <c r="B63" s="287" t="n">
        <f aca="false">'Funding &amp; Liquidity'!B19</f>
        <v>1169348.4</v>
      </c>
      <c r="C63" s="287" t="n">
        <f aca="false">'Funding &amp; Liquidity'!C19</f>
        <v>14891188.71825</v>
      </c>
      <c r="D63" s="287" t="n">
        <f aca="false">'Funding &amp; Liquidity'!D19</f>
        <v>38079135.675</v>
      </c>
      <c r="E63" s="287" t="n">
        <f aca="false">'Funding &amp; Liquidity'!E19</f>
        <v>74239365.3</v>
      </c>
      <c r="F63" s="287" t="n">
        <f aca="false">'Funding &amp; Liquidity'!F19</f>
        <v>138596418.855</v>
      </c>
    </row>
    <row r="64" customFormat="false" ht="18" hidden="false" customHeight="true" outlineLevel="0" collapsed="false">
      <c r="A64" s="348" t="s">
        <v>1296</v>
      </c>
      <c r="B64" s="287" t="n">
        <f aca="false">'Funding &amp; Liquidity'!B20</f>
        <v>709468.0075</v>
      </c>
      <c r="C64" s="287" t="n">
        <f aca="false">'Funding &amp; Liquidity'!C20</f>
        <v>8581591.58583333</v>
      </c>
      <c r="D64" s="287" t="n">
        <f aca="false">'Funding &amp; Liquidity'!D20</f>
        <v>9810150.75</v>
      </c>
      <c r="E64" s="287" t="n">
        <f aca="false">'Funding &amp; Liquidity'!E20</f>
        <v>14154850.3333333</v>
      </c>
      <c r="F64" s="287" t="n">
        <f aca="false">'Funding &amp; Liquidity'!F20</f>
        <v>24829354.2833333</v>
      </c>
    </row>
    <row r="65" customFormat="false" ht="18" hidden="false" customHeight="true" outlineLevel="0" collapsed="false">
      <c r="A65" s="348" t="s">
        <v>1297</v>
      </c>
      <c r="B65" s="292" t="n">
        <f aca="false">'Funding &amp; Liquidity'!B21</f>
        <v>4.53990589561574</v>
      </c>
      <c r="C65" s="292" t="n">
        <f aca="false">'Funding &amp; Liquidity'!C21</f>
        <v>1.10731387549798</v>
      </c>
      <c r="D65" s="292" t="n">
        <f aca="false">'Funding &amp; Liquidity'!D21</f>
        <v>1.34692002612802</v>
      </c>
      <c r="E65" s="292" t="n">
        <f aca="false">'Funding &amp; Liquidity'!E21</f>
        <v>4.64894494552536</v>
      </c>
      <c r="F65" s="292" t="n">
        <f aca="false">'Funding &amp; Liquidity'!F21</f>
        <v>9.69741599892725</v>
      </c>
    </row>
    <row r="66" customFormat="false" ht="18" hidden="false" customHeight="true" outlineLevel="0" collapsed="false">
      <c r="A66" s="348" t="s">
        <v>1298</v>
      </c>
      <c r="B66" s="292" t="n">
        <f aca="false">1</f>
        <v>1</v>
      </c>
      <c r="C66" s="292" t="n">
        <f aca="false">1</f>
        <v>1</v>
      </c>
      <c r="D66" s="292" t="n">
        <f aca="false">1</f>
        <v>1</v>
      </c>
      <c r="E66" s="292" t="n">
        <f aca="false">1</f>
        <v>1</v>
      </c>
      <c r="F66" s="292" t="n">
        <f aca="false">1</f>
        <v>1</v>
      </c>
    </row>
    <row r="67" customFormat="false" ht="18" hidden="false" customHeight="true" outlineLevel="0" collapsed="false">
      <c r="A67" s="348" t="s">
        <v>657</v>
      </c>
      <c r="B67" s="286" t="str">
        <f aca="false">IF(B65&lt;100%,"فجوة تخطيطية","استرشادي - بيانات آجال تعاقدية مطلوبة")</f>
        <v>استرشادي - بيانات آجال تعاقدية مطلوبة</v>
      </c>
      <c r="C67" s="286" t="str">
        <f aca="false">IF(C65&lt;100%,"فجوة تخطيطية","استرشادي - بيانات آجال تعاقدية مطلوبة")</f>
        <v>استرشادي - بيانات آجال تعاقدية مطلوبة</v>
      </c>
      <c r="D67" s="286" t="str">
        <f aca="false">IF(D65&lt;100%,"فجوة تخطيطية","استرشادي - بيانات آجال تعاقدية مطلوبة")</f>
        <v>استرشادي - بيانات آجال تعاقدية مطلوبة</v>
      </c>
      <c r="E67" s="286" t="str">
        <f aca="false">IF(E65&lt;100%,"فجوة تخطيطية","استرشادي - بيانات آجال تعاقدية مطلوبة")</f>
        <v>استرشادي - بيانات آجال تعاقدية مطلوبة</v>
      </c>
      <c r="F67" s="286" t="str">
        <f aca="false">IF(F65&lt;100%,"فجوة تخطيطية","استرشادي - بيانات آجال تعاقدية مطلوبة")</f>
        <v>استرشادي - بيانات آجال تعاقدية مطلوبة</v>
      </c>
    </row>
    <row r="69" customFormat="false" ht="21.75" hidden="false" customHeight="true" outlineLevel="0" collapsed="false">
      <c r="A69" s="347" t="s">
        <v>1299</v>
      </c>
      <c r="B69" s="337"/>
      <c r="C69" s="337"/>
      <c r="D69" s="337"/>
      <c r="E69" s="337"/>
      <c r="F69" s="337"/>
    </row>
    <row r="70" customFormat="false" ht="18" hidden="false" customHeight="true" outlineLevel="0" collapsed="false">
      <c r="A70" s="348" t="s">
        <v>1300</v>
      </c>
      <c r="B70" s="287" t="n">
        <f aca="false">'Funding &amp; Liquidity'!B25</f>
        <v>21833129.2373</v>
      </c>
      <c r="C70" s="287" t="n">
        <f aca="false">'Funding &amp; Liquidity'!C25</f>
        <v>76086745.31085</v>
      </c>
      <c r="D70" s="287" t="n">
        <f aca="false">'Funding &amp; Liquidity'!D25</f>
        <v>152838056.94091</v>
      </c>
      <c r="E70" s="287" t="n">
        <f aca="false">'Funding &amp; Liquidity'!E25</f>
        <v>312778891.485658</v>
      </c>
      <c r="F70" s="287" t="n">
        <f aca="false">'Funding &amp; Liquidity'!F25</f>
        <v>602538870.926534</v>
      </c>
    </row>
    <row r="71" customFormat="false" ht="18" hidden="false" customHeight="true" outlineLevel="0" collapsed="false">
      <c r="A71" s="348" t="s">
        <v>1301</v>
      </c>
      <c r="B71" s="287" t="n">
        <f aca="false">'Funding &amp; Liquidity'!B26</f>
        <v>0</v>
      </c>
      <c r="C71" s="287" t="n">
        <f aca="false">'Funding &amp; Liquidity'!C26</f>
        <v>314500000</v>
      </c>
      <c r="D71" s="287" t="n">
        <f aca="false">'Funding &amp; Liquidity'!D26</f>
        <v>616500000</v>
      </c>
      <c r="E71" s="287" t="n">
        <f aca="false">'Funding &amp; Liquidity'!E26</f>
        <v>1201500000</v>
      </c>
      <c r="F71" s="287" t="n">
        <f aca="false">'Funding &amp; Liquidity'!F26</f>
        <v>2340000000</v>
      </c>
    </row>
    <row r="72" customFormat="false" ht="18" hidden="false" customHeight="true" outlineLevel="0" collapsed="false">
      <c r="A72" s="348" t="s">
        <v>1302</v>
      </c>
      <c r="B72" s="287" t="n">
        <f aca="false">'Funding &amp; Liquidity'!B27</f>
        <v>0</v>
      </c>
      <c r="C72" s="287" t="n">
        <f aca="false">'Funding &amp; Liquidity'!C27</f>
        <v>27750000</v>
      </c>
      <c r="D72" s="287" t="n">
        <f aca="false">'Funding &amp; Liquidity'!D27</f>
        <v>51375000</v>
      </c>
      <c r="E72" s="287" t="n">
        <f aca="false">'Funding &amp; Liquidity'!E27</f>
        <v>100125000</v>
      </c>
      <c r="F72" s="287" t="n">
        <f aca="false">'Funding &amp; Liquidity'!F27</f>
        <v>195000000</v>
      </c>
    </row>
    <row r="73" customFormat="false" ht="18" hidden="false" customHeight="true" outlineLevel="0" collapsed="false">
      <c r="A73" s="348" t="s">
        <v>1303</v>
      </c>
      <c r="B73" s="287" t="n">
        <f aca="false">'Funding &amp; Liquidity'!B28</f>
        <v>0</v>
      </c>
      <c r="C73" s="287" t="n">
        <f aca="false">'Funding &amp; Liquidity'!C28</f>
        <v>9250000</v>
      </c>
      <c r="D73" s="287" t="n">
        <f aca="false">'Funding &amp; Liquidity'!D28</f>
        <v>0</v>
      </c>
      <c r="E73" s="287" t="n">
        <f aca="false">'Funding &amp; Liquidity'!E28</f>
        <v>0</v>
      </c>
      <c r="F73" s="287" t="n">
        <f aca="false">'Funding &amp; Liquidity'!F28</f>
        <v>0</v>
      </c>
    </row>
    <row r="74" customFormat="false" ht="18" hidden="false" customHeight="true" outlineLevel="0" collapsed="false">
      <c r="A74" s="348" t="s">
        <v>1304</v>
      </c>
      <c r="B74" s="287" t="n">
        <f aca="false">'Funding &amp; Liquidity'!B29</f>
        <v>24833129.2373</v>
      </c>
      <c r="C74" s="287" t="n">
        <f aca="false">'Funding &amp; Liquidity'!C29</f>
        <v>431336745.31085</v>
      </c>
      <c r="D74" s="287" t="n">
        <f aca="false">'Funding &amp; Liquidity'!D29</f>
        <v>831213056.94091</v>
      </c>
      <c r="E74" s="287" t="n">
        <f aca="false">'Funding &amp; Liquidity'!E29</f>
        <v>1634653891.48566</v>
      </c>
      <c r="F74" s="287" t="n">
        <f aca="false">'Funding &amp; Liquidity'!F29</f>
        <v>3175038870.92653</v>
      </c>
    </row>
    <row r="75" customFormat="false" ht="18" hidden="false" customHeight="true" outlineLevel="0" collapsed="false">
      <c r="A75" s="348" t="s">
        <v>1305</v>
      </c>
      <c r="B75" s="287" t="n">
        <f aca="false">'Funding &amp; Liquidity'!B30</f>
        <v>14036494.47711</v>
      </c>
      <c r="C75" s="287" t="n">
        <f aca="false">'Funding &amp; Liquidity'!C30</f>
        <v>307316907.5158</v>
      </c>
      <c r="D75" s="287" t="n">
        <f aca="false">'Funding &amp; Liquidity'!D30</f>
        <v>588395144.50948</v>
      </c>
      <c r="E75" s="287" t="n">
        <f aca="false">'Funding &amp; Liquidity'!E30</f>
        <v>1132189586.70569</v>
      </c>
      <c r="F75" s="287" t="n">
        <f aca="false">'Funding &amp; Liquidity'!F30</f>
        <v>2122188752.02341</v>
      </c>
    </row>
    <row r="76" customFormat="false" ht="18" hidden="false" customHeight="true" outlineLevel="0" collapsed="false">
      <c r="A76" s="348" t="s">
        <v>1306</v>
      </c>
      <c r="B76" s="287" t="n">
        <f aca="false">'Funding &amp; Liquidity'!B31</f>
        <v>3007820.245095</v>
      </c>
      <c r="C76" s="287" t="n">
        <f aca="false">'Funding &amp; Liquidity'!C31</f>
        <v>65853623.0391</v>
      </c>
      <c r="D76" s="287" t="n">
        <f aca="false">'Funding &amp; Liquidity'!D31</f>
        <v>126084673.82346</v>
      </c>
      <c r="E76" s="287" t="n">
        <f aca="false">'Funding &amp; Liquidity'!E31</f>
        <v>242612054.294076</v>
      </c>
      <c r="F76" s="287" t="n">
        <f aca="false">'Funding &amp; Liquidity'!F31</f>
        <v>454754732.576446</v>
      </c>
    </row>
    <row r="77" customFormat="false" ht="18" hidden="false" customHeight="true" outlineLevel="0" collapsed="false">
      <c r="A77" s="348" t="s">
        <v>1307</v>
      </c>
      <c r="B77" s="287" t="n">
        <f aca="false">'Funding &amp; Liquidity'!B32</f>
        <v>1002606.748365</v>
      </c>
      <c r="C77" s="287" t="n">
        <f aca="false">'Funding &amp; Liquidity'!C32</f>
        <v>21951207.6797</v>
      </c>
      <c r="D77" s="287" t="n">
        <f aca="false">'Funding &amp; Liquidity'!D32</f>
        <v>42028224.60782</v>
      </c>
      <c r="E77" s="287" t="n">
        <f aca="false">'Funding &amp; Liquidity'!E32</f>
        <v>80870684.764692</v>
      </c>
      <c r="F77" s="287" t="n">
        <f aca="false">'Funding &amp; Liquidity'!F32</f>
        <v>151584910.858815</v>
      </c>
    </row>
    <row r="78" customFormat="false" ht="18" hidden="false" customHeight="true" outlineLevel="0" collapsed="false">
      <c r="A78" s="348" t="s">
        <v>1308</v>
      </c>
      <c r="B78" s="287" t="n">
        <f aca="false">'Funding &amp; Liquidity'!B33</f>
        <v>4560076.28</v>
      </c>
      <c r="C78" s="287" t="n">
        <f aca="false">'Funding &amp; Liquidity'!C33</f>
        <v>5060076.28</v>
      </c>
      <c r="D78" s="287" t="n">
        <f aca="false">'Funding &amp; Liquidity'!D33</f>
        <v>5060076.28</v>
      </c>
      <c r="E78" s="287" t="n">
        <f aca="false">'Funding &amp; Liquidity'!E33</f>
        <v>5060076.28</v>
      </c>
      <c r="F78" s="287" t="n">
        <f aca="false">'Funding &amp; Liquidity'!F33</f>
        <v>5060076.28</v>
      </c>
    </row>
    <row r="79" customFormat="false" ht="18" hidden="false" customHeight="true" outlineLevel="0" collapsed="false">
      <c r="A79" s="348" t="s">
        <v>1309</v>
      </c>
      <c r="B79" s="287" t="n">
        <f aca="false">'Funding &amp; Liquidity'!B34</f>
        <v>22606997.75057</v>
      </c>
      <c r="C79" s="287" t="n">
        <f aca="false">'Funding &amp; Liquidity'!C34</f>
        <v>400181814.5146</v>
      </c>
      <c r="D79" s="287" t="n">
        <f aca="false">'Funding &amp; Liquidity'!D34</f>
        <v>761568119.22076</v>
      </c>
      <c r="E79" s="287" t="n">
        <f aca="false">'Funding &amp; Liquidity'!E34</f>
        <v>1460732402.04446</v>
      </c>
      <c r="F79" s="287" t="n">
        <f aca="false">'Funding &amp; Liquidity'!F34</f>
        <v>2733588471.73867</v>
      </c>
    </row>
    <row r="80" customFormat="false" ht="18" hidden="false" customHeight="true" outlineLevel="0" collapsed="false">
      <c r="A80" s="348" t="s">
        <v>1310</v>
      </c>
      <c r="B80" s="292" t="n">
        <f aca="false">'Funding &amp; Liquidity'!B35</f>
        <v>1.09847090318191</v>
      </c>
      <c r="C80" s="292" t="n">
        <f aca="false">'Funding &amp; Liquidity'!C35</f>
        <v>1.07785194045871</v>
      </c>
      <c r="D80" s="292" t="n">
        <f aca="false">'Funding &amp; Liquidity'!D35</f>
        <v>1.09144938707704</v>
      </c>
      <c r="E80" s="292" t="n">
        <f aca="false">'Funding &amp; Liquidity'!E35</f>
        <v>1.11906457965729</v>
      </c>
      <c r="F80" s="292" t="n">
        <f aca="false">'Funding &amp; Liquidity'!F35</f>
        <v>1.16149116948356</v>
      </c>
    </row>
    <row r="81" customFormat="false" ht="18" hidden="false" customHeight="true" outlineLevel="0" collapsed="false">
      <c r="A81" s="348" t="s">
        <v>1298</v>
      </c>
      <c r="B81" s="292" t="n">
        <f aca="false">1</f>
        <v>1</v>
      </c>
      <c r="C81" s="292" t="n">
        <f aca="false">1</f>
        <v>1</v>
      </c>
      <c r="D81" s="292" t="n">
        <f aca="false">1</f>
        <v>1</v>
      </c>
      <c r="E81" s="292" t="n">
        <f aca="false">1</f>
        <v>1</v>
      </c>
      <c r="F81" s="292" t="n">
        <f aca="false">1</f>
        <v>1</v>
      </c>
    </row>
    <row r="82" customFormat="false" ht="18" hidden="false" customHeight="true" outlineLevel="0" collapsed="false">
      <c r="A82" s="348" t="s">
        <v>657</v>
      </c>
      <c r="B82" s="286" t="str">
        <f aca="false">IF(B80&lt;100%,"فجوة تخطيطية","استرشادي - جداول ASF/RSF الفعلية مطلوبة")</f>
        <v>استرشادي - جداول ASF/RSF الفعلية مطلوبة</v>
      </c>
      <c r="C82" s="286" t="str">
        <f aca="false">IF(C80&lt;100%,"فجوة تخطيطية","استرشادي - جداول ASF/RSF الفعلية مطلوبة")</f>
        <v>استرشادي - جداول ASF/RSF الفعلية مطلوبة</v>
      </c>
      <c r="D82" s="286" t="str">
        <f aca="false">IF(D80&lt;100%,"فجوة تخطيطية","استرشادي - جداول ASF/RSF الفعلية مطلوبة")</f>
        <v>استرشادي - جداول ASF/RSF الفعلية مطلوبة</v>
      </c>
      <c r="E82" s="286" t="str">
        <f aca="false">IF(E80&lt;100%,"فجوة تخطيطية","استرشادي - جداول ASF/RSF الفعلية مطلوبة")</f>
        <v>استرشادي - جداول ASF/RSF الفعلية مطلوبة</v>
      </c>
      <c r="F82" s="286" t="str">
        <f aca="false">IF(F80&lt;100%,"فجوة تخطيطية","استرشادي - جداول ASF/RSF الفعلية مطلوبة")</f>
        <v>استرشادي - جداول ASF/RSF الفعلية مطلوبة</v>
      </c>
    </row>
    <row r="84" customFormat="false" ht="21.75" hidden="false" customHeight="true" outlineLevel="0" collapsed="false">
      <c r="A84" s="347" t="s">
        <v>1311</v>
      </c>
      <c r="B84" s="337"/>
      <c r="C84" s="337"/>
      <c r="D84" s="337"/>
      <c r="E84" s="337"/>
      <c r="F84" s="337"/>
    </row>
    <row r="85" customFormat="false" ht="18" hidden="false" customHeight="true" outlineLevel="0" collapsed="false">
      <c r="A85" s="348" t="s">
        <v>1312</v>
      </c>
      <c r="B85" s="287" t="n">
        <f aca="false">'Regulatory Capital Plan'!B36</f>
        <v>5775578.77119</v>
      </c>
      <c r="C85" s="287" t="n">
        <f aca="false">'Regulatory Capital Plan'!C36</f>
        <v>21961663.593255</v>
      </c>
      <c r="D85" s="287" t="n">
        <f aca="false">'Regulatory Capital Plan'!D36</f>
        <v>44987057.082273</v>
      </c>
      <c r="E85" s="287" t="n">
        <f aca="false">'Regulatory Capital Plan'!E36</f>
        <v>92969307.4456974</v>
      </c>
      <c r="F85" s="287" t="n">
        <f aca="false">'Regulatory Capital Plan'!F36</f>
        <v>179897301.27796</v>
      </c>
    </row>
    <row r="86" customFormat="false" ht="18" hidden="false" customHeight="true" outlineLevel="0" collapsed="false">
      <c r="A86" s="348" t="s">
        <v>1313</v>
      </c>
      <c r="B86" s="287" t="n">
        <f aca="false">'Regulatory Capital Plan'!B37</f>
        <v>4812982.309325</v>
      </c>
      <c r="C86" s="287" t="n">
        <f aca="false">'Regulatory Capital Plan'!C37</f>
        <v>18301386.3277125</v>
      </c>
      <c r="D86" s="287" t="n">
        <f aca="false">'Regulatory Capital Plan'!D37</f>
        <v>37489214.2352275</v>
      </c>
      <c r="E86" s="287" t="n">
        <f aca="false">'Regulatory Capital Plan'!E37</f>
        <v>77474422.8714145</v>
      </c>
      <c r="F86" s="287" t="n">
        <f aca="false">'Regulatory Capital Plan'!F37</f>
        <v>149914417.731633</v>
      </c>
    </row>
    <row r="87" customFormat="false" ht="18" hidden="false" customHeight="true" outlineLevel="0" collapsed="false">
      <c r="A87" s="348" t="s">
        <v>1314</v>
      </c>
      <c r="B87" s="287" t="str">
        <f aca="false">'Regulatory Capital Plan'!B38</f>
        <v>بيانات تشغيلية مطلوبة</v>
      </c>
      <c r="C87" s="287" t="str">
        <f aca="false">'Regulatory Capital Plan'!C38</f>
        <v>بيانات تشغيلية مطلوبة</v>
      </c>
      <c r="D87" s="287" t="str">
        <f aca="false">'Regulatory Capital Plan'!D38</f>
        <v>بيانات تشغيلية مطلوبة</v>
      </c>
      <c r="E87" s="287" t="str">
        <f aca="false">'Regulatory Capital Plan'!E38</f>
        <v>بيانات تشغيلية مطلوبة</v>
      </c>
      <c r="F87" s="287" t="str">
        <f aca="false">'Regulatory Capital Plan'!F38</f>
        <v>بيانات تشغيلية مطلوبة</v>
      </c>
    </row>
    <row r="88" customFormat="false" ht="18" hidden="false" customHeight="true" outlineLevel="0" collapsed="false">
      <c r="A88" s="348" t="s">
        <v>657</v>
      </c>
      <c r="B88" s="286" t="str">
        <f aca="false">"بيانات معلقة - لا يوجد سجل تركز عملاء فعلي"</f>
        <v>بيانات معلقة - لا يوجد سجل تركز عملاء فعلي</v>
      </c>
      <c r="C88" s="286" t="str">
        <f aca="false">"بيانات معلقة - لا يوجد سجل تركز عملاء فعلي"</f>
        <v>بيانات معلقة - لا يوجد سجل تركز عملاء فعلي</v>
      </c>
      <c r="D88" s="286" t="str">
        <f aca="false">"بيانات معلقة - لا يوجد سجل تركز عملاء فعلي"</f>
        <v>بيانات معلقة - لا يوجد سجل تركز عملاء فعلي</v>
      </c>
      <c r="E88" s="286" t="str">
        <f aca="false">"بيانات معلقة - لا يوجد سجل تركز عملاء فعلي"</f>
        <v>بيانات معلقة - لا يوجد سجل تركز عملاء فعلي</v>
      </c>
      <c r="F88" s="286" t="str">
        <f aca="false">"بيانات معلقة - لا يوجد سجل تركز عملاء فعلي"</f>
        <v>بيانات معلقة - لا يوجد سجل تركز عملاء فعلي</v>
      </c>
    </row>
    <row r="90" customFormat="false" ht="15" hidden="false" customHeight="true" outlineLevel="0" collapsed="false">
      <c r="A90" s="354" t="s">
        <v>1315</v>
      </c>
      <c r="B90" s="354"/>
      <c r="C90" s="354"/>
      <c r="D90" s="354"/>
      <c r="E90" s="354"/>
      <c r="F90" s="354"/>
    </row>
    <row r="91" customFormat="false" ht="15" hidden="false" customHeight="true" outlineLevel="0" collapsed="false">
      <c r="A91" s="346" t="s">
        <v>83</v>
      </c>
      <c r="B91" s="284" t="s">
        <v>84</v>
      </c>
      <c r="C91" s="284" t="s">
        <v>85</v>
      </c>
      <c r="D91" s="284" t="s">
        <v>86</v>
      </c>
      <c r="E91" s="284" t="s">
        <v>87</v>
      </c>
      <c r="F91" s="284" t="s">
        <v>88</v>
      </c>
    </row>
    <row r="92" customFormat="false" ht="15" hidden="false" customHeight="true" outlineLevel="0" collapsed="false">
      <c r="A92" s="348" t="s">
        <v>1316</v>
      </c>
      <c r="B92" s="287" t="n">
        <f aca="false">'Regulatory Capital Plan'!B24</f>
        <v>15816898.5183821</v>
      </c>
      <c r="C92" s="287" t="n">
        <f aca="false">'Regulatory Capital Plan'!C24</f>
        <v>42089608.2463146</v>
      </c>
      <c r="D92" s="287" t="n">
        <f aca="false">'Regulatory Capital Plan'!D24</f>
        <v>61995372.264692</v>
      </c>
      <c r="E92" s="287" t="n">
        <f aca="false">'Regulatory Capital Plan'!E24</f>
        <v>119452254.608815</v>
      </c>
      <c r="F92" s="287" t="n">
        <f aca="false">'Regulatory Capital Plan'!F24</f>
        <v>222302509.015289</v>
      </c>
    </row>
    <row r="93" customFormat="false" ht="15" hidden="false" customHeight="true" outlineLevel="0" collapsed="false">
      <c r="A93" s="348" t="s">
        <v>1317</v>
      </c>
      <c r="B93" s="287" t="n">
        <f aca="false">B92</f>
        <v>15816898.5183821</v>
      </c>
      <c r="C93" s="287" t="n">
        <f aca="false">AVERAGE(B92:C92)</f>
        <v>28953253.3823484</v>
      </c>
      <c r="D93" s="287" t="n">
        <f aca="false">AVERAGE(B92:D92)</f>
        <v>39967293.0097963</v>
      </c>
      <c r="E93" s="287" t="n">
        <f aca="false">AVERAGE(C92:E92)</f>
        <v>74512411.7066073</v>
      </c>
      <c r="F93" s="287" t="n">
        <f aca="false">AVERAGE(D92:F92)</f>
        <v>134583378.629599</v>
      </c>
    </row>
    <row r="94" customFormat="false" ht="15" hidden="false" customHeight="true" outlineLevel="0" collapsed="false">
      <c r="A94" s="348" t="s">
        <v>1318</v>
      </c>
      <c r="B94" s="287" t="n">
        <v>1000000000</v>
      </c>
      <c r="C94" s="287" t="n">
        <v>1000000000</v>
      </c>
      <c r="D94" s="287" t="n">
        <v>1000000000</v>
      </c>
      <c r="E94" s="287" t="n">
        <v>1000000000</v>
      </c>
      <c r="F94" s="287" t="n">
        <v>1000000000</v>
      </c>
    </row>
    <row r="95" customFormat="false" ht="15" hidden="false" customHeight="true" outlineLevel="0" collapsed="false">
      <c r="A95" s="348" t="s">
        <v>1319</v>
      </c>
      <c r="B95" s="287" t="n">
        <v>30000000000</v>
      </c>
      <c r="C95" s="287" t="n">
        <v>30000000000</v>
      </c>
      <c r="D95" s="287" t="n">
        <v>30000000000</v>
      </c>
      <c r="E95" s="287" t="n">
        <v>30000000000</v>
      </c>
      <c r="F95" s="287" t="n">
        <v>30000000000</v>
      </c>
    </row>
    <row r="96" customFormat="false" ht="15" hidden="false" customHeight="true" outlineLevel="0" collapsed="false">
      <c r="A96" s="348" t="s">
        <v>1320</v>
      </c>
      <c r="B96" s="292" t="n">
        <f aca="false">IF(B93&lt;=B94,12%,IF(B93&lt;=B95,15%,18%))</f>
        <v>0.12</v>
      </c>
      <c r="C96" s="292" t="n">
        <f aca="false">IF(C93&lt;=C94,12%,IF(C93&lt;=C95,15%,18%))</f>
        <v>0.12</v>
      </c>
      <c r="D96" s="292" t="n">
        <f aca="false">IF(D93&lt;=D94,12%,IF(D93&lt;=D95,15%,18%))</f>
        <v>0.12</v>
      </c>
      <c r="E96" s="292" t="n">
        <f aca="false">IF(E93&lt;=E94,12%,IF(E93&lt;=E95,15%,18%))</f>
        <v>0.12</v>
      </c>
      <c r="F96" s="292" t="n">
        <f aca="false">IF(F93&lt;=F94,12%,IF(F93&lt;=F95,15%,18%))</f>
        <v>0.12</v>
      </c>
    </row>
    <row r="97" customFormat="false" ht="15" hidden="false" customHeight="true" outlineLevel="0" collapsed="false">
      <c r="A97" s="353" t="s">
        <v>1321</v>
      </c>
      <c r="B97" s="353"/>
      <c r="C97" s="353"/>
      <c r="D97" s="353"/>
      <c r="E97" s="353"/>
      <c r="F97" s="353"/>
    </row>
    <row r="99" customFormat="false" ht="15" hidden="false" customHeight="true" outlineLevel="0" collapsed="false">
      <c r="A99" s="354" t="s">
        <v>1322</v>
      </c>
      <c r="B99" s="354"/>
      <c r="C99" s="354"/>
      <c r="D99" s="354"/>
      <c r="E99" s="354"/>
      <c r="F99" s="354"/>
    </row>
    <row r="100" customFormat="false" ht="15" hidden="false" customHeight="true" outlineLevel="0" collapsed="false">
      <c r="A100" s="346" t="s">
        <v>83</v>
      </c>
      <c r="B100" s="284" t="s">
        <v>84</v>
      </c>
      <c r="C100" s="284" t="s">
        <v>85</v>
      </c>
      <c r="D100" s="284" t="s">
        <v>86</v>
      </c>
      <c r="E100" s="284" t="s">
        <v>87</v>
      </c>
      <c r="F100" s="284" t="s">
        <v>88</v>
      </c>
    </row>
    <row r="101" customFormat="false" ht="15" hidden="false" customHeight="true" outlineLevel="0" collapsed="false">
      <c r="A101" s="348" t="s">
        <v>1323</v>
      </c>
      <c r="B101" s="287" t="n">
        <v>0</v>
      </c>
      <c r="C101" s="287" t="n">
        <v>0</v>
      </c>
      <c r="D101" s="287" t="n">
        <v>0</v>
      </c>
      <c r="E101" s="287" t="n">
        <v>0</v>
      </c>
      <c r="F101" s="287" t="n">
        <v>0</v>
      </c>
    </row>
    <row r="102" customFormat="false" ht="15" hidden="false" customHeight="true" outlineLevel="0" collapsed="false">
      <c r="A102" s="348" t="s">
        <v>1324</v>
      </c>
      <c r="B102" s="287" t="n">
        <v>0</v>
      </c>
      <c r="C102" s="287" t="n">
        <v>0</v>
      </c>
      <c r="D102" s="287" t="n">
        <v>0</v>
      </c>
      <c r="E102" s="287" t="n">
        <v>0</v>
      </c>
      <c r="F102" s="287" t="n">
        <v>0</v>
      </c>
    </row>
    <row r="103" customFormat="false" ht="15" hidden="false" customHeight="true" outlineLevel="0" collapsed="false">
      <c r="A103" s="348" t="s">
        <v>1325</v>
      </c>
      <c r="B103" s="287" t="n">
        <f aca="false">15*B102</f>
        <v>0</v>
      </c>
      <c r="C103" s="287" t="n">
        <f aca="false">15*C102</f>
        <v>0</v>
      </c>
      <c r="D103" s="287" t="n">
        <f aca="false">15*D102</f>
        <v>0</v>
      </c>
      <c r="E103" s="287" t="n">
        <f aca="false">15*E102</f>
        <v>0</v>
      </c>
      <c r="F103" s="287" t="n">
        <f aca="false">15*F102</f>
        <v>0</v>
      </c>
    </row>
    <row r="104" customFormat="false" ht="15" hidden="false" customHeight="true" outlineLevel="0" collapsed="false">
      <c r="A104" s="348" t="s">
        <v>1048</v>
      </c>
      <c r="B104" s="348" t="s">
        <v>1326</v>
      </c>
      <c r="C104" s="348" t="s">
        <v>1326</v>
      </c>
      <c r="D104" s="348" t="s">
        <v>1326</v>
      </c>
      <c r="E104" s="348" t="s">
        <v>1326</v>
      </c>
      <c r="F104" s="348" t="s">
        <v>1326</v>
      </c>
    </row>
    <row r="105" customFormat="false" ht="15" hidden="false" customHeight="true" outlineLevel="0" collapsed="false">
      <c r="A105" s="348" t="s">
        <v>1327</v>
      </c>
      <c r="B105" s="287" t="n">
        <v>1</v>
      </c>
      <c r="C105" s="287" t="n">
        <v>1</v>
      </c>
      <c r="D105" s="287" t="n">
        <v>1</v>
      </c>
      <c r="E105" s="287" t="n">
        <v>1</v>
      </c>
      <c r="F105" s="287" t="n">
        <v>1</v>
      </c>
    </row>
    <row r="107" customFormat="false" ht="15" hidden="false" customHeight="true" outlineLevel="0" collapsed="false">
      <c r="A107" s="354" t="s">
        <v>1328</v>
      </c>
      <c r="B107" s="354"/>
      <c r="C107" s="354"/>
      <c r="D107" s="354"/>
      <c r="E107" s="354"/>
      <c r="F107" s="354"/>
      <c r="G107" s="354"/>
      <c r="H107" s="354"/>
      <c r="I107" s="354"/>
      <c r="J107" s="354"/>
      <c r="K107" s="354"/>
      <c r="L107" s="354"/>
    </row>
    <row r="108" customFormat="false" ht="12" hidden="false" customHeight="true" outlineLevel="0" collapsed="false">
      <c r="A108" s="348" t="s">
        <v>1329</v>
      </c>
      <c r="B108" s="348" t="s">
        <v>1330</v>
      </c>
      <c r="C108" s="348" t="s">
        <v>1331</v>
      </c>
      <c r="D108" s="348" t="s">
        <v>1332</v>
      </c>
      <c r="E108" s="348" t="s">
        <v>1333</v>
      </c>
      <c r="F108" s="348" t="s">
        <v>1334</v>
      </c>
      <c r="G108" s="348" t="s">
        <v>1335</v>
      </c>
      <c r="H108" s="348" t="s">
        <v>1336</v>
      </c>
      <c r="I108" s="348" t="s">
        <v>1337</v>
      </c>
      <c r="J108" s="348" t="s">
        <v>1312</v>
      </c>
      <c r="K108" s="348" t="s">
        <v>1338</v>
      </c>
      <c r="L108" s="348" t="s">
        <v>657</v>
      </c>
    </row>
    <row r="109" customFormat="false" ht="15" hidden="false" customHeight="true" outlineLevel="0" collapsed="false">
      <c r="A109" s="348"/>
      <c r="B109" s="348"/>
      <c r="C109" s="348"/>
      <c r="D109" s="287" t="n">
        <v>0</v>
      </c>
      <c r="E109" s="287" t="n">
        <v>0</v>
      </c>
      <c r="F109" s="287" t="n">
        <v>0</v>
      </c>
      <c r="G109" s="287" t="n">
        <f aca="false">D109+E109+F109-0</f>
        <v>0</v>
      </c>
      <c r="H109" s="287" t="n">
        <f aca="false">IFERROR(G109/'Regulatory Capital Plan'!$C$10,0)</f>
        <v>0</v>
      </c>
      <c r="I109" s="287" t="n">
        <v>0.3</v>
      </c>
      <c r="J109" s="287" t="n">
        <v>0.25</v>
      </c>
      <c r="K109" s="287" t="s">
        <v>1339</v>
      </c>
    </row>
    <row r="110" customFormat="false" ht="15" hidden="false" customHeight="true" outlineLevel="0" collapsed="false">
      <c r="A110" s="348"/>
      <c r="B110" s="348"/>
      <c r="C110" s="348"/>
      <c r="D110" s="287" t="n">
        <v>0</v>
      </c>
      <c r="E110" s="287" t="n">
        <v>0</v>
      </c>
      <c r="F110" s="287" t="n">
        <v>0</v>
      </c>
      <c r="G110" s="287" t="n">
        <f aca="false">D110+E110+F110-0</f>
        <v>0</v>
      </c>
      <c r="H110" s="287" t="n">
        <f aca="false">IFERROR(G110/'Regulatory Capital Plan'!$C$10,0)</f>
        <v>0</v>
      </c>
      <c r="I110" s="287" t="n">
        <v>0.3</v>
      </c>
      <c r="J110" s="287" t="n">
        <v>0.25</v>
      </c>
      <c r="K110" s="287" t="s">
        <v>1339</v>
      </c>
    </row>
    <row r="111" customFormat="false" ht="15" hidden="false" customHeight="true" outlineLevel="0" collapsed="false">
      <c r="A111" s="348"/>
      <c r="B111" s="348"/>
      <c r="C111" s="348"/>
      <c r="D111" s="287" t="n">
        <v>0</v>
      </c>
      <c r="E111" s="287" t="n">
        <v>0</v>
      </c>
      <c r="F111" s="287" t="n">
        <v>0</v>
      </c>
      <c r="G111" s="287" t="n">
        <f aca="false">D111+E111+F111-0</f>
        <v>0</v>
      </c>
      <c r="H111" s="287" t="n">
        <f aca="false">IFERROR(G111/'Regulatory Capital Plan'!$C$10,0)</f>
        <v>0</v>
      </c>
      <c r="I111" s="287" t="n">
        <v>0.3</v>
      </c>
      <c r="J111" s="287" t="n">
        <v>0.25</v>
      </c>
      <c r="K111" s="287" t="s">
        <v>1339</v>
      </c>
    </row>
    <row r="112" customFormat="false" ht="15" hidden="false" customHeight="true" outlineLevel="0" collapsed="false">
      <c r="A112" s="348"/>
      <c r="B112" s="348"/>
      <c r="C112" s="348"/>
      <c r="D112" s="287" t="n">
        <v>0</v>
      </c>
      <c r="E112" s="287" t="n">
        <v>0</v>
      </c>
      <c r="F112" s="287" t="n">
        <v>0</v>
      </c>
      <c r="G112" s="287" t="n">
        <f aca="false">D112+E112+F112-0</f>
        <v>0</v>
      </c>
      <c r="H112" s="287" t="n">
        <f aca="false">IFERROR(G112/'Regulatory Capital Plan'!$C$10,0)</f>
        <v>0</v>
      </c>
      <c r="I112" s="287" t="n">
        <v>0.3</v>
      </c>
      <c r="J112" s="287" t="n">
        <v>0.25</v>
      </c>
      <c r="K112" s="287" t="s">
        <v>1339</v>
      </c>
    </row>
    <row r="113" customFormat="false" ht="15" hidden="false" customHeight="true" outlineLevel="0" collapsed="false">
      <c r="A113" s="348"/>
      <c r="B113" s="348"/>
      <c r="C113" s="348"/>
      <c r="D113" s="287" t="n">
        <v>0</v>
      </c>
      <c r="E113" s="287" t="n">
        <v>0</v>
      </c>
      <c r="F113" s="287" t="n">
        <v>0</v>
      </c>
      <c r="G113" s="287" t="n">
        <f aca="false">D113+E113+F113-0</f>
        <v>0</v>
      </c>
      <c r="H113" s="287" t="n">
        <f aca="false">IFERROR(G113/'Regulatory Capital Plan'!$C$10,0)</f>
        <v>0</v>
      </c>
      <c r="I113" s="287" t="n">
        <v>0.3</v>
      </c>
      <c r="J113" s="287" t="n">
        <v>0.25</v>
      </c>
      <c r="K113" s="287" t="s">
        <v>1339</v>
      </c>
    </row>
    <row r="114" customFormat="false" ht="15" hidden="false" customHeight="true" outlineLevel="0" collapsed="false">
      <c r="A114" s="348" t="s">
        <v>1340</v>
      </c>
      <c r="G114" s="287" t="n">
        <f aca="false">MAX(G109:G113)</f>
        <v>0</v>
      </c>
      <c r="H114" s="287" t="n">
        <f aca="false">IFERROR(G114/'Regulatory Capital Plan'!$C$10,0)</f>
        <v>0</v>
      </c>
      <c r="K114" s="287" t="str">
        <f aca="false">"بيانات معلقة - "&amp;IF(SUM(G109:G113)=0,"لا يوجد سجل عملاء فعلي بعد","يتطلب تحديث الحالة يدويا بعد إدخال البيانات")</f>
        <v>بيانات معلقة - لا يوجد سجل عملاء فعلي بعد</v>
      </c>
    </row>
    <row r="115" customFormat="false" ht="9.75" hidden="false" customHeight="true" outlineLevel="0" collapsed="false">
      <c r="A115" s="353" t="s">
        <v>1341</v>
      </c>
      <c r="B115" s="353"/>
      <c r="C115" s="353"/>
      <c r="D115" s="353"/>
      <c r="E115" s="353"/>
      <c r="F115" s="353"/>
      <c r="G115" s="353"/>
      <c r="H115" s="353"/>
      <c r="I115" s="353"/>
      <c r="J115" s="353"/>
      <c r="K115" s="353"/>
      <c r="L115" s="353"/>
    </row>
    <row r="117" customFormat="false" ht="15" hidden="false" customHeight="true" outlineLevel="0" collapsed="false">
      <c r="A117" s="354" t="s">
        <v>1342</v>
      </c>
      <c r="B117" s="354"/>
      <c r="C117" s="354"/>
      <c r="D117" s="354"/>
      <c r="E117" s="354"/>
      <c r="F117" s="354"/>
    </row>
    <row r="118" customFormat="false" ht="15" hidden="false" customHeight="true" outlineLevel="0" collapsed="false">
      <c r="A118" s="346" t="s">
        <v>83</v>
      </c>
      <c r="B118" s="346" t="s">
        <v>84</v>
      </c>
      <c r="C118" s="346" t="s">
        <v>85</v>
      </c>
      <c r="D118" s="346" t="s">
        <v>86</v>
      </c>
      <c r="E118" s="346" t="s">
        <v>87</v>
      </c>
      <c r="F118" s="346" t="s">
        <v>88</v>
      </c>
    </row>
    <row r="119" customFormat="false" ht="15" hidden="false" customHeight="true" outlineLevel="0" collapsed="false">
      <c r="A119" s="348" t="s">
        <v>1343</v>
      </c>
      <c r="B119" s="287" t="n">
        <f aca="false">B22*12%*B24*B25</f>
        <v>23725347.7775732</v>
      </c>
      <c r="C119" s="287" t="n">
        <f aca="false">C22*12%*C24*C25</f>
        <v>63134412.3694719</v>
      </c>
      <c r="D119" s="287" t="n">
        <f aca="false">D22*12%*D24*D25</f>
        <v>92993058.397038</v>
      </c>
      <c r="E119" s="287" t="n">
        <f aca="false">E22*12%*E24*E25</f>
        <v>179178381.913223</v>
      </c>
      <c r="F119" s="287" t="n">
        <f aca="false">F22*12%*F24*F25</f>
        <v>333453763.522934</v>
      </c>
    </row>
    <row r="120" customFormat="false" ht="15" hidden="false" customHeight="true" outlineLevel="0" collapsed="false">
      <c r="A120" s="348" t="s">
        <v>1344</v>
      </c>
      <c r="B120" s="287" t="n">
        <f aca="false">B16+B119+B29</f>
        <v>48337559.0248732</v>
      </c>
      <c r="C120" s="287" t="n">
        <f aca="false">C16+C119+C29</f>
        <v>507218642.243472</v>
      </c>
      <c r="D120" s="287" t="n">
        <f aca="false">D16+D119+D29</f>
        <v>938617626.833438</v>
      </c>
      <c r="E120" s="287" t="n">
        <f aca="false">E16+E119+E29</f>
        <v>1801652153.48706</v>
      </c>
      <c r="F120" s="287" t="n">
        <f aca="false">F16+F119+F29</f>
        <v>3370212056.97924</v>
      </c>
    </row>
    <row r="121" customFormat="false" ht="15" hidden="false" customHeight="true" outlineLevel="0" collapsed="false">
      <c r="A121" s="348" t="s">
        <v>1345</v>
      </c>
      <c r="B121" s="292" t="n">
        <f aca="false">IFERROR(B10/B120,0)</f>
        <v>0.398280956375838</v>
      </c>
      <c r="C121" s="292" t="n">
        <f aca="false">IFERROR(C10/C120,0)</f>
        <v>0.144327394961383</v>
      </c>
      <c r="D121" s="292" t="n">
        <f aca="false">IFERROR(D10/D120,0)</f>
        <v>0.159763521005685</v>
      </c>
      <c r="E121" s="292" t="n">
        <f aca="false">IFERROR(E10/E120,0)</f>
        <v>0.172007504825977</v>
      </c>
      <c r="F121" s="292" t="n">
        <f aca="false">IFERROR(F10/F120,0)</f>
        <v>0.177928765545992</v>
      </c>
    </row>
    <row r="122" customFormat="false" ht="15" hidden="false" customHeight="true" outlineLevel="0" collapsed="false">
      <c r="A122" s="348" t="s">
        <v>1346</v>
      </c>
      <c r="B122" s="287" t="str">
        <f aca="false">IF(B121&gt;=12%,"متوافق","فجوة")</f>
        <v>متوافق</v>
      </c>
      <c r="C122" s="287" t="str">
        <f aca="false">IF(C121&gt;=12%,"متوافق","فجوة")</f>
        <v>متوافق</v>
      </c>
      <c r="D122" s="287" t="str">
        <f aca="false">IF(D121&gt;=12%,"متوافق","فجوة")</f>
        <v>متوافق</v>
      </c>
      <c r="E122" s="287" t="str">
        <f aca="false">IF(E121&gt;=12%,"متوافق","فجوة")</f>
        <v>متوافق</v>
      </c>
      <c r="F122" s="287" t="str">
        <f aca="false">IF(F121&gt;=12%,"متوافق","فجوة")</f>
        <v>متوافق</v>
      </c>
    </row>
    <row r="123" customFormat="false" ht="15" hidden="false" customHeight="true" outlineLevel="0" collapsed="false">
      <c r="A123" s="348" t="s">
        <v>1347</v>
      </c>
      <c r="B123" s="287" t="n">
        <f aca="false">B22*15%*B24*B25</f>
        <v>29656684.7219665</v>
      </c>
      <c r="C123" s="287" t="n">
        <f aca="false">C22*15%*C24*C25</f>
        <v>78918015.4618399</v>
      </c>
      <c r="D123" s="287" t="n">
        <f aca="false">D22*15%*D24*D25</f>
        <v>116241322.996298</v>
      </c>
      <c r="E123" s="287" t="n">
        <f aca="false">E22*15%*E24*E25</f>
        <v>223972977.391529</v>
      </c>
      <c r="F123" s="287" t="n">
        <f aca="false">F22*15%*F24*F25</f>
        <v>416817204.403667</v>
      </c>
    </row>
    <row r="124" customFormat="false" ht="15" hidden="false" customHeight="true" outlineLevel="0" collapsed="false">
      <c r="A124" s="348" t="s">
        <v>1348</v>
      </c>
      <c r="B124" s="287" t="n">
        <f aca="false">B16+B123+B29</f>
        <v>54268895.9692665</v>
      </c>
      <c r="C124" s="287" t="n">
        <f aca="false">C16+C123+C29</f>
        <v>523002245.33584</v>
      </c>
      <c r="D124" s="287" t="n">
        <f aca="false">D16+D123+D29</f>
        <v>961865891.432697</v>
      </c>
      <c r="E124" s="287" t="n">
        <f aca="false">E16+E123+E29</f>
        <v>1846446748.96537</v>
      </c>
      <c r="F124" s="287" t="n">
        <f aca="false">F16+F123+F29</f>
        <v>3453575497.85997</v>
      </c>
    </row>
    <row r="125" customFormat="false" ht="15" hidden="false" customHeight="true" outlineLevel="0" collapsed="false">
      <c r="A125" s="348" t="s">
        <v>1349</v>
      </c>
      <c r="B125" s="292" t="n">
        <f aca="false">IFERROR(B10/B124,0)</f>
        <v>0.354750707443961</v>
      </c>
      <c r="C125" s="292" t="n">
        <f aca="false">IFERROR(C10/C124,0)</f>
        <v>0.139971761046345</v>
      </c>
      <c r="D125" s="292" t="n">
        <f aca="false">IFERROR(D10/D124,0)</f>
        <v>0.155902042349739</v>
      </c>
      <c r="E125" s="292" t="n">
        <f aca="false">IFERROR(E10/E124,0)</f>
        <v>0.167834621637101</v>
      </c>
      <c r="F125" s="292" t="n">
        <f aca="false">IFERROR(F10/F124,0)</f>
        <v>0.173633867653426</v>
      </c>
    </row>
    <row r="126" customFormat="false" ht="15" hidden="false" customHeight="true" outlineLevel="0" collapsed="false">
      <c r="A126" s="348" t="s">
        <v>1350</v>
      </c>
      <c r="B126" s="287" t="str">
        <f aca="false">IF(B125&gt;=12%,"متوافق","فجوة")</f>
        <v>متوافق</v>
      </c>
      <c r="C126" s="287" t="str">
        <f aca="false">IF(C125&gt;=12%,"متوافق","فجوة")</f>
        <v>متوافق</v>
      </c>
      <c r="D126" s="287" t="str">
        <f aca="false">IF(D125&gt;=12%,"متوافق","فجوة")</f>
        <v>متوافق</v>
      </c>
      <c r="E126" s="287" t="str">
        <f aca="false">IF(E125&gt;=12%,"متوافق","فجوة")</f>
        <v>متوافق</v>
      </c>
      <c r="F126" s="287" t="str">
        <f aca="false">IF(F125&gt;=12%,"متوافق","فجوة")</f>
        <v>متوافق</v>
      </c>
    </row>
    <row r="127" customFormat="false" ht="15" hidden="false" customHeight="true" outlineLevel="0" collapsed="false">
      <c r="A127" s="348" t="s">
        <v>1351</v>
      </c>
      <c r="B127" s="287" t="n">
        <f aca="false">B22*18%*B24*B25</f>
        <v>35588021.6663598</v>
      </c>
      <c r="C127" s="287" t="n">
        <f aca="false">C22*18%*C24*C25</f>
        <v>94701618.5542079</v>
      </c>
      <c r="D127" s="287" t="n">
        <f aca="false">D22*18%*D24*D25</f>
        <v>139489587.595557</v>
      </c>
      <c r="E127" s="287" t="n">
        <f aca="false">E22*18%*E24*E25</f>
        <v>268767572.869834</v>
      </c>
      <c r="F127" s="287" t="n">
        <f aca="false">F22*18%*F24*F25</f>
        <v>500180645.284401</v>
      </c>
    </row>
    <row r="128" customFormat="false" ht="15" hidden="false" customHeight="true" outlineLevel="0" collapsed="false">
      <c r="A128" s="348" t="s">
        <v>1352</v>
      </c>
      <c r="B128" s="287" t="n">
        <f aca="false">B16+B127+B29</f>
        <v>60200232.9136598</v>
      </c>
      <c r="C128" s="287" t="n">
        <f aca="false">C16+C127+C29</f>
        <v>538785848.428208</v>
      </c>
      <c r="D128" s="287" t="n">
        <f aca="false">D16+D127+D29</f>
        <v>985114156.031957</v>
      </c>
      <c r="E128" s="287" t="n">
        <f aca="false">E16+E127+E29</f>
        <v>1891241344.44367</v>
      </c>
      <c r="F128" s="287" t="n">
        <f aca="false">F16+F127+F29</f>
        <v>3536938938.7407</v>
      </c>
    </row>
    <row r="129" customFormat="false" ht="15" hidden="false" customHeight="true" outlineLevel="0" collapsed="false">
      <c r="A129" s="348" t="s">
        <v>1353</v>
      </c>
      <c r="B129" s="292" t="n">
        <f aca="false">IFERROR(B10/B128,0)</f>
        <v>0.319798251693003</v>
      </c>
      <c r="C129" s="292" t="n">
        <f aca="false">IFERROR(C10/C128,0)</f>
        <v>0.135871321647388</v>
      </c>
      <c r="D129" s="292" t="n">
        <f aca="false">IFERROR(D10/D128,0)</f>
        <v>0.152222822119354</v>
      </c>
      <c r="E129" s="292" t="n">
        <f aca="false">IFERROR(E10/E128,0)</f>
        <v>0.163859410326511</v>
      </c>
      <c r="F129" s="292" t="n">
        <f aca="false">IFERROR(F10/F128,0)</f>
        <v>0.169541425880549</v>
      </c>
    </row>
    <row r="130" customFormat="false" ht="15" hidden="false" customHeight="true" outlineLevel="0" collapsed="false">
      <c r="A130" s="348" t="s">
        <v>1354</v>
      </c>
      <c r="B130" s="287" t="str">
        <f aca="false">IF(B129&gt;=12%,"متوافق","فجوة")</f>
        <v>متوافق</v>
      </c>
      <c r="C130" s="287" t="str">
        <f aca="false">IF(C129&gt;=12%,"متوافق","فجوة")</f>
        <v>متوافق</v>
      </c>
      <c r="D130" s="287" t="str">
        <f aca="false">IF(D129&gt;=12%,"متوافق","فجوة")</f>
        <v>متوافق</v>
      </c>
      <c r="E130" s="287" t="str">
        <f aca="false">IF(E129&gt;=12%,"متوافق","فجوة")</f>
        <v>متوافق</v>
      </c>
      <c r="F130" s="287" t="str">
        <f aca="false">IF(F129&gt;=12%,"متوافق","فجوة")</f>
        <v>متوافق</v>
      </c>
    </row>
    <row r="131" customFormat="false" ht="15" hidden="false" customHeight="true" outlineLevel="0" collapsed="false">
      <c r="A131" s="353" t="s">
        <v>1355</v>
      </c>
      <c r="B131" s="353"/>
      <c r="C131" s="353"/>
      <c r="D131" s="353"/>
      <c r="E131" s="353"/>
      <c r="F131" s="353"/>
    </row>
  </sheetData>
  <mergeCells count="13">
    <mergeCell ref="A1:F1"/>
    <mergeCell ref="A45:F45"/>
    <mergeCell ref="A47:F47"/>
    <mergeCell ref="A48:F48"/>
    <mergeCell ref="A57:F57"/>
    <mergeCell ref="A90:F90"/>
    <mergeCell ref="A97:F97"/>
    <mergeCell ref="A99:F99"/>
    <mergeCell ref="A107:F107"/>
    <mergeCell ref="G107:L107"/>
    <mergeCell ref="A115:L115"/>
    <mergeCell ref="A117:F117"/>
    <mergeCell ref="A131:F131"/>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8"/>
    <col collapsed="false" customWidth="true" hidden="false" outlineLevel="0" max="3" min="3" style="1" width="24"/>
    <col collapsed="false" customWidth="true" hidden="false" outlineLevel="0" max="4" min="4" style="1" width="30"/>
    <col collapsed="false" customWidth="true" hidden="false" outlineLevel="0" max="5" min="5" style="1" width="21"/>
    <col collapsed="false" customWidth="true" hidden="false" outlineLevel="0" max="6" min="6" style="1" width="33"/>
    <col collapsed="false" customWidth="true" hidden="false" outlineLevel="0" max="7" min="7" style="1" width="42"/>
    <col collapsed="false" customWidth="true" hidden="false" outlineLevel="0" max="8" min="8" style="1" width="36"/>
  </cols>
  <sheetData>
    <row r="1" customFormat="false" ht="15" hidden="false" customHeight="true" outlineLevel="0" collapsed="false">
      <c r="A1" s="355" t="s">
        <v>1356</v>
      </c>
      <c r="B1" s="355"/>
      <c r="C1" s="355"/>
      <c r="D1" s="355"/>
      <c r="E1" s="355"/>
      <c r="F1" s="355"/>
      <c r="G1" s="355"/>
      <c r="H1" s="355"/>
    </row>
    <row r="2" customFormat="false" ht="42" hidden="false" customHeight="true" outlineLevel="0" collapsed="false">
      <c r="A2" s="356" t="s">
        <v>1357</v>
      </c>
      <c r="B2" s="356"/>
      <c r="C2" s="356"/>
      <c r="D2" s="356"/>
      <c r="E2" s="356"/>
      <c r="F2" s="356"/>
      <c r="G2" s="356"/>
      <c r="H2" s="356"/>
    </row>
    <row r="3" customFormat="false" ht="15" hidden="false" customHeight="true" outlineLevel="0" collapsed="false">
      <c r="A3" s="113"/>
      <c r="B3" s="113"/>
      <c r="C3" s="113"/>
      <c r="D3" s="113"/>
      <c r="E3" s="113"/>
      <c r="F3" s="113"/>
      <c r="G3" s="113"/>
      <c r="H3" s="113"/>
    </row>
    <row r="4" customFormat="false" ht="30" hidden="false" customHeight="true" outlineLevel="0" collapsed="false">
      <c r="A4" s="357" t="s">
        <v>83</v>
      </c>
      <c r="B4" s="357" t="s">
        <v>1358</v>
      </c>
      <c r="C4" s="357" t="s">
        <v>1359</v>
      </c>
      <c r="D4" s="357" t="s">
        <v>1360</v>
      </c>
      <c r="E4" s="357" t="s">
        <v>1361</v>
      </c>
      <c r="F4" s="357" t="s">
        <v>1362</v>
      </c>
      <c r="G4" s="357" t="s">
        <v>1363</v>
      </c>
      <c r="H4" s="357" t="s">
        <v>1364</v>
      </c>
    </row>
    <row r="5" customFormat="false" ht="72" hidden="false" customHeight="true" outlineLevel="0" collapsed="false">
      <c r="A5" s="358" t="s">
        <v>1365</v>
      </c>
      <c r="B5" s="358" t="s">
        <v>1366</v>
      </c>
      <c r="C5" s="359" t="s">
        <v>1367</v>
      </c>
      <c r="D5" s="358" t="s">
        <v>1368</v>
      </c>
      <c r="E5" s="359" t="s">
        <v>1369</v>
      </c>
      <c r="F5" s="359" t="s">
        <v>1370</v>
      </c>
      <c r="G5" s="358" t="s">
        <v>1371</v>
      </c>
      <c r="H5" s="358" t="s">
        <v>1372</v>
      </c>
    </row>
    <row r="6" customFormat="false" ht="72" hidden="false" customHeight="true" outlineLevel="0" collapsed="false">
      <c r="A6" s="358" t="s">
        <v>1373</v>
      </c>
      <c r="B6" s="358" t="s">
        <v>1374</v>
      </c>
      <c r="C6" s="359" t="s">
        <v>1375</v>
      </c>
      <c r="D6" s="358" t="s">
        <v>1376</v>
      </c>
      <c r="E6" s="359" t="s">
        <v>1377</v>
      </c>
      <c r="F6" s="359" t="s">
        <v>1378</v>
      </c>
      <c r="G6" s="358" t="s">
        <v>1379</v>
      </c>
      <c r="H6" s="358" t="s">
        <v>1380</v>
      </c>
    </row>
    <row r="7" customFormat="false" ht="72" hidden="false" customHeight="true" outlineLevel="0" collapsed="false">
      <c r="A7" s="358" t="s">
        <v>1381</v>
      </c>
      <c r="B7" s="358" t="s">
        <v>1382</v>
      </c>
      <c r="C7" s="359" t="s">
        <v>1383</v>
      </c>
      <c r="D7" s="358" t="s">
        <v>1384</v>
      </c>
      <c r="E7" s="359" t="s">
        <v>1385</v>
      </c>
      <c r="F7" s="359" t="s">
        <v>1386</v>
      </c>
      <c r="G7" s="358" t="s">
        <v>1387</v>
      </c>
      <c r="H7" s="358" t="s">
        <v>1388</v>
      </c>
    </row>
    <row r="8" customFormat="false" ht="72" hidden="false" customHeight="true" outlineLevel="0" collapsed="false">
      <c r="A8" s="358" t="s">
        <v>1389</v>
      </c>
      <c r="B8" s="358" t="s">
        <v>1390</v>
      </c>
      <c r="C8" s="359" t="s">
        <v>1391</v>
      </c>
      <c r="D8" s="358" t="s">
        <v>1392</v>
      </c>
      <c r="E8" s="359" t="s">
        <v>1393</v>
      </c>
      <c r="F8" s="359" t="s">
        <v>1394</v>
      </c>
      <c r="G8" s="358" t="s">
        <v>1395</v>
      </c>
      <c r="H8" s="358" t="s">
        <v>1396</v>
      </c>
    </row>
    <row r="9" customFormat="false" ht="72" hidden="false" customHeight="true" outlineLevel="0" collapsed="false">
      <c r="A9" s="358" t="s">
        <v>1397</v>
      </c>
      <c r="B9" s="358" t="s">
        <v>1398</v>
      </c>
      <c r="C9" s="359" t="s">
        <v>1375</v>
      </c>
      <c r="D9" s="358" t="s">
        <v>1399</v>
      </c>
      <c r="E9" s="359" t="s">
        <v>1393</v>
      </c>
      <c r="F9" s="359" t="s">
        <v>1400</v>
      </c>
      <c r="G9" s="358" t="s">
        <v>1401</v>
      </c>
      <c r="H9" s="358" t="s">
        <v>1402</v>
      </c>
    </row>
    <row r="10" customFormat="false" ht="72" hidden="false" customHeight="true" outlineLevel="0" collapsed="false">
      <c r="A10" s="358" t="s">
        <v>1403</v>
      </c>
      <c r="B10" s="358" t="s">
        <v>1404</v>
      </c>
      <c r="C10" s="359" t="s">
        <v>1405</v>
      </c>
      <c r="D10" s="358" t="s">
        <v>1406</v>
      </c>
      <c r="E10" s="359" t="s">
        <v>1407</v>
      </c>
      <c r="F10" s="359" t="s">
        <v>1408</v>
      </c>
      <c r="G10" s="358" t="s">
        <v>1409</v>
      </c>
      <c r="H10" s="358" t="s">
        <v>1410</v>
      </c>
    </row>
    <row r="11" customFormat="false" ht="72" hidden="false" customHeight="true" outlineLevel="0" collapsed="false">
      <c r="A11" s="358" t="s">
        <v>1411</v>
      </c>
      <c r="B11" s="358" t="s">
        <v>1412</v>
      </c>
      <c r="C11" s="359" t="s">
        <v>1375</v>
      </c>
      <c r="D11" s="358" t="s">
        <v>1413</v>
      </c>
      <c r="E11" s="359" t="s">
        <v>1414</v>
      </c>
      <c r="F11" s="359" t="s">
        <v>1415</v>
      </c>
      <c r="G11" s="358" t="s">
        <v>1416</v>
      </c>
      <c r="H11" s="358" t="s">
        <v>1417</v>
      </c>
    </row>
    <row r="12" customFormat="false" ht="72" hidden="false" customHeight="true" outlineLevel="0" collapsed="false">
      <c r="A12" s="358" t="s">
        <v>1418</v>
      </c>
      <c r="B12" s="358" t="s">
        <v>1419</v>
      </c>
      <c r="C12" s="359" t="s">
        <v>1383</v>
      </c>
      <c r="D12" s="358" t="s">
        <v>1420</v>
      </c>
      <c r="E12" s="359" t="s">
        <v>1393</v>
      </c>
      <c r="F12" s="359" t="s">
        <v>1421</v>
      </c>
      <c r="G12" s="358" t="s">
        <v>1422</v>
      </c>
      <c r="H12" s="358" t="s">
        <v>1423</v>
      </c>
    </row>
    <row r="13" customFormat="false" ht="72" hidden="false" customHeight="true" outlineLevel="0" collapsed="false">
      <c r="A13" s="358" t="s">
        <v>1424</v>
      </c>
      <c r="B13" s="358" t="s">
        <v>1425</v>
      </c>
      <c r="C13" s="359" t="s">
        <v>1426</v>
      </c>
      <c r="D13" s="358" t="s">
        <v>1427</v>
      </c>
      <c r="E13" s="359" t="s">
        <v>1393</v>
      </c>
      <c r="F13" s="359" t="s">
        <v>1428</v>
      </c>
      <c r="G13" s="358" t="s">
        <v>1429</v>
      </c>
      <c r="H13" s="358" t="s">
        <v>1430</v>
      </c>
    </row>
    <row r="14" customFormat="false" ht="72" hidden="false" customHeight="true" outlineLevel="0" collapsed="false">
      <c r="A14" s="358" t="s">
        <v>1431</v>
      </c>
      <c r="B14" s="358" t="s">
        <v>1432</v>
      </c>
      <c r="C14" s="359" t="s">
        <v>1433</v>
      </c>
      <c r="D14" s="358" t="s">
        <v>1434</v>
      </c>
      <c r="E14" s="359" t="s">
        <v>1393</v>
      </c>
      <c r="F14" s="359" t="s">
        <v>1435</v>
      </c>
      <c r="G14" s="358" t="s">
        <v>1436</v>
      </c>
      <c r="H14" s="358" t="s">
        <v>1437</v>
      </c>
    </row>
    <row r="15" customFormat="false" ht="72" hidden="false" customHeight="true" outlineLevel="0" collapsed="false">
      <c r="A15" s="358" t="s">
        <v>1438</v>
      </c>
      <c r="B15" s="358" t="s">
        <v>1439</v>
      </c>
      <c r="C15" s="359" t="s">
        <v>1440</v>
      </c>
      <c r="D15" s="358" t="s">
        <v>1441</v>
      </c>
      <c r="E15" s="359" t="s">
        <v>1393</v>
      </c>
      <c r="F15" s="359" t="s">
        <v>1442</v>
      </c>
      <c r="G15" s="358" t="s">
        <v>1443</v>
      </c>
      <c r="H15" s="358" t="s">
        <v>1444</v>
      </c>
    </row>
    <row r="16" customFormat="false" ht="72" hidden="false" customHeight="true" outlineLevel="0" collapsed="false">
      <c r="A16" s="358" t="s">
        <v>1445</v>
      </c>
      <c r="B16" s="358" t="s">
        <v>1446</v>
      </c>
      <c r="C16" s="359" t="s">
        <v>1375</v>
      </c>
      <c r="D16" s="358" t="s">
        <v>1447</v>
      </c>
      <c r="E16" s="359" t="s">
        <v>1448</v>
      </c>
      <c r="F16" s="359" t="s">
        <v>1449</v>
      </c>
      <c r="G16" s="358" t="s">
        <v>1450</v>
      </c>
      <c r="H16" s="358" t="s">
        <v>1451</v>
      </c>
    </row>
    <row r="17" customFormat="false" ht="72" hidden="false" customHeight="true" outlineLevel="0" collapsed="false">
      <c r="A17" s="342" t="s">
        <v>1452</v>
      </c>
      <c r="B17" s="342" t="s">
        <v>1453</v>
      </c>
      <c r="C17" s="342" t="s">
        <v>1454</v>
      </c>
      <c r="D17" s="342" t="s">
        <v>1455</v>
      </c>
      <c r="E17" s="342" t="s">
        <v>1456</v>
      </c>
      <c r="F17" s="342" t="s">
        <v>1457</v>
      </c>
      <c r="G17" s="342" t="s">
        <v>1458</v>
      </c>
      <c r="H17" s="342" t="s">
        <v>1459</v>
      </c>
    </row>
    <row r="18" customFormat="false" ht="72" hidden="false" customHeight="true" outlineLevel="0" collapsed="false">
      <c r="A18" s="342" t="s">
        <v>1460</v>
      </c>
      <c r="B18" s="342" t="s">
        <v>1461</v>
      </c>
      <c r="C18" s="342" t="s">
        <v>1462</v>
      </c>
      <c r="D18" s="342" t="s">
        <v>1463</v>
      </c>
      <c r="E18" s="342" t="s">
        <v>1464</v>
      </c>
      <c r="F18" s="342" t="s">
        <v>1465</v>
      </c>
      <c r="G18" s="342" t="s">
        <v>1466</v>
      </c>
      <c r="H18" s="342" t="s">
        <v>1467</v>
      </c>
    </row>
    <row r="19" customFormat="false" ht="72" hidden="false" customHeight="true" outlineLevel="0" collapsed="false">
      <c r="A19" s="342" t="s">
        <v>1468</v>
      </c>
      <c r="B19" s="342" t="s">
        <v>1469</v>
      </c>
      <c r="C19" s="342" t="s">
        <v>1470</v>
      </c>
      <c r="D19" s="342" t="s">
        <v>1471</v>
      </c>
      <c r="E19" s="342" t="s">
        <v>1472</v>
      </c>
      <c r="F19" s="342" t="s">
        <v>1473</v>
      </c>
      <c r="G19" s="342" t="s">
        <v>1474</v>
      </c>
      <c r="H19" s="342" t="s">
        <v>1475</v>
      </c>
    </row>
  </sheetData>
  <mergeCells count="2">
    <mergeCell ref="A1:H1"/>
    <mergeCell ref="A2:H2"/>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6" min="2" style="1" width="18"/>
  </cols>
  <sheetData>
    <row r="1" customFormat="false" ht="18" hidden="false" customHeight="true" outlineLevel="0" collapsed="false">
      <c r="A1" s="360" t="s">
        <v>1476</v>
      </c>
      <c r="B1" s="360"/>
      <c r="C1" s="360"/>
      <c r="D1" s="360"/>
      <c r="E1" s="360"/>
      <c r="F1" s="360"/>
    </row>
    <row r="2" customFormat="false" ht="15" hidden="false" customHeight="true" outlineLevel="0" collapsed="false">
      <c r="A2" s="361"/>
      <c r="B2" s="361"/>
      <c r="C2" s="361"/>
      <c r="D2" s="361"/>
      <c r="E2" s="361"/>
      <c r="F2" s="361"/>
    </row>
    <row r="3" customFormat="false" ht="15" hidden="false" customHeight="true" outlineLevel="0" collapsed="false">
      <c r="A3" s="362" t="s">
        <v>629</v>
      </c>
      <c r="B3" s="362" t="s">
        <v>84</v>
      </c>
      <c r="C3" s="362" t="s">
        <v>85</v>
      </c>
      <c r="D3" s="362" t="s">
        <v>86</v>
      </c>
      <c r="E3" s="362" t="s">
        <v>87</v>
      </c>
      <c r="F3" s="362" t="s">
        <v>88</v>
      </c>
    </row>
    <row r="4" customFormat="false" ht="15" hidden="false" customHeight="true" outlineLevel="0" collapsed="false">
      <c r="A4" s="304" t="s">
        <v>1477</v>
      </c>
      <c r="B4" s="301" t="n">
        <f aca="false">'Regulatory Capital Plan'!B13</f>
        <v>0</v>
      </c>
      <c r="C4" s="301" t="n">
        <f aca="false">'Regulatory Capital Plan'!C13</f>
        <v>4.86287064177048</v>
      </c>
      <c r="D4" s="301" t="n">
        <f aca="false">'Regulatory Capital Plan'!D13</f>
        <v>4.56798051102073</v>
      </c>
      <c r="E4" s="301" t="n">
        <f aca="false">'Regulatory Capital Plan'!E13</f>
        <v>4.30787332942035</v>
      </c>
      <c r="F4" s="301" t="n">
        <f aca="false">'Regulatory Capital Plan'!F13</f>
        <v>4.33580712139099</v>
      </c>
    </row>
    <row r="5" customFormat="false" ht="15" hidden="false" customHeight="true" outlineLevel="0" collapsed="false">
      <c r="A5" s="304" t="s">
        <v>1478</v>
      </c>
      <c r="B5" s="301" t="n">
        <f aca="false">'Regulatory Capital Plan'!B14</f>
        <v>4</v>
      </c>
      <c r="C5" s="301" t="n">
        <f aca="false">'Regulatory Capital Plan'!C14</f>
        <v>4</v>
      </c>
      <c r="D5" s="301" t="n">
        <f aca="false">'Regulatory Capital Plan'!D14</f>
        <v>9</v>
      </c>
      <c r="E5" s="301" t="n">
        <f aca="false">'Regulatory Capital Plan'!E14</f>
        <v>9</v>
      </c>
      <c r="F5" s="301" t="n">
        <f aca="false">'Regulatory Capital Plan'!F14</f>
        <v>9</v>
      </c>
    </row>
    <row r="6" customFormat="false" ht="15" hidden="false" customHeight="true" outlineLevel="0" collapsed="false">
      <c r="A6" s="304" t="s">
        <v>1479</v>
      </c>
      <c r="B6" s="286" t="str">
        <f aca="false">'Regulatory Capital Plan'!B16</f>
        <v>متوافق</v>
      </c>
      <c r="C6" s="286" t="str">
        <f aca="false">'Regulatory Capital Plan'!C16</f>
        <v>فجوة</v>
      </c>
      <c r="D6" s="286" t="str">
        <f aca="false">'Regulatory Capital Plan'!D16</f>
        <v>متوافق</v>
      </c>
      <c r="E6" s="286" t="str">
        <f aca="false">'Regulatory Capital Plan'!E16</f>
        <v>متوافق</v>
      </c>
      <c r="F6" s="286" t="str">
        <f aca="false">'Regulatory Capital Plan'!F16</f>
        <v>متوافق</v>
      </c>
    </row>
    <row r="7" customFormat="false" ht="45.75" hidden="false" customHeight="true" outlineLevel="0" collapsed="false">
      <c r="A7" s="304" t="s">
        <v>1480</v>
      </c>
      <c r="B7" s="363" t="n">
        <f aca="false">'Regulatory Capital Plan'!B76</f>
        <v>0</v>
      </c>
      <c r="C7" s="363" t="n">
        <f aca="false">'Regulatory Capital Plan'!C76</f>
        <v>65653018.7566001</v>
      </c>
      <c r="D7" s="363" t="n">
        <f aca="false">'Regulatory Capital Plan'!D76</f>
        <v>0</v>
      </c>
      <c r="E7" s="363" t="n">
        <f aca="false">'Regulatory Capital Plan'!E76</f>
        <v>0</v>
      </c>
      <c r="F7" s="363" t="n">
        <f aca="false">'Regulatory Capital Plan'!F76</f>
        <v>0</v>
      </c>
    </row>
    <row r="8" customFormat="false" ht="45.75" hidden="false" customHeight="true" outlineLevel="0" collapsed="false">
      <c r="A8" s="304" t="s">
        <v>1481</v>
      </c>
      <c r="B8" s="363" t="n">
        <f aca="false">'Regulatory Capital Plan'!B77</f>
        <v>0</v>
      </c>
      <c r="C8" s="363" t="n">
        <f aca="false">'Regulatory Capital Plan'!C77</f>
        <v>16413254.68915</v>
      </c>
      <c r="D8" s="363" t="n">
        <f aca="false">'Regulatory Capital Plan'!D77</f>
        <v>0</v>
      </c>
      <c r="E8" s="363" t="n">
        <f aca="false">'Regulatory Capital Plan'!E77</f>
        <v>0</v>
      </c>
      <c r="F8" s="363" t="n">
        <f aca="false">'Regulatory Capital Plan'!F77</f>
        <v>0</v>
      </c>
    </row>
    <row r="9" customFormat="false" ht="15" hidden="false" customHeight="true" outlineLevel="0" collapsed="false">
      <c r="A9" s="304" t="s">
        <v>865</v>
      </c>
      <c r="B9" s="292" t="n">
        <f aca="false">'Regulatory Capital Plan'!B31</f>
        <v>0.398280956375838</v>
      </c>
      <c r="C9" s="292" t="n">
        <f aca="false">'Regulatory Capital Plan'!C31</f>
        <v>0.144327394961383</v>
      </c>
      <c r="D9" s="292" t="n">
        <f aca="false">'Regulatory Capital Plan'!D31</f>
        <v>0.159763521005685</v>
      </c>
      <c r="E9" s="292" t="n">
        <f aca="false">'Regulatory Capital Plan'!E31</f>
        <v>0.172007504825977</v>
      </c>
      <c r="F9" s="292" t="n">
        <f aca="false">'Regulatory Capital Plan'!F31</f>
        <v>0.177928765545992</v>
      </c>
    </row>
    <row r="10" customFormat="false" ht="23.25" hidden="false" customHeight="true" outlineLevel="0" collapsed="false">
      <c r="A10" s="304" t="s">
        <v>1482</v>
      </c>
      <c r="B10" s="292" t="n">
        <f aca="false">'Funding &amp; Liquidity'!B21</f>
        <v>4.53990589561574</v>
      </c>
      <c r="C10" s="292" t="n">
        <f aca="false">'Funding &amp; Liquidity'!C21</f>
        <v>1.10731387549798</v>
      </c>
      <c r="D10" s="292" t="n">
        <f aca="false">'Funding &amp; Liquidity'!D21</f>
        <v>1.34692002612802</v>
      </c>
      <c r="E10" s="292" t="n">
        <f aca="false">'Funding &amp; Liquidity'!E21</f>
        <v>4.64894494552536</v>
      </c>
      <c r="F10" s="292" t="n">
        <f aca="false">'Funding &amp; Liquidity'!F21</f>
        <v>9.69741599892725</v>
      </c>
    </row>
    <row r="11" customFormat="false" ht="15" hidden="false" customHeight="true" outlineLevel="0" collapsed="false">
      <c r="A11" s="304" t="s">
        <v>677</v>
      </c>
      <c r="B11" s="292" t="n">
        <f aca="false">'Funding &amp; Liquidity'!B35</f>
        <v>1.09847090318191</v>
      </c>
      <c r="C11" s="292" t="n">
        <f aca="false">'Funding &amp; Liquidity'!C35</f>
        <v>1.07785194045871</v>
      </c>
      <c r="D11" s="292" t="n">
        <f aca="false">'Funding &amp; Liquidity'!D35</f>
        <v>1.09144938707704</v>
      </c>
      <c r="E11" s="292" t="n">
        <f aca="false">'Funding &amp; Liquidity'!E35</f>
        <v>1.11906457965729</v>
      </c>
      <c r="F11" s="292" t="n">
        <f aca="false">'Funding &amp; Liquidity'!F35</f>
        <v>1.16149116948356</v>
      </c>
    </row>
    <row r="12" customFormat="false" ht="23.25" hidden="false" customHeight="true" outlineLevel="0" collapsed="false">
      <c r="A12" s="304" t="s">
        <v>1483</v>
      </c>
      <c r="B12" s="293" t="n">
        <f aca="false">'Basel III'!B96</f>
        <v>0.12</v>
      </c>
      <c r="C12" s="293" t="n">
        <f aca="false">'Basel III'!C96</f>
        <v>0.12</v>
      </c>
      <c r="D12" s="293" t="n">
        <f aca="false">'Basel III'!D96</f>
        <v>0.12</v>
      </c>
      <c r="E12" s="293" t="n">
        <f aca="false">'Basel III'!E96</f>
        <v>0.12</v>
      </c>
      <c r="F12" s="293" t="n">
        <f aca="false">'Basel III'!F96</f>
        <v>0.12</v>
      </c>
    </row>
    <row r="13" customFormat="false" ht="15" hidden="false" customHeight="true" outlineLevel="0" collapsed="false">
      <c r="A13" s="361"/>
      <c r="B13" s="361"/>
      <c r="C13" s="361"/>
      <c r="D13" s="361"/>
      <c r="E13" s="361"/>
      <c r="F13" s="361"/>
    </row>
    <row r="14" customFormat="false" ht="12" hidden="false" customHeight="true" outlineLevel="0" collapsed="false">
      <c r="A14" s="364" t="s">
        <v>1484</v>
      </c>
      <c r="B14" s="364"/>
      <c r="C14" s="364"/>
      <c r="D14" s="364"/>
      <c r="E14" s="364"/>
      <c r="F14" s="364"/>
    </row>
    <row r="15" customFormat="false" ht="51.75" hidden="false" customHeight="true" outlineLevel="0" collapsed="false">
      <c r="A15" s="365" t="s">
        <v>1485</v>
      </c>
      <c r="B15" s="365"/>
      <c r="C15" s="365"/>
      <c r="D15" s="365"/>
      <c r="E15" s="365"/>
      <c r="F15" s="365"/>
    </row>
    <row r="16" customFormat="false" ht="15" hidden="false" customHeight="true" outlineLevel="0" collapsed="false">
      <c r="A16" s="361"/>
      <c r="B16" s="361"/>
      <c r="C16" s="361"/>
      <c r="D16" s="361"/>
      <c r="E16" s="361"/>
      <c r="F16" s="361"/>
    </row>
    <row r="17" customFormat="false" ht="12" hidden="false" customHeight="true" outlineLevel="0" collapsed="false">
      <c r="A17" s="364" t="s">
        <v>1486</v>
      </c>
      <c r="B17" s="364"/>
      <c r="C17" s="364"/>
      <c r="D17" s="364"/>
      <c r="E17" s="364"/>
      <c r="F17" s="364"/>
    </row>
    <row r="18" customFormat="false" ht="27.75" hidden="false" customHeight="true" outlineLevel="0" collapsed="false">
      <c r="A18" s="321" t="s">
        <v>1487</v>
      </c>
      <c r="B18" s="321" t="s">
        <v>1488</v>
      </c>
      <c r="C18" s="321"/>
      <c r="D18" s="366" t="s">
        <v>1489</v>
      </c>
      <c r="E18" s="366"/>
      <c r="F18" s="366"/>
    </row>
    <row r="19" customFormat="false" ht="27.75" hidden="false" customHeight="true" outlineLevel="0" collapsed="false">
      <c r="A19" s="321" t="s">
        <v>1490</v>
      </c>
      <c r="B19" s="321" t="s">
        <v>1491</v>
      </c>
      <c r="C19" s="321"/>
      <c r="D19" s="366" t="s">
        <v>726</v>
      </c>
      <c r="E19" s="366"/>
      <c r="F19" s="366"/>
    </row>
    <row r="20" customFormat="false" ht="27.75" hidden="false" customHeight="true" outlineLevel="0" collapsed="false">
      <c r="A20" s="321" t="s">
        <v>1492</v>
      </c>
      <c r="B20" s="321" t="s">
        <v>1493</v>
      </c>
      <c r="C20" s="321"/>
      <c r="D20" s="366" t="s">
        <v>1494</v>
      </c>
      <c r="E20" s="366"/>
      <c r="F20" s="366"/>
    </row>
    <row r="21" customFormat="false" ht="27.75" hidden="false" customHeight="true" outlineLevel="0" collapsed="false">
      <c r="A21" s="321" t="s">
        <v>1495</v>
      </c>
      <c r="B21" s="321" t="s">
        <v>1496</v>
      </c>
      <c r="C21" s="321"/>
      <c r="D21" s="361"/>
      <c r="E21" s="361"/>
      <c r="F21" s="361"/>
    </row>
    <row r="22" customFormat="false" ht="27.75" hidden="false" customHeight="true" outlineLevel="0" collapsed="false">
      <c r="A22" s="321" t="s">
        <v>1497</v>
      </c>
      <c r="B22" s="321" t="s">
        <v>1498</v>
      </c>
      <c r="C22" s="321"/>
      <c r="D22" s="361"/>
      <c r="E22" s="361"/>
      <c r="F22" s="361"/>
    </row>
    <row r="23" customFormat="false" ht="27.75" hidden="false" customHeight="true" outlineLevel="0" collapsed="false">
      <c r="A23" s="321" t="s">
        <v>1499</v>
      </c>
      <c r="B23" s="321" t="s">
        <v>1500</v>
      </c>
      <c r="C23" s="321"/>
      <c r="D23" s="361"/>
      <c r="E23" s="361"/>
      <c r="F23" s="361"/>
    </row>
    <row r="24" customFormat="false" ht="27.75" hidden="false" customHeight="true" outlineLevel="0" collapsed="false">
      <c r="A24" s="321" t="s">
        <v>1501</v>
      </c>
      <c r="B24" s="321" t="s">
        <v>1502</v>
      </c>
      <c r="C24" s="321"/>
      <c r="D24" s="361"/>
      <c r="E24" s="361"/>
      <c r="F24" s="361"/>
    </row>
    <row r="26" customFormat="false" ht="12" hidden="false" customHeight="true" outlineLevel="0" collapsed="false">
      <c r="A26" s="364" t="s">
        <v>1503</v>
      </c>
      <c r="B26" s="364"/>
      <c r="C26" s="364"/>
      <c r="D26" s="364"/>
      <c r="E26" s="364"/>
      <c r="F26" s="364"/>
    </row>
    <row r="27" customFormat="false" ht="45.75" hidden="false" customHeight="true" outlineLevel="0" collapsed="false">
      <c r="A27" s="365" t="s">
        <v>1504</v>
      </c>
      <c r="B27" s="365"/>
      <c r="C27" s="365"/>
      <c r="D27" s="365"/>
      <c r="E27" s="365"/>
      <c r="F27" s="365"/>
    </row>
    <row r="29" customFormat="false" ht="12" hidden="false" customHeight="true" outlineLevel="0" collapsed="false">
      <c r="A29" s="364" t="s">
        <v>1505</v>
      </c>
      <c r="B29" s="364"/>
      <c r="C29" s="364"/>
      <c r="D29" s="364"/>
      <c r="E29" s="364"/>
      <c r="F29" s="364"/>
    </row>
    <row r="30" customFormat="false" ht="15" hidden="false" customHeight="true" outlineLevel="0" collapsed="false">
      <c r="A30" s="362" t="s">
        <v>1169</v>
      </c>
      <c r="B30" s="362" t="s">
        <v>1506</v>
      </c>
      <c r="C30" s="362"/>
      <c r="D30" s="362" t="s">
        <v>1172</v>
      </c>
      <c r="E30" s="362"/>
      <c r="F30" s="362"/>
    </row>
    <row r="31" customFormat="false" ht="31.5" hidden="false" customHeight="true" outlineLevel="0" collapsed="false">
      <c r="A31" s="321" t="n">
        <v>1</v>
      </c>
      <c r="B31" s="321" t="s">
        <v>1507</v>
      </c>
      <c r="C31" s="321"/>
      <c r="D31" s="367" t="s">
        <v>1508</v>
      </c>
      <c r="E31" s="367"/>
      <c r="F31" s="367"/>
    </row>
    <row r="32" customFormat="false" ht="31.5" hidden="false" customHeight="true" outlineLevel="0" collapsed="false">
      <c r="A32" s="321" t="n">
        <v>2</v>
      </c>
      <c r="B32" s="321" t="s">
        <v>1509</v>
      </c>
      <c r="C32" s="321"/>
      <c r="D32" s="367" t="s">
        <v>1510</v>
      </c>
      <c r="E32" s="367"/>
      <c r="F32" s="367"/>
    </row>
    <row r="33" customFormat="false" ht="31.5" hidden="false" customHeight="true" outlineLevel="0" collapsed="false">
      <c r="A33" s="321" t="n">
        <v>3</v>
      </c>
      <c r="B33" s="321" t="s">
        <v>1511</v>
      </c>
      <c r="C33" s="321"/>
      <c r="D33" s="367" t="s">
        <v>1508</v>
      </c>
      <c r="E33" s="367"/>
      <c r="F33" s="367"/>
    </row>
    <row r="34" customFormat="false" ht="31.5" hidden="false" customHeight="true" outlineLevel="0" collapsed="false">
      <c r="A34" s="321" t="n">
        <v>4</v>
      </c>
      <c r="B34" s="321" t="s">
        <v>1512</v>
      </c>
      <c r="C34" s="321"/>
      <c r="D34" s="367" t="s">
        <v>1513</v>
      </c>
      <c r="E34" s="367"/>
      <c r="F34" s="367"/>
    </row>
    <row r="35" customFormat="false" ht="31.5" hidden="false" customHeight="true" outlineLevel="0" collapsed="false">
      <c r="A35" s="321" t="n">
        <v>5</v>
      </c>
      <c r="B35" s="321" t="s">
        <v>1514</v>
      </c>
      <c r="C35" s="321"/>
      <c r="D35" s="367" t="s">
        <v>1510</v>
      </c>
      <c r="E35" s="367"/>
      <c r="F35" s="367"/>
    </row>
    <row r="36" customFormat="false" ht="31.5" hidden="false" customHeight="true" outlineLevel="0" collapsed="false">
      <c r="A36" s="321" t="n">
        <v>6</v>
      </c>
      <c r="B36" s="321" t="s">
        <v>1515</v>
      </c>
      <c r="C36" s="321"/>
      <c r="D36" s="367" t="s">
        <v>1516</v>
      </c>
      <c r="E36" s="367"/>
      <c r="F36" s="367"/>
    </row>
    <row r="37" customFormat="false" ht="31.5" hidden="false" customHeight="true" outlineLevel="0" collapsed="false">
      <c r="A37" s="321" t="n">
        <v>7</v>
      </c>
      <c r="B37" s="321" t="s">
        <v>1517</v>
      </c>
      <c r="C37" s="321"/>
      <c r="D37" s="367" t="s">
        <v>1518</v>
      </c>
      <c r="E37" s="367"/>
      <c r="F37" s="367"/>
    </row>
    <row r="38" customFormat="false" ht="31.5" hidden="false" customHeight="true" outlineLevel="0" collapsed="false">
      <c r="A38" s="321" t="n">
        <v>8</v>
      </c>
      <c r="B38" s="321" t="s">
        <v>1519</v>
      </c>
      <c r="C38" s="321"/>
      <c r="D38" s="367" t="s">
        <v>1520</v>
      </c>
      <c r="E38" s="367"/>
      <c r="F38" s="367"/>
    </row>
    <row r="39" customFormat="false" ht="31.5" hidden="false" customHeight="true" outlineLevel="0" collapsed="false">
      <c r="A39" s="321" t="n">
        <v>9</v>
      </c>
      <c r="B39" s="321" t="s">
        <v>1521</v>
      </c>
      <c r="C39" s="321"/>
      <c r="D39" s="367" t="s">
        <v>1513</v>
      </c>
      <c r="E39" s="367"/>
      <c r="F39" s="367"/>
    </row>
    <row r="40" customFormat="false" ht="68.25" hidden="false" customHeight="true" outlineLevel="0" collapsed="false">
      <c r="A40" s="113" t="n">
        <v>10</v>
      </c>
      <c r="B40" s="113" t="s">
        <v>1522</v>
      </c>
      <c r="C40" s="113"/>
      <c r="D40" s="368" t="s">
        <v>1523</v>
      </c>
      <c r="E40" s="113"/>
      <c r="F40" s="113"/>
    </row>
    <row r="41" customFormat="false" ht="42" hidden="false" customHeight="true" outlineLevel="0" collapsed="false">
      <c r="A41" s="369" t="n">
        <v>11</v>
      </c>
      <c r="B41" s="365" t="s">
        <v>1524</v>
      </c>
      <c r="C41" s="365"/>
      <c r="D41" s="365" t="s">
        <v>1525</v>
      </c>
      <c r="E41" s="365"/>
      <c r="F41" s="365"/>
    </row>
    <row r="42" customFormat="false" ht="51.75" hidden="false" customHeight="true" outlineLevel="0" collapsed="false">
      <c r="A42" s="370" t="s">
        <v>1526</v>
      </c>
      <c r="B42" s="370"/>
      <c r="C42" s="370"/>
      <c r="D42" s="370"/>
      <c r="E42" s="370"/>
      <c r="F42" s="370"/>
    </row>
    <row r="43" customFormat="false" ht="15" hidden="false" customHeight="true" outlineLevel="0" collapsed="false">
      <c r="A43" s="371"/>
      <c r="B43" s="372"/>
      <c r="C43" s="372"/>
      <c r="D43" s="372"/>
      <c r="E43" s="372"/>
      <c r="F43" s="372"/>
    </row>
    <row r="44" customFormat="false" ht="42" hidden="false" customHeight="true" outlineLevel="0" collapsed="false">
      <c r="A44" s="373"/>
      <c r="B44" s="373"/>
      <c r="C44" s="373"/>
      <c r="D44" s="373"/>
      <c r="E44" s="373"/>
      <c r="F44" s="373"/>
    </row>
  </sheetData>
  <mergeCells count="40">
    <mergeCell ref="A1:F1"/>
    <mergeCell ref="A14:F14"/>
    <mergeCell ref="A15:F15"/>
    <mergeCell ref="A17:F17"/>
    <mergeCell ref="B18:C18"/>
    <mergeCell ref="D18:F18"/>
    <mergeCell ref="B19:C19"/>
    <mergeCell ref="D19:F19"/>
    <mergeCell ref="B20:C20"/>
    <mergeCell ref="D20:F20"/>
    <mergeCell ref="B21:C21"/>
    <mergeCell ref="B22:C22"/>
    <mergeCell ref="B23:C23"/>
    <mergeCell ref="B24:C24"/>
    <mergeCell ref="A26:F26"/>
    <mergeCell ref="A27:F27"/>
    <mergeCell ref="A29:F29"/>
    <mergeCell ref="B30:C30"/>
    <mergeCell ref="D30:F30"/>
    <mergeCell ref="B31:C31"/>
    <mergeCell ref="D31:F31"/>
    <mergeCell ref="B32:C32"/>
    <mergeCell ref="D32:F32"/>
    <mergeCell ref="B33:C33"/>
    <mergeCell ref="D33:F33"/>
    <mergeCell ref="B34:C34"/>
    <mergeCell ref="D34:F34"/>
    <mergeCell ref="B35:C35"/>
    <mergeCell ref="D35:F35"/>
    <mergeCell ref="B36:C36"/>
    <mergeCell ref="D36:F36"/>
    <mergeCell ref="B37:C37"/>
    <mergeCell ref="D37:F37"/>
    <mergeCell ref="B38:C38"/>
    <mergeCell ref="D38:F38"/>
    <mergeCell ref="B39:C39"/>
    <mergeCell ref="D39:F39"/>
    <mergeCell ref="B41:C41"/>
    <mergeCell ref="D41:F41"/>
    <mergeCell ref="A42:F42"/>
  </mergeCells>
  <hyperlinks>
    <hyperlink ref="A27" location="'Regulatory Data Requirements'!A1" display="القائمة الكاملة بالبيانات والمستندات المطلوبة من الإدارة (15 بندا، بالجهة المسؤولة والمصدر والموعد المستهدف وحالة الاستلام وأثر عدم التوفر والخلايا المتأثرة) موثقة بالكامل في ورقة &quot;Regulatory Data Requirements&quot;."/>
    <hyperlink ref="D31" location="'Funding &amp; Liquidity'!A1" display="← Funding &amp; Liquidity"/>
    <hyperlink ref="D32" location="Assumptions!A1" display="← Assumptions"/>
    <hyperlink ref="D33" location="'Funding &amp; Liquidity'!A1" display="← Funding &amp; Liquidity"/>
    <hyperlink ref="D34" location="'Basel III'!A1" display="← Basel III"/>
    <hyperlink ref="D35" location="Assumptions!A1" display="← Assumptions"/>
    <hyperlink ref="D36" location="'Regulatory Capital Plan'!A1" display="← Regulatory Capital Plan"/>
    <hyperlink ref="D37" location="'Income Statement'!A1" display="← Income Statement"/>
    <hyperlink ref="D38" location="Capital!A1" display="← Capital"/>
    <hyperlink ref="D39" location="'Basel III'!A1" display="← Basel III"/>
    <hyperlink ref="D40" location="'Regulatory Data Requirements'!A1" display="← Regulatory Data Requirements"/>
    <hyperlink ref="D41" location="Sources!A1" display="← Sources / Income Statement"/>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2026-09-02T12:37:03Z</dcterms:created>
  <dc:creator>openpyxl</dc:creator>
  <dc:description/>
  <dc:language>en-US</dc:language>
  <cp:lastModifiedBy/>
  <dcterms:modified xsi:type="dcterms:W3CDTF">2026-09-02T14:12:35Z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